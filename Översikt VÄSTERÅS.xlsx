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46227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46227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t="n">
        <v>31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46227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46227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46227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46227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46227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46227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46227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46227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46227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46227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46227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46227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46227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46227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46227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46227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46227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46227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46227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46227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46227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46227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4</v>
      </c>
      <c r="V37" s="2" t="inlineStr">
        <is>
          <t>Gullklöver
Blåsippa</t>
        </is>
      </c>
      <c r="W37">
        <f>HYPERLINK("https://klasma.github.io/Logging_1980/artfynd/A 30759-2022 artfynd.xlsx", "A 30759-2022")</f>
        <v/>
      </c>
      <c r="X37">
        <f>HYPERLINK("https://klasma.github.io/Logging_1980/kartor/A 30759-2022 karta.png", "A 30759-2022")</f>
        <v/>
      </c>
      <c r="Y37">
        <f>HYPERLINK("https://klasma.github.io/Logging_1980/kartor_geotiff/A 30759-2022 georefererad karta.tif", "A 30759-2022")</f>
        <v/>
      </c>
      <c r="AA37">
        <f>HYPERLINK("https://klasma.github.io/Logging_1980/klagomål/A 30759-2022 FSC-klagomål.docx", "A 30759-2022")</f>
        <v/>
      </c>
      <c r="AB37">
        <f>HYPERLINK("https://klasma.github.io/Logging_1980/klagomålsmail/A 30759-2022 FSC-klagomål mail.docx", "A 30759-2022")</f>
        <v/>
      </c>
      <c r="AC37">
        <f>HYPERLINK("https://klasma.github.io/Logging_1980/tillsyn/A 30759-2022 tillsynsbegäran.docx", "A 30759-2022")</f>
        <v/>
      </c>
      <c r="AD37">
        <f>HYPERLINK("https://klasma.github.io/Logging_1980/tillsynsmail/A 30759-2022 tillsynsbegäran mail.docx", "A 30759-2022")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46227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46227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46227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61254-2023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45264</v>
      </c>
      <c r="E42" s="1" t="n">
        <v>46227</v>
      </c>
      <c r="F42" t="inlineStr">
        <is>
          <t>VÄSTMANLANDS LÄN</t>
        </is>
      </c>
      <c r="G42" t="inlineStr">
        <is>
          <t>VÄSTERÅS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Mistel</t>
        </is>
      </c>
      <c r="W42">
        <f>HYPERLINK("https://klasma.github.io/Logging_1980/artfynd/A 61254-2023 artfynd.xlsx", "A 61254-2023")</f>
        <v/>
      </c>
      <c r="X42">
        <f>HYPERLINK("https://klasma.github.io/Logging_1980/kartor/A 61254-2023 karta.png", "A 61254-2023")</f>
        <v/>
      </c>
      <c r="Y42">
        <f>HYPERLINK("https://klasma.github.io/Logging_1980/kartor_geotiff/A 61254-2023 georefererad karta.tif", "A 61254-2023")</f>
        <v/>
      </c>
      <c r="AA42">
        <f>HYPERLINK("https://klasma.github.io/Logging_1980/klagomål/A 61254-2023 FSC-klagomål.docx", "A 61254-2023")</f>
        <v/>
      </c>
      <c r="AB42">
        <f>HYPERLINK("https://klasma.github.io/Logging_1980/klagomålsmail/A 61254-2023 FSC-klagomål mail.docx", "A 61254-2023")</f>
        <v/>
      </c>
      <c r="AC42">
        <f>HYPERLINK("https://klasma.github.io/Logging_1980/tillsyn/A 61254-2023 tillsynsbegäran.docx", "A 61254-2023")</f>
        <v/>
      </c>
      <c r="AD42">
        <f>HYPERLINK("https://klasma.github.io/Logging_1980/tillsynsmail/A 61254-2023 tillsynsbegäran mail.docx", "A 61254-2023")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46227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HYPERLINK("https://klasma.github.io/Logging_1980/artfynd/A 12905-2022 artfynd.xlsx", "A 12905-2022")</f>
        <v/>
      </c>
      <c r="X43">
        <f>HYPERLINK("https://klasma.github.io/Logging_1980/kartor/A 12905-2022 karta.png", "A 12905-2022")</f>
        <v/>
      </c>
      <c r="Y43">
        <f>HYPERLINK("https://klasma.github.io/Logging_1980/kartor_geotiff/A 12905-2022 georefererad karta.tif", "A 12905-2022")</f>
        <v/>
      </c>
      <c r="AA43">
        <f>HYPERLINK("https://klasma.github.io/Logging_1980/klagomål/A 12905-2022 FSC-klagomål.docx", "A 12905-2022")</f>
        <v/>
      </c>
      <c r="AB43">
        <f>HYPERLINK("https://klasma.github.io/Logging_1980/klagomålsmail/A 12905-2022 FSC-klagomål mail.docx", "A 12905-2022")</f>
        <v/>
      </c>
      <c r="AC43">
        <f>HYPERLINK("https://klasma.github.io/Logging_1980/tillsyn/A 12905-2022 tillsynsbegäran.docx", "A 12905-2022")</f>
        <v/>
      </c>
      <c r="AD43">
        <f>HYPERLINK("https://klasma.github.io/Logging_1980/tillsynsmail/A 12905-2022 tillsynsbegäran mail.docx", "A 12905-2022")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46227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59144-2025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46227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HYPERLINK("https://klasma.github.io/Logging_1980/artfynd/A 59144-2025 artfynd.xlsx", "A 59144-2025")</f>
        <v/>
      </c>
      <c r="X45">
        <f>HYPERLINK("https://klasma.github.io/Logging_1980/kartor/A 59144-2025 karta.png", "A 59144-2025")</f>
        <v/>
      </c>
      <c r="Y45">
        <f>HYPERLINK("https://klasma.github.io/Logging_1980/kartor_geotiff/A 59144-2025 georefererad karta.tif", "A 59144-2025")</f>
        <v/>
      </c>
      <c r="AA45">
        <f>HYPERLINK("https://klasma.github.io/Logging_1980/klagomål/A 59144-2025 FSC-klagomål.docx", "A 59144-2025")</f>
        <v/>
      </c>
      <c r="AB45">
        <f>HYPERLINK("https://klasma.github.io/Logging_1980/klagomålsmail/A 59144-2025 FSC-klagomål mail.docx", "A 59144-2025")</f>
        <v/>
      </c>
      <c r="AC45">
        <f>HYPERLINK("https://klasma.github.io/Logging_1980/tillsyn/A 59144-2025 tillsynsbegäran.docx", "A 59144-2025")</f>
        <v/>
      </c>
      <c r="AD45">
        <f>HYPERLINK("https://klasma.github.io/Logging_1980/tillsynsmail/A 59144-2025 tillsynsbegäran mail.docx", "A 59144-2025")</f>
        <v/>
      </c>
    </row>
    <row r="46" ht="15" customHeight="1">
      <c r="A46" t="inlineStr">
        <is>
          <t>A 59140-2025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46227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Fiskgjuse</t>
        </is>
      </c>
      <c r="W46">
        <f>HYPERLINK("https://klasma.github.io/Logging_1980/artfynd/A 59140-2025 artfynd.xlsx", "A 59140-2025")</f>
        <v/>
      </c>
      <c r="X46">
        <f>HYPERLINK("https://klasma.github.io/Logging_1980/kartor/A 59140-2025 karta.png", "A 59140-2025")</f>
        <v/>
      </c>
      <c r="Y46">
        <f>HYPERLINK("https://klasma.github.io/Logging_1980/kartor_geotiff/A 59140-2025 georefererad karta.tif", "A 59140-2025")</f>
        <v/>
      </c>
      <c r="AA46">
        <f>HYPERLINK("https://klasma.github.io/Logging_1980/klagomål/A 59140-2025 FSC-klagomål.docx", "A 59140-2025")</f>
        <v/>
      </c>
      <c r="AB46">
        <f>HYPERLINK("https://klasma.github.io/Logging_1980/klagomålsmail/A 59140-2025 FSC-klagomål mail.docx", "A 59140-2025")</f>
        <v/>
      </c>
      <c r="AC46">
        <f>HYPERLINK("https://klasma.github.io/Logging_1980/tillsyn/A 59140-2025 tillsynsbegäran.docx", "A 59140-2025")</f>
        <v/>
      </c>
      <c r="AD46">
        <f>HYPERLINK("https://klasma.github.io/Logging_1980/tillsynsmail/A 59140-2025 tillsynsbegäran mail.docx", "A 59140-2025")</f>
        <v/>
      </c>
      <c r="AE46">
        <f>HYPERLINK("https://klasma.github.io/Logging_1980/fåglar/A 59140-2025 prioriterade fågelarter.docx", "A 59140-2025")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46227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46227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46227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46227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12058-2026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46086</v>
      </c>
      <c r="E51" s="1" t="n">
        <v>46227</v>
      </c>
      <c r="F51" t="inlineStr">
        <is>
          <t>VÄSTMANLANDS LÄN</t>
        </is>
      </c>
      <c r="G51" t="inlineStr">
        <is>
          <t>VÄSTERÅS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Törnskata</t>
        </is>
      </c>
      <c r="W51">
        <f>HYPERLINK("https://klasma.github.io/Logging_1980/artfynd/A 12058-2026 artfynd.xlsx", "A 12058-2026")</f>
        <v/>
      </c>
      <c r="X51">
        <f>HYPERLINK("https://klasma.github.io/Logging_1980/kartor/A 12058-2026 karta.png", "A 12058-2026")</f>
        <v/>
      </c>
      <c r="Y51">
        <f>HYPERLINK("https://klasma.github.io/Logging_1980/kartor_geotiff/A 12058-2026 georefererad karta.tif", "A 12058-2026")</f>
        <v/>
      </c>
      <c r="AA51">
        <f>HYPERLINK("https://klasma.github.io/Logging_1980/klagomål/A 12058-2026 FSC-klagomål.docx", "A 12058-2026")</f>
        <v/>
      </c>
      <c r="AB51">
        <f>HYPERLINK("https://klasma.github.io/Logging_1980/klagomålsmail/A 12058-2026 FSC-klagomål mail.docx", "A 12058-2026")</f>
        <v/>
      </c>
      <c r="AC51">
        <f>HYPERLINK("https://klasma.github.io/Logging_1980/tillsyn/A 12058-2026 tillsynsbegäran.docx", "A 12058-2026")</f>
        <v/>
      </c>
      <c r="AD51">
        <f>HYPERLINK("https://klasma.github.io/Logging_1980/tillsynsmail/A 12058-2026 tillsynsbegäran mail.docx", "A 12058-2026")</f>
        <v/>
      </c>
      <c r="AE51">
        <f>HYPERLINK("https://klasma.github.io/Logging_1980/fåglar/A 12058-2026 prioriterade fågelarter.docx", "A 12058-2026")</f>
        <v/>
      </c>
    </row>
    <row r="52" ht="15" customHeight="1">
      <c r="A52" t="inlineStr">
        <is>
          <t>A 58395-2022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46227</v>
      </c>
      <c r="F52" t="inlineStr">
        <is>
          <t>VÄSTMANLANDS LÄN</t>
        </is>
      </c>
      <c r="G52" t="inlineStr">
        <is>
          <t>VÄSTERÅS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HYPERLINK("https://klasma.github.io/Logging_1980/artfynd/A 58395-2022 artfynd.xlsx", "A 58395-2022")</f>
        <v/>
      </c>
      <c r="X52">
        <f>HYPERLINK("https://klasma.github.io/Logging_1980/kartor/A 58395-2022 karta.png", "A 58395-2022")</f>
        <v/>
      </c>
      <c r="Y52">
        <f>HYPERLINK("https://klasma.github.io/Logging_1980/kartor_geotiff/A 58395-2022 georefererad karta.tif", "A 58395-2022")</f>
        <v/>
      </c>
      <c r="AA52">
        <f>HYPERLINK("https://klasma.github.io/Logging_1980/klagomål/A 58395-2022 FSC-klagomål.docx", "A 58395-2022")</f>
        <v/>
      </c>
      <c r="AB52">
        <f>HYPERLINK("https://klasma.github.io/Logging_1980/klagomålsmail/A 58395-2022 FSC-klagomål mail.docx", "A 58395-2022")</f>
        <v/>
      </c>
      <c r="AC52">
        <f>HYPERLINK("https://klasma.github.io/Logging_1980/tillsyn/A 58395-2022 tillsynsbegäran.docx", "A 58395-2022")</f>
        <v/>
      </c>
      <c r="AD52">
        <f>HYPERLINK("https://klasma.github.io/Logging_1980/tillsynsmail/A 58395-2022 tillsynsbegäran mail.docx", "A 58395-2022")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46227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46227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46227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46227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46227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46227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22378-2026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46227</v>
      </c>
      <c r="F59" t="inlineStr">
        <is>
          <t>VÄSTMANLANDS LÄN</t>
        </is>
      </c>
      <c r="G59" t="inlineStr">
        <is>
          <t>VÄSTERÅS</t>
        </is>
      </c>
      <c r="I59" t="n">
        <v>5.6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Igelkott</t>
        </is>
      </c>
      <c r="W59">
        <f>HYPERLINK("https://klasma.github.io/Logging_1980/artfynd/A 22378-2026 artfynd.xlsx", "A 22378-2026")</f>
        <v/>
      </c>
      <c r="X59">
        <f>HYPERLINK("https://klasma.github.io/Logging_1980/kartor/A 22378-2026 karta.png", "A 22378-2026")</f>
        <v/>
      </c>
      <c r="Y59">
        <f>HYPERLINK("https://klasma.github.io/Logging_1980/kartor_geotiff/A 22378-2026 georefererad karta.tif", "A 22378-2026")</f>
        <v/>
      </c>
      <c r="AA59">
        <f>HYPERLINK("https://klasma.github.io/Logging_1980/klagomål/A 22378-2026 FSC-klagomål.docx", "A 22378-2026")</f>
        <v/>
      </c>
      <c r="AB59">
        <f>HYPERLINK("https://klasma.github.io/Logging_1980/klagomålsmail/A 22378-2026 FSC-klagomål mail.docx", "A 22378-2026")</f>
        <v/>
      </c>
      <c r="AC59">
        <f>HYPERLINK("https://klasma.github.io/Logging_1980/tillsyn/A 22378-2026 tillsynsbegäran.docx", "A 22378-2026")</f>
        <v/>
      </c>
      <c r="AD59">
        <f>HYPERLINK("https://klasma.github.io/Logging_1980/tillsynsmail/A 22378-2026 tillsynsbegäran mail.docx", "A 22378-2026")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46227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HYPERLINK("https://klasma.github.io/Logging_1980/artfynd/A 50193-2022 artfynd.xlsx", "A 50193-2022")</f>
        <v/>
      </c>
      <c r="X60">
        <f>HYPERLINK("https://klasma.github.io/Logging_1980/kartor/A 50193-2022 karta.png", "A 50193-2022")</f>
        <v/>
      </c>
      <c r="Y60">
        <f>HYPERLINK("https://klasma.github.io/Logging_1980/kartor_geotiff/A 50193-2022 georefererad karta.tif", "A 50193-2022")</f>
        <v/>
      </c>
      <c r="AA60">
        <f>HYPERLINK("https://klasma.github.io/Logging_1980/klagomål/A 50193-2022 FSC-klagomål.docx", "A 50193-2022")</f>
        <v/>
      </c>
      <c r="AB60">
        <f>HYPERLINK("https://klasma.github.io/Logging_1980/klagomålsmail/A 50193-2022 FSC-klagomål mail.docx", "A 50193-2022")</f>
        <v/>
      </c>
      <c r="AC60">
        <f>HYPERLINK("https://klasma.github.io/Logging_1980/tillsyn/A 50193-2022 tillsynsbegäran.docx", "A 50193-2022")</f>
        <v/>
      </c>
      <c r="AD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46227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46227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46227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46227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46227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46227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46227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46227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46227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46227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46227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46227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46227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46227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46227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46227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46227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46227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46227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46227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46227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46227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46227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46227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46227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46227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46227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46227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46227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46227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46227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46227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46227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46227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46227</v>
      </c>
      <c r="F95" t="inlineStr">
        <is>
          <t>VÄSTMANLANDS LÄN</t>
        </is>
      </c>
      <c r="G95" t="inlineStr">
        <is>
          <t>VÄSTERÅS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46227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46227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44792</v>
      </c>
      <c r="E98" s="1" t="n">
        <v>46227</v>
      </c>
      <c r="F98" t="inlineStr">
        <is>
          <t>VÄSTMANLANDS LÄN</t>
        </is>
      </c>
      <c r="G98" t="inlineStr">
        <is>
          <t>VÄSTERÅS</t>
        </is>
      </c>
      <c r="I98" t="n">
        <v>9.6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46227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41114-2022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44825</v>
      </c>
      <c r="E100" s="1" t="n">
        <v>46227</v>
      </c>
      <c r="F100" t="inlineStr">
        <is>
          <t>VÄSTMANLANDS LÄN</t>
        </is>
      </c>
      <c r="G100" t="inlineStr">
        <is>
          <t>VÄSTERÅS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46227</v>
      </c>
      <c r="F101" t="inlineStr">
        <is>
          <t>VÄSTMANLANDS LÄN</t>
        </is>
      </c>
      <c r="G101" t="inlineStr">
        <is>
          <t>VÄSTERÅS</t>
        </is>
      </c>
      <c r="I101" t="n">
        <v>5.8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61258-2023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46227</v>
      </c>
      <c r="F102" t="inlineStr">
        <is>
          <t>VÄSTMANLANDS LÄN</t>
        </is>
      </c>
      <c r="G102" t="inlineStr">
        <is>
          <t>VÄSTERÅS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46227</v>
      </c>
      <c r="F103" t="inlineStr">
        <is>
          <t>VÄSTMANLANDS LÄN</t>
        </is>
      </c>
      <c r="G103" t="inlineStr">
        <is>
          <t>VÄSTERÅS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23455-2024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46227</v>
      </c>
      <c r="F104" t="inlineStr">
        <is>
          <t>VÄSTMANLANDS LÄN</t>
        </is>
      </c>
      <c r="G104" t="inlineStr">
        <is>
          <t>VÄSTERÅS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46227</v>
      </c>
      <c r="F105" t="inlineStr">
        <is>
          <t>VÄSTMANLANDS LÄN</t>
        </is>
      </c>
      <c r="G105" t="inlineStr">
        <is>
          <t>VÄSTERÅS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46227</v>
      </c>
      <c r="F106" t="inlineStr">
        <is>
          <t>VÄSTMANLANDS LÄN</t>
        </is>
      </c>
      <c r="G106" t="inlineStr">
        <is>
          <t>VÄSTERÅS</t>
        </is>
      </c>
      <c r="I106" t="n">
        <v>15.4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46227</v>
      </c>
      <c r="F107" t="inlineStr">
        <is>
          <t>VÄSTMANLANDS LÄN</t>
        </is>
      </c>
      <c r="G107" t="inlineStr">
        <is>
          <t>VÄSTERÅS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45296</v>
      </c>
      <c r="E108" s="1" t="n">
        <v>46227</v>
      </c>
      <c r="F108" t="inlineStr">
        <is>
          <t>VÄSTMANLANDS LÄN</t>
        </is>
      </c>
      <c r="G108" t="inlineStr">
        <is>
          <t>VÄSTERÅS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45887</v>
      </c>
      <c r="E109" s="1" t="n">
        <v>46227</v>
      </c>
      <c r="F109" t="inlineStr">
        <is>
          <t>VÄSTMANLANDS LÄN</t>
        </is>
      </c>
      <c r="G109" t="inlineStr">
        <is>
          <t>VÄSTERÅS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45223</v>
      </c>
      <c r="E110" s="1" t="n">
        <v>46227</v>
      </c>
      <c r="F110" t="inlineStr">
        <is>
          <t>VÄSTMANLANDS LÄN</t>
        </is>
      </c>
      <c r="G110" t="inlineStr">
        <is>
          <t>VÄSTERÅS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45595</v>
      </c>
      <c r="E111" s="1" t="n">
        <v>46227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Övriga Aktiebolag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39127-2022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44816</v>
      </c>
      <c r="E112" s="1" t="n">
        <v>46227</v>
      </c>
      <c r="F112" t="inlineStr">
        <is>
          <t>VÄSTMANLANDS LÄN</t>
        </is>
      </c>
      <c r="G112" t="inlineStr">
        <is>
          <t>VÄSTERÅS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46227</v>
      </c>
      <c r="F113" t="inlineStr">
        <is>
          <t>VÄSTMANLANDS LÄN</t>
        </is>
      </c>
      <c r="G113" t="inlineStr">
        <is>
          <t>VÄSTERÅS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52268-2025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46227</v>
      </c>
      <c r="F114" t="inlineStr">
        <is>
          <t>VÄSTMANLANDS LÄN</t>
        </is>
      </c>
      <c r="G114" t="inlineStr">
        <is>
          <t>VÄSTERÅS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46227</v>
      </c>
      <c r="F115" t="inlineStr">
        <is>
          <t>VÄSTMANLANDS LÄN</t>
        </is>
      </c>
      <c r="G115" t="inlineStr">
        <is>
          <t>VÄSTERÅS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46227</v>
      </c>
      <c r="F116" t="inlineStr">
        <is>
          <t>VÄSTMANLANDS LÄN</t>
        </is>
      </c>
      <c r="G116" t="inlineStr">
        <is>
          <t>VÄSTERÅS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10225-2023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44986</v>
      </c>
      <c r="E117" s="1" t="n">
        <v>46227</v>
      </c>
      <c r="F117" t="inlineStr">
        <is>
          <t>VÄSTMANLANDS LÄN</t>
        </is>
      </c>
      <c r="G117" t="inlineStr">
        <is>
          <t>VÄSTERÅS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46227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46156-2022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46227</v>
      </c>
      <c r="F119" t="inlineStr">
        <is>
          <t>VÄSTMANLANDS LÄN</t>
        </is>
      </c>
      <c r="G119" t="inlineStr">
        <is>
          <t>VÄSTERÅS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46227</v>
      </c>
      <c r="F120" t="inlineStr">
        <is>
          <t>VÄSTMANLANDS LÄN</t>
        </is>
      </c>
      <c r="G120" t="inlineStr">
        <is>
          <t>VÄSTERÅS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45083</v>
      </c>
      <c r="E121" s="1" t="n">
        <v>46227</v>
      </c>
      <c r="F121" t="inlineStr">
        <is>
          <t>VÄSTMANLANDS LÄN</t>
        </is>
      </c>
      <c r="G121" t="inlineStr">
        <is>
          <t>VÄSTERÅS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46227</v>
      </c>
      <c r="F122" t="inlineStr">
        <is>
          <t>VÄSTMANLANDS LÄN</t>
        </is>
      </c>
      <c r="G122" t="inlineStr">
        <is>
          <t>VÄSTERÅS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46227</v>
      </c>
      <c r="F123" t="inlineStr">
        <is>
          <t>VÄSTMANLANDS LÄN</t>
        </is>
      </c>
      <c r="G123" t="inlineStr">
        <is>
          <t>VÄSTERÅS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45019</v>
      </c>
      <c r="E124" s="1" t="n">
        <v>46227</v>
      </c>
      <c r="F124" t="inlineStr">
        <is>
          <t>VÄSTMANLANDS LÄN</t>
        </is>
      </c>
      <c r="G124" t="inlineStr">
        <is>
          <t>VÄSTERÅS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61069-2022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46227</v>
      </c>
      <c r="F125" t="inlineStr">
        <is>
          <t>VÄSTMANLANDS LÄN</t>
        </is>
      </c>
      <c r="G125" t="inlineStr">
        <is>
          <t>VÄSTERÅS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46227</v>
      </c>
      <c r="F126" t="inlineStr">
        <is>
          <t>VÄSTMANLANDS LÄN</t>
        </is>
      </c>
      <c r="G126" t="inlineStr">
        <is>
          <t>VÄSTERÅS</t>
        </is>
      </c>
      <c r="I126" t="n">
        <v>13.9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45545</v>
      </c>
      <c r="E127" s="1" t="n">
        <v>46227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18482-2023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45042</v>
      </c>
      <c r="E128" s="1" t="n">
        <v>46227</v>
      </c>
      <c r="F128" t="inlineStr">
        <is>
          <t>VÄSTMANLANDS LÄN</t>
        </is>
      </c>
      <c r="G128" t="inlineStr">
        <is>
          <t>VÄSTERÅS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45232</v>
      </c>
      <c r="E129" s="1" t="n">
        <v>46227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Övriga Aktiebolag</t>
        </is>
      </c>
      <c r="I129" t="n">
        <v>37.9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45506</v>
      </c>
      <c r="E130" s="1" t="n">
        <v>46227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46227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46227</v>
      </c>
      <c r="F132" t="inlineStr">
        <is>
          <t>VÄSTMANLANDS LÄN</t>
        </is>
      </c>
      <c r="G132" t="inlineStr">
        <is>
          <t>VÄSTERÅS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70642-2021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46227</v>
      </c>
      <c r="F133" t="inlineStr">
        <is>
          <t>VÄSTMANLANDS LÄN</t>
        </is>
      </c>
      <c r="G133" t="inlineStr">
        <is>
          <t>VÄSTERÅS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46227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44899</v>
      </c>
      <c r="E135" s="1" t="n">
        <v>46227</v>
      </c>
      <c r="F135" t="inlineStr">
        <is>
          <t>VÄSTMANLANDS LÄN</t>
        </is>
      </c>
      <c r="G135" t="inlineStr">
        <is>
          <t>VÄSTERÅS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45235</v>
      </c>
      <c r="E136" s="1" t="n">
        <v>46227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37.8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45603</v>
      </c>
      <c r="E137" s="1" t="n">
        <v>46227</v>
      </c>
      <c r="F137" t="inlineStr">
        <is>
          <t>VÄSTMANLANDS LÄN</t>
        </is>
      </c>
      <c r="G137" t="inlineStr">
        <is>
          <t>VÄSTERÅS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46227</v>
      </c>
      <c r="F138" t="inlineStr">
        <is>
          <t>VÄSTMANLANDS LÄN</t>
        </is>
      </c>
      <c r="G138" t="inlineStr">
        <is>
          <t>VÄSTERÅS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44914</v>
      </c>
      <c r="E139" s="1" t="n">
        <v>46227</v>
      </c>
      <c r="F139" t="inlineStr">
        <is>
          <t>VÄSTMANLANDS LÄN</t>
        </is>
      </c>
      <c r="G139" t="inlineStr">
        <is>
          <t>VÄSTERÅS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46227</v>
      </c>
      <c r="F140" t="inlineStr">
        <is>
          <t>VÄSTMANLANDS LÄN</t>
        </is>
      </c>
      <c r="G140" t="inlineStr">
        <is>
          <t>VÄSTERÅS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46227</v>
      </c>
      <c r="F141" t="inlineStr">
        <is>
          <t>VÄSTMANLANDS LÄN</t>
        </is>
      </c>
      <c r="G141" t="inlineStr">
        <is>
          <t>VÄSTERÅS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45617</v>
      </c>
      <c r="E142" s="1" t="n">
        <v>46227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46227</v>
      </c>
      <c r="F143" t="inlineStr">
        <is>
          <t>VÄSTMANLANDS LÄN</t>
        </is>
      </c>
      <c r="G143" t="inlineStr">
        <is>
          <t>VÄSTERÅS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44636</v>
      </c>
      <c r="E144" s="1" t="n">
        <v>46227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Kommuner</t>
        </is>
      </c>
      <c r="I144" t="n">
        <v>12.9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44636</v>
      </c>
      <c r="E145" s="1" t="n">
        <v>46227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Kommuner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45908</v>
      </c>
      <c r="E146" s="1" t="n">
        <v>46227</v>
      </c>
      <c r="F146" t="inlineStr">
        <is>
          <t>VÄSTMANLANDS LÄN</t>
        </is>
      </c>
      <c r="G146" t="inlineStr">
        <is>
          <t>VÄSTERÅS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46227</v>
      </c>
      <c r="F147" t="inlineStr">
        <is>
          <t>VÄSTMANLANDS LÄN</t>
        </is>
      </c>
      <c r="G147" t="inlineStr">
        <is>
          <t>VÄSTERÅS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45979</v>
      </c>
      <c r="E148" s="1" t="n">
        <v>46227</v>
      </c>
      <c r="F148" t="inlineStr">
        <is>
          <t>VÄSTMANLANDS LÄN</t>
        </is>
      </c>
      <c r="G148" t="inlineStr">
        <is>
          <t>VÄSTERÅS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46227</v>
      </c>
      <c r="F149" t="inlineStr">
        <is>
          <t>VÄSTMANLANDS LÄN</t>
        </is>
      </c>
      <c r="G149" t="inlineStr">
        <is>
          <t>VÄSTERÅS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46227</v>
      </c>
      <c r="F150" t="inlineStr">
        <is>
          <t>VÄSTMANLANDS LÄN</t>
        </is>
      </c>
      <c r="G150" t="inlineStr">
        <is>
          <t>VÄSTERÅS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46227</v>
      </c>
      <c r="F151" t="inlineStr">
        <is>
          <t>VÄSTMANLANDS LÄN</t>
        </is>
      </c>
      <c r="G151" t="inlineStr">
        <is>
          <t>VÄSTERÅS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42659-2021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44428</v>
      </c>
      <c r="E152" s="1" t="n">
        <v>46227</v>
      </c>
      <c r="F152" t="inlineStr">
        <is>
          <t>VÄSTMANLANDS LÄN</t>
        </is>
      </c>
      <c r="G152" t="inlineStr">
        <is>
          <t>VÄSTERÅS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17808-2023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45037</v>
      </c>
      <c r="E153" s="1" t="n">
        <v>46227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Sveaskog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46227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44999</v>
      </c>
      <c r="E155" s="1" t="n">
        <v>46227</v>
      </c>
      <c r="F155" t="inlineStr">
        <is>
          <t>VÄSTMANLANDS LÄN</t>
        </is>
      </c>
      <c r="G155" t="inlineStr">
        <is>
          <t>VÄSTERÅS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46227</v>
      </c>
      <c r="F156" t="inlineStr">
        <is>
          <t>VÄSTMANLANDS LÄN</t>
        </is>
      </c>
      <c r="G156" t="inlineStr">
        <is>
          <t>VÄSTERÅS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44717</v>
      </c>
      <c r="E157" s="1" t="n">
        <v>46227</v>
      </c>
      <c r="F157" t="inlineStr">
        <is>
          <t>VÄSTMANLANDS LÄN</t>
        </is>
      </c>
      <c r="G157" t="inlineStr">
        <is>
          <t>VÄSTERÅS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46227</v>
      </c>
      <c r="F158" t="inlineStr">
        <is>
          <t>VÄSTMANLANDS LÄN</t>
        </is>
      </c>
      <c r="G158" t="inlineStr">
        <is>
          <t>VÄSTERÅS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53833-2022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44880</v>
      </c>
      <c r="E159" s="1" t="n">
        <v>46227</v>
      </c>
      <c r="F159" t="inlineStr">
        <is>
          <t>VÄSTMANLANDS LÄN</t>
        </is>
      </c>
      <c r="G159" t="inlineStr">
        <is>
          <t>VÄSTERÅS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44880</v>
      </c>
      <c r="E160" s="1" t="n">
        <v>46227</v>
      </c>
      <c r="F160" t="inlineStr">
        <is>
          <t>VÄSTMANLANDS LÄN</t>
        </is>
      </c>
      <c r="G160" t="inlineStr">
        <is>
          <t>VÄSTERÅS</t>
        </is>
      </c>
      <c r="I160" t="n">
        <v>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44662</v>
      </c>
      <c r="E161" s="1" t="n">
        <v>46227</v>
      </c>
      <c r="F161" t="inlineStr">
        <is>
          <t>VÄSTMANLANDS LÄN</t>
        </is>
      </c>
      <c r="G161" t="inlineStr">
        <is>
          <t>VÄSTERÅS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31361-2025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46227</v>
      </c>
      <c r="F162" t="inlineStr">
        <is>
          <t>VÄSTMANLANDS LÄN</t>
        </is>
      </c>
      <c r="G162" t="inlineStr">
        <is>
          <t>VÄSTERÅS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31578-2025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46227</v>
      </c>
      <c r="F163" t="inlineStr">
        <is>
          <t>VÄSTMANLANDS LÄN</t>
        </is>
      </c>
      <c r="G163" t="inlineStr">
        <is>
          <t>VÄSTERÅS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63851-2021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44509</v>
      </c>
      <c r="E164" s="1" t="n">
        <v>46227</v>
      </c>
      <c r="F164" t="inlineStr">
        <is>
          <t>VÄSTMANLANDS LÄN</t>
        </is>
      </c>
      <c r="G164" t="inlineStr">
        <is>
          <t>VÄSTERÅS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45639</v>
      </c>
      <c r="E165" s="1" t="n">
        <v>46227</v>
      </c>
      <c r="F165" t="inlineStr">
        <is>
          <t>VÄSTMANLANDS LÄN</t>
        </is>
      </c>
      <c r="G165" t="inlineStr">
        <is>
          <t>VÄSTERÅS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46227</v>
      </c>
      <c r="F166" t="inlineStr">
        <is>
          <t>VÄSTMANLANDS LÄN</t>
        </is>
      </c>
      <c r="G166" t="inlineStr">
        <is>
          <t>VÄSTERÅS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45628</v>
      </c>
      <c r="E167" s="1" t="n">
        <v>46227</v>
      </c>
      <c r="F167" t="inlineStr">
        <is>
          <t>VÄSTMANLANDS LÄN</t>
        </is>
      </c>
      <c r="G167" t="inlineStr">
        <is>
          <t>VÄSTERÅS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46227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46227</v>
      </c>
      <c r="F169" t="inlineStr">
        <is>
          <t>VÄSTMANLANDS LÄN</t>
        </is>
      </c>
      <c r="G169" t="inlineStr">
        <is>
          <t>VÄSTERÅS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46227</v>
      </c>
      <c r="F170" t="inlineStr">
        <is>
          <t>VÄSTMANLANDS LÄN</t>
        </is>
      </c>
      <c r="G170" t="inlineStr">
        <is>
          <t>VÄSTERÅS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46227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46227</v>
      </c>
      <c r="F172" t="inlineStr">
        <is>
          <t>VÄSTMANLANDS LÄN</t>
        </is>
      </c>
      <c r="G172" t="inlineStr">
        <is>
          <t>VÄSTERÅS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44999</v>
      </c>
      <c r="E173" s="1" t="n">
        <v>46227</v>
      </c>
      <c r="F173" t="inlineStr">
        <is>
          <t>VÄSTMANLANDS LÄN</t>
        </is>
      </c>
      <c r="G173" t="inlineStr">
        <is>
          <t>VÄSTERÅS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46227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3118-2022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44582</v>
      </c>
      <c r="E175" s="1" t="n">
        <v>46227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Aktiebolag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46227</v>
      </c>
      <c r="F176" t="inlineStr">
        <is>
          <t>VÄSTMANLANDS LÄN</t>
        </is>
      </c>
      <c r="G176" t="inlineStr">
        <is>
          <t>VÄSTERÅS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46227</v>
      </c>
      <c r="F177" t="inlineStr">
        <is>
          <t>VÄSTMANLANDS LÄN</t>
        </is>
      </c>
      <c r="G177" t="inlineStr">
        <is>
          <t>VÄSTERÅS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46227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Allmännings- och besparingsskogar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45705</v>
      </c>
      <c r="E179" s="1" t="n">
        <v>46227</v>
      </c>
      <c r="F179" t="inlineStr">
        <is>
          <t>VÄSTMANLANDS LÄN</t>
        </is>
      </c>
      <c r="G179" t="inlineStr">
        <is>
          <t>VÄSTERÅS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46227</v>
      </c>
      <c r="F180" t="inlineStr">
        <is>
          <t>VÄSTMANLANDS LÄN</t>
        </is>
      </c>
      <c r="G180" t="inlineStr">
        <is>
          <t>VÄSTERÅS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46227</v>
      </c>
      <c r="F181" t="inlineStr">
        <is>
          <t>VÄSTMANLANDS LÄN</t>
        </is>
      </c>
      <c r="G181" t="inlineStr">
        <is>
          <t>VÄSTERÅS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45947</v>
      </c>
      <c r="E182" s="1" t="n">
        <v>46227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Övriga statliga verk och myndigheter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44695-2022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46227</v>
      </c>
      <c r="F183" t="inlineStr">
        <is>
          <t>VÄSTMANLANDS LÄN</t>
        </is>
      </c>
      <c r="G183" t="inlineStr">
        <is>
          <t>VÄSTERÅS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46227</v>
      </c>
      <c r="F184" t="inlineStr">
        <is>
          <t>VÄSTMANLANDS LÄN</t>
        </is>
      </c>
      <c r="G184" t="inlineStr">
        <is>
          <t>VÄSTERÅS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45735</v>
      </c>
      <c r="E185" s="1" t="n">
        <v>46227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46059</v>
      </c>
      <c r="E186" s="1" t="n">
        <v>46227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46062</v>
      </c>
      <c r="E187" s="1" t="n">
        <v>46227</v>
      </c>
      <c r="F187" t="inlineStr">
        <is>
          <t>VÄSTMANLANDS LÄN</t>
        </is>
      </c>
      <c r="G187" t="inlineStr">
        <is>
          <t>VÄSTERÅS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46227</v>
      </c>
      <c r="F188" t="inlineStr">
        <is>
          <t>VÄSTMANLANDS LÄN</t>
        </is>
      </c>
      <c r="G188" t="inlineStr">
        <is>
          <t>VÄSTERÅS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44874</v>
      </c>
      <c r="E189" s="1" t="n">
        <v>46227</v>
      </c>
      <c r="F189" t="inlineStr">
        <is>
          <t>VÄSTMANLANDS LÄN</t>
        </is>
      </c>
      <c r="G189" t="inlineStr">
        <is>
          <t>VÄSTERÅS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46227</v>
      </c>
      <c r="F190" t="inlineStr">
        <is>
          <t>VÄSTMANLANDS LÄN</t>
        </is>
      </c>
      <c r="G190" t="inlineStr">
        <is>
          <t>VÄSTERÅS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45223</v>
      </c>
      <c r="E191" s="1" t="n">
        <v>46227</v>
      </c>
      <c r="F191" t="inlineStr">
        <is>
          <t>VÄSTMANLANDS LÄN</t>
        </is>
      </c>
      <c r="G191" t="inlineStr">
        <is>
          <t>VÄSTERÅS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8871-2026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46227</v>
      </c>
      <c r="F192" t="inlineStr">
        <is>
          <t>VÄSTMANLANDS LÄN</t>
        </is>
      </c>
      <c r="G192" t="inlineStr">
        <is>
          <t>VÄSTERÅS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46227</v>
      </c>
      <c r="F193" t="inlineStr">
        <is>
          <t>VÄSTMANLANDS LÄN</t>
        </is>
      </c>
      <c r="G193" t="inlineStr">
        <is>
          <t>VÄSTERÅS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46227</v>
      </c>
      <c r="F194" t="inlineStr">
        <is>
          <t>VÄSTMANLANDS LÄN</t>
        </is>
      </c>
      <c r="G194" t="inlineStr">
        <is>
          <t>VÄSTERÅS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46227</v>
      </c>
      <c r="F195" t="inlineStr">
        <is>
          <t>VÄSTMANLANDS LÄN</t>
        </is>
      </c>
      <c r="G195" t="inlineStr">
        <is>
          <t>VÄSTERÅS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45222</v>
      </c>
      <c r="E196" s="1" t="n">
        <v>46227</v>
      </c>
      <c r="F196" t="inlineStr">
        <is>
          <t>VÄSTMANLANDS LÄN</t>
        </is>
      </c>
      <c r="G196" t="inlineStr">
        <is>
          <t>VÄSTERÅS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46079</v>
      </c>
      <c r="E197" s="1" t="n">
        <v>46227</v>
      </c>
      <c r="F197" t="inlineStr">
        <is>
          <t>VÄSTMANLANDS LÄN</t>
        </is>
      </c>
      <c r="G197" t="inlineStr">
        <is>
          <t>VÄSTERÅS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52027-2025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45952</v>
      </c>
      <c r="E198" s="1" t="n">
        <v>46227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Övriga statliga verk och myndigheter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46227</v>
      </c>
      <c r="F199" t="inlineStr">
        <is>
          <t>VÄSTMANLANDS LÄN</t>
        </is>
      </c>
      <c r="G199" t="inlineStr">
        <is>
          <t>VÄSTERÅS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11520-2026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46083</v>
      </c>
      <c r="E200" s="1" t="n">
        <v>46227</v>
      </c>
      <c r="F200" t="inlineStr">
        <is>
          <t>VÄSTMANLANDS LÄN</t>
        </is>
      </c>
      <c r="G200" t="inlineStr">
        <is>
          <t>VÄSTERÅS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46227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46227</v>
      </c>
      <c r="F202" t="inlineStr">
        <is>
          <t>VÄSTMANLANDS LÄN</t>
        </is>
      </c>
      <c r="G202" t="inlineStr">
        <is>
          <t>VÄSTERÅS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46227</v>
      </c>
      <c r="F203" t="inlineStr">
        <is>
          <t>VÄSTMANLANDS LÄN</t>
        </is>
      </c>
      <c r="G203" t="inlineStr">
        <is>
          <t>VÄSTERÅS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44594</v>
      </c>
      <c r="E204" s="1" t="n">
        <v>46227</v>
      </c>
      <c r="F204" t="inlineStr">
        <is>
          <t>VÄSTMANLANDS LÄN</t>
        </is>
      </c>
      <c r="G204" t="inlineStr">
        <is>
          <t>VÄSTERÅS</t>
        </is>
      </c>
      <c r="I204" t="n">
        <v>20.3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46084</v>
      </c>
      <c r="E205" s="1" t="n">
        <v>46227</v>
      </c>
      <c r="F205" t="inlineStr">
        <is>
          <t>VÄSTMANLANDS LÄN</t>
        </is>
      </c>
      <c r="G205" t="inlineStr">
        <is>
          <t>VÄSTERÅS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12625-2026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46227</v>
      </c>
      <c r="F206" t="inlineStr">
        <is>
          <t>VÄSTMANLANDS LÄN</t>
        </is>
      </c>
      <c r="G206" t="inlineStr">
        <is>
          <t>VÄSTERÅS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73601-2021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44552</v>
      </c>
      <c r="E207" s="1" t="n">
        <v>46227</v>
      </c>
      <c r="F207" t="inlineStr">
        <is>
          <t>VÄSTMANLANDS LÄN</t>
        </is>
      </c>
      <c r="G207" t="inlineStr">
        <is>
          <t>VÄSTERÅS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46227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38381-2022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46227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45457</v>
      </c>
      <c r="E210" s="1" t="n">
        <v>46227</v>
      </c>
      <c r="F210" t="inlineStr">
        <is>
          <t>VÄSTMANLANDS LÄN</t>
        </is>
      </c>
      <c r="G210" t="inlineStr">
        <is>
          <t>VÄSTERÅS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46227</v>
      </c>
      <c r="F211" t="inlineStr">
        <is>
          <t>VÄSTMANLANDS LÄN</t>
        </is>
      </c>
      <c r="G211" t="inlineStr">
        <is>
          <t>VÄSTERÅS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74314-2021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44559</v>
      </c>
      <c r="E212" s="1" t="n">
        <v>46227</v>
      </c>
      <c r="F212" t="inlineStr">
        <is>
          <t>VÄSTMANLANDS LÄN</t>
        </is>
      </c>
      <c r="G212" t="inlineStr">
        <is>
          <t>VÄSTERÅS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46104</v>
      </c>
      <c r="E213" s="1" t="n">
        <v>46227</v>
      </c>
      <c r="F213" t="inlineStr">
        <is>
          <t>VÄSTMANLANDS LÄN</t>
        </is>
      </c>
      <c r="G213" t="inlineStr">
        <is>
          <t>VÄSTERÅS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46227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46227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46227</v>
      </c>
      <c r="F216" t="inlineStr">
        <is>
          <t>VÄSTMANLANDS LÄN</t>
        </is>
      </c>
      <c r="G216" t="inlineStr">
        <is>
          <t>VÄSTERÅS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46227</v>
      </c>
      <c r="F217" t="inlineStr">
        <is>
          <t>VÄSTMANLANDS LÄN</t>
        </is>
      </c>
      <c r="G217" t="inlineStr">
        <is>
          <t>VÄSTERÅS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46227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46227</v>
      </c>
      <c r="F219" t="inlineStr">
        <is>
          <t>VÄSTMANLANDS LÄN</t>
        </is>
      </c>
      <c r="G219" t="inlineStr">
        <is>
          <t>VÄSTERÅS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16685-2026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46227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46227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46112</v>
      </c>
      <c r="E222" s="1" t="n">
        <v>46227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46227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46227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Allmännings- och besparingsskogar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12258-2022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44637</v>
      </c>
      <c r="E225" s="1" t="n">
        <v>46227</v>
      </c>
      <c r="F225" t="inlineStr">
        <is>
          <t>VÄSTMANLANDS LÄN</t>
        </is>
      </c>
      <c r="G225" t="inlineStr">
        <is>
          <t>VÄSTERÅS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16214-2023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45028</v>
      </c>
      <c r="E226" s="1" t="n">
        <v>46227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45160</v>
      </c>
      <c r="E227" s="1" t="n">
        <v>46227</v>
      </c>
      <c r="F227" t="inlineStr">
        <is>
          <t>VÄSTMANLANDS LÄN</t>
        </is>
      </c>
      <c r="G227" t="inlineStr">
        <is>
          <t>VÄSTERÅS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46227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41344-2023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45174</v>
      </c>
      <c r="E229" s="1" t="n">
        <v>46227</v>
      </c>
      <c r="F229" t="inlineStr">
        <is>
          <t>VÄSTMANLANDS LÄN</t>
        </is>
      </c>
      <c r="G229" t="inlineStr">
        <is>
          <t>VÄSTERÅS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32998-2023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45125</v>
      </c>
      <c r="E230" s="1" t="n">
        <v>46227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18465-2023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45042</v>
      </c>
      <c r="E231" s="1" t="n">
        <v>46227</v>
      </c>
      <c r="F231" t="inlineStr">
        <is>
          <t>VÄSTMANLANDS LÄN</t>
        </is>
      </c>
      <c r="G231" t="inlineStr">
        <is>
          <t>VÄSTERÅS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44556</v>
      </c>
      <c r="E232" s="1" t="n">
        <v>46227</v>
      </c>
      <c r="F232" t="inlineStr">
        <is>
          <t>VÄSTMANLANDS LÄN</t>
        </is>
      </c>
      <c r="G232" t="inlineStr">
        <is>
          <t>VÄSTERÅS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46227</v>
      </c>
      <c r="F233" t="inlineStr">
        <is>
          <t>VÄSTMANLANDS LÄN</t>
        </is>
      </c>
      <c r="G233" t="inlineStr">
        <is>
          <t>VÄSTERÅS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45628</v>
      </c>
      <c r="E234" s="1" t="n">
        <v>46227</v>
      </c>
      <c r="F234" t="inlineStr">
        <is>
          <t>VÄSTMANLANDS LÄN</t>
        </is>
      </c>
      <c r="G234" t="inlineStr">
        <is>
          <t>VÄSTERÅS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46227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73597-2021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44552</v>
      </c>
      <c r="E236" s="1" t="n">
        <v>46227</v>
      </c>
      <c r="F236" t="inlineStr">
        <is>
          <t>VÄSTMANLANDS LÄN</t>
        </is>
      </c>
      <c r="G236" t="inlineStr">
        <is>
          <t>VÄSTERÅS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19927-2026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46136</v>
      </c>
      <c r="E237" s="1" t="n">
        <v>46227</v>
      </c>
      <c r="F237" t="inlineStr">
        <is>
          <t>VÄSTMANLANDS LÄN</t>
        </is>
      </c>
      <c r="G237" t="inlineStr">
        <is>
          <t>VÄSTERÅS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44645</v>
      </c>
      <c r="E238" s="1" t="n">
        <v>46227</v>
      </c>
      <c r="F238" t="inlineStr">
        <is>
          <t>VÄSTMANLANDS LÄN</t>
        </is>
      </c>
      <c r="G238" t="inlineStr">
        <is>
          <t>VÄSTERÅS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45506</v>
      </c>
      <c r="E239" s="1" t="n">
        <v>46227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67350-2021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44523</v>
      </c>
      <c r="E240" s="1" t="n">
        <v>46227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Övriga Aktiebolag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12131-2022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44636</v>
      </c>
      <c r="E241" s="1" t="n">
        <v>46227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44606</v>
      </c>
      <c r="E242" s="1" t="n">
        <v>46227</v>
      </c>
      <c r="F242" t="inlineStr">
        <is>
          <t>VÄSTMANLANDS LÄN</t>
        </is>
      </c>
      <c r="G242" t="inlineStr">
        <is>
          <t>VÄSTERÅS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46227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46227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44658</v>
      </c>
      <c r="E245" s="1" t="n">
        <v>46227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44635</v>
      </c>
      <c r="E246" s="1" t="n">
        <v>46227</v>
      </c>
      <c r="F246" t="inlineStr">
        <is>
          <t>VÄSTMANLANDS LÄN</t>
        </is>
      </c>
      <c r="G246" t="inlineStr">
        <is>
          <t>VÄSTERÅS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44635</v>
      </c>
      <c r="E247" s="1" t="n">
        <v>46227</v>
      </c>
      <c r="F247" t="inlineStr">
        <is>
          <t>VÄSTMANLANDS LÄN</t>
        </is>
      </c>
      <c r="G247" t="inlineStr">
        <is>
          <t>VÄSTERÅS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44610</v>
      </c>
      <c r="E248" s="1" t="n">
        <v>46227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11950-2022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44635</v>
      </c>
      <c r="E249" s="1" t="n">
        <v>46227</v>
      </c>
      <c r="F249" t="inlineStr">
        <is>
          <t>VÄSTMANLANDS LÄN</t>
        </is>
      </c>
      <c r="G249" t="inlineStr">
        <is>
          <t>VÄSTERÅS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44708</v>
      </c>
      <c r="E250" s="1" t="n">
        <v>46227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Sveaskog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45705</v>
      </c>
      <c r="E251" s="1" t="n">
        <v>46227</v>
      </c>
      <c r="F251" t="inlineStr">
        <is>
          <t>VÄSTMANLANDS LÄN</t>
        </is>
      </c>
      <c r="G251" t="inlineStr">
        <is>
          <t>VÄSTERÅS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46227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44680</v>
      </c>
      <c r="E253" s="1" t="n">
        <v>46227</v>
      </c>
      <c r="F253" t="inlineStr">
        <is>
          <t>VÄSTMANLANDS LÄN</t>
        </is>
      </c>
      <c r="G253" t="inlineStr">
        <is>
          <t>VÄSTERÅS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27722-2022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44743</v>
      </c>
      <c r="E254" s="1" t="n">
        <v>46227</v>
      </c>
      <c r="F254" t="inlineStr">
        <is>
          <t>VÄSTMANLANDS LÄN</t>
        </is>
      </c>
      <c r="G254" t="inlineStr">
        <is>
          <t>VÄSTERÅS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45153</v>
      </c>
      <c r="E255" s="1" t="n">
        <v>46227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51223-2023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46227</v>
      </c>
      <c r="F256" t="inlineStr">
        <is>
          <t>VÄSTMANLANDS LÄN</t>
        </is>
      </c>
      <c r="G256" t="inlineStr">
        <is>
          <t>VÄSTERÅS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44664</v>
      </c>
      <c r="E257" s="1" t="n">
        <v>46227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51230-2023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45219</v>
      </c>
      <c r="E258" s="1" t="n">
        <v>46227</v>
      </c>
      <c r="F258" t="inlineStr">
        <is>
          <t>VÄSTMANLANDS LÄN</t>
        </is>
      </c>
      <c r="G258" t="inlineStr">
        <is>
          <t>VÄSTERÅS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23765-2022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46227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46227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64202-2023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46227</v>
      </c>
      <c r="F261" t="inlineStr">
        <is>
          <t>VÄSTMANLANDS LÄN</t>
        </is>
      </c>
      <c r="G261" t="inlineStr">
        <is>
          <t>VÄSTERÅS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46227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46227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46227</v>
      </c>
      <c r="F264" t="inlineStr">
        <is>
          <t>VÄSTMANLANDS LÄN</t>
        </is>
      </c>
      <c r="G264" t="inlineStr">
        <is>
          <t>VÄSTERÅS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46227</v>
      </c>
      <c r="F265" t="inlineStr">
        <is>
          <t>VÄSTMANLANDS LÄN</t>
        </is>
      </c>
      <c r="G265" t="inlineStr">
        <is>
          <t>VÄSTERÅS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46227</v>
      </c>
      <c r="F266" t="inlineStr">
        <is>
          <t>VÄSTMANLANDS LÄN</t>
        </is>
      </c>
      <c r="G266" t="inlineStr">
        <is>
          <t>VÄSTERÅS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44648</v>
      </c>
      <c r="E267" s="1" t="n">
        <v>46227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46227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46227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46227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46227</v>
      </c>
      <c r="F271" t="inlineStr">
        <is>
          <t>VÄSTMANLANDS LÄN</t>
        </is>
      </c>
      <c r="G271" t="inlineStr">
        <is>
          <t>VÄSTERÅS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44847</v>
      </c>
      <c r="E272" s="1" t="n">
        <v>46227</v>
      </c>
      <c r="F272" t="inlineStr">
        <is>
          <t>VÄSTMANLANDS LÄN</t>
        </is>
      </c>
      <c r="G272" t="inlineStr">
        <is>
          <t>VÄSTERÅS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38329-2021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44405</v>
      </c>
      <c r="E273" s="1" t="n">
        <v>46227</v>
      </c>
      <c r="F273" t="inlineStr">
        <is>
          <t>VÄSTMANLANDS LÄN</t>
        </is>
      </c>
      <c r="G273" t="inlineStr">
        <is>
          <t>VÄSTERÅS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44961</v>
      </c>
      <c r="E274" s="1" t="n">
        <v>46227</v>
      </c>
      <c r="F274" t="inlineStr">
        <is>
          <t>VÄSTMANLANDS LÄN</t>
        </is>
      </c>
      <c r="G274" t="inlineStr">
        <is>
          <t>VÄSTERÅS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46154</v>
      </c>
      <c r="E275" s="1" t="n">
        <v>46227</v>
      </c>
      <c r="F275" t="inlineStr">
        <is>
          <t>VÄSTMANLANDS LÄN</t>
        </is>
      </c>
      <c r="G275" t="inlineStr">
        <is>
          <t>VÄSTERÅS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46154</v>
      </c>
      <c r="E276" s="1" t="n">
        <v>46227</v>
      </c>
      <c r="F276" t="inlineStr">
        <is>
          <t>VÄSTMANLANDS LÄN</t>
        </is>
      </c>
      <c r="G276" t="inlineStr">
        <is>
          <t>VÄSTERÅS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46227</v>
      </c>
      <c r="F277" t="inlineStr">
        <is>
          <t>VÄSTMANLANDS LÄN</t>
        </is>
      </c>
      <c r="G277" t="inlineStr">
        <is>
          <t>VÄSTERÅS</t>
        </is>
      </c>
      <c r="I277" t="n">
        <v>14.1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27271-2026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46227</v>
      </c>
      <c r="F278" t="inlineStr">
        <is>
          <t>VÄSTMANLANDS LÄN</t>
        </is>
      </c>
      <c r="G278" t="inlineStr">
        <is>
          <t>VÄSTERÅS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67352-2021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44523</v>
      </c>
      <c r="E279" s="1" t="n">
        <v>46227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Övriga Aktiebolag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44671</v>
      </c>
      <c r="E280" s="1" t="n">
        <v>46227</v>
      </c>
      <c r="F280" t="inlineStr">
        <is>
          <t>VÄSTMANLANDS LÄN</t>
        </is>
      </c>
      <c r="G280" t="inlineStr">
        <is>
          <t>VÄSTERÅS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45448</v>
      </c>
      <c r="E281" s="1" t="n">
        <v>46227</v>
      </c>
      <c r="F281" t="inlineStr">
        <is>
          <t>VÄSTMANLANDS LÄN</t>
        </is>
      </c>
      <c r="G281" t="inlineStr">
        <is>
          <t>VÄSTERÅS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46227</v>
      </c>
      <c r="F282" t="inlineStr">
        <is>
          <t>VÄSTMANLANDS LÄN</t>
        </is>
      </c>
      <c r="G282" t="inlineStr">
        <is>
          <t>VÄSTERÅS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23347-2026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46227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14926-2022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44657</v>
      </c>
      <c r="E284" s="1" t="n">
        <v>46227</v>
      </c>
      <c r="F284" t="inlineStr">
        <is>
          <t>VÄSTMANLANDS LÄN</t>
        </is>
      </c>
      <c r="G284" t="inlineStr">
        <is>
          <t>VÄSTERÅS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44755</v>
      </c>
      <c r="E285" s="1" t="n">
        <v>46227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11137-2023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44987</v>
      </c>
      <c r="E286" s="1" t="n">
        <v>46227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45019</v>
      </c>
      <c r="E287" s="1" t="n">
        <v>46227</v>
      </c>
      <c r="F287" t="inlineStr">
        <is>
          <t>VÄSTMANLANDS LÄN</t>
        </is>
      </c>
      <c r="G287" t="inlineStr">
        <is>
          <t>VÄSTERÅS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44610</v>
      </c>
      <c r="E288" s="1" t="n">
        <v>46227</v>
      </c>
      <c r="F288" t="inlineStr">
        <is>
          <t>VÄSTMANLANDS LÄN</t>
        </is>
      </c>
      <c r="G288" t="inlineStr">
        <is>
          <t>VÄSTERÅS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45443</v>
      </c>
      <c r="E289" s="1" t="n">
        <v>46227</v>
      </c>
      <c r="F289" t="inlineStr">
        <is>
          <t>VÄSTMANLANDS LÄN</t>
        </is>
      </c>
      <c r="G289" t="inlineStr">
        <is>
          <t>VÄSTERÅS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22832-2023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45072</v>
      </c>
      <c r="E290" s="1" t="n">
        <v>46227</v>
      </c>
      <c r="F290" t="inlineStr">
        <is>
          <t>VÄSTMANLANDS LÄN</t>
        </is>
      </c>
      <c r="G290" t="inlineStr">
        <is>
          <t>VÄSTERÅS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39817-2024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46227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23497-2026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46163</v>
      </c>
      <c r="E292" s="1" t="n">
        <v>46227</v>
      </c>
      <c r="F292" t="inlineStr">
        <is>
          <t>VÄSTMANLANDS LÄN</t>
        </is>
      </c>
      <c r="G292" t="inlineStr">
        <is>
          <t>VÄSTERÅS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45579</v>
      </c>
      <c r="E293" s="1" t="n">
        <v>46227</v>
      </c>
      <c r="F293" t="inlineStr">
        <is>
          <t>VÄSTMANLANDS LÄN</t>
        </is>
      </c>
      <c r="G293" t="inlineStr">
        <is>
          <t>VÄSTERÅS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46227</v>
      </c>
      <c r="F294" t="inlineStr">
        <is>
          <t>VÄSTMANLANDS LÄN</t>
        </is>
      </c>
      <c r="G294" t="inlineStr">
        <is>
          <t>VÄSTERÅS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46227</v>
      </c>
      <c r="F295" t="inlineStr">
        <is>
          <t>VÄSTMANLANDS LÄN</t>
        </is>
      </c>
      <c r="G295" t="inlineStr">
        <is>
          <t>VÄSTERÅS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46227</v>
      </c>
      <c r="F296" t="inlineStr">
        <is>
          <t>VÄSTMANLANDS LÄN</t>
        </is>
      </c>
      <c r="G296" t="inlineStr">
        <is>
          <t>VÄSTERÅS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61249-2021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46227</v>
      </c>
      <c r="F297" t="inlineStr">
        <is>
          <t>VÄSTMANLANDS LÄN</t>
        </is>
      </c>
      <c r="G297" t="inlineStr">
        <is>
          <t>VÄSTERÅS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8727-2023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44978</v>
      </c>
      <c r="E298" s="1" t="n">
        <v>46227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Kyrkan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24262-2026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46169</v>
      </c>
      <c r="E299" s="1" t="n">
        <v>46227</v>
      </c>
      <c r="F299" t="inlineStr">
        <is>
          <t>VÄSTMANLANDS LÄN</t>
        </is>
      </c>
      <c r="G299" t="inlineStr">
        <is>
          <t>VÄSTERÅS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46169</v>
      </c>
      <c r="E300" s="1" t="n">
        <v>46227</v>
      </c>
      <c r="F300" t="inlineStr">
        <is>
          <t>VÄSTMANLANDS LÄN</t>
        </is>
      </c>
      <c r="G300" t="inlineStr">
        <is>
          <t>VÄSTERÅS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24321-2026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46169</v>
      </c>
      <c r="E301" s="1" t="n">
        <v>46227</v>
      </c>
      <c r="F301" t="inlineStr">
        <is>
          <t>VÄSTMANLANDS LÄN</t>
        </is>
      </c>
      <c r="G301" t="inlineStr">
        <is>
          <t>VÄSTERÅS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46227</v>
      </c>
      <c r="F302" t="inlineStr">
        <is>
          <t>VÄSTMANLANDS LÄN</t>
        </is>
      </c>
      <c r="G302" t="inlineStr">
        <is>
          <t>VÄSTERÅS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45274</v>
      </c>
      <c r="E303" s="1" t="n">
        <v>46227</v>
      </c>
      <c r="F303" t="inlineStr">
        <is>
          <t>VÄSTMANLANDS LÄN</t>
        </is>
      </c>
      <c r="G303" t="inlineStr">
        <is>
          <t>VÄSTERÅS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46213</v>
      </c>
      <c r="E304" s="1" t="n">
        <v>46227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46227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46227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46227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46215</v>
      </c>
      <c r="E308" s="1" t="n">
        <v>46227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46227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24540-2026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46227</v>
      </c>
      <c r="F310" t="inlineStr">
        <is>
          <t>VÄSTMANLANDS LÄN</t>
        </is>
      </c>
      <c r="G310" t="inlineStr">
        <is>
          <t>VÄSTERÅS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46227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46227</v>
      </c>
      <c r="F312" t="inlineStr">
        <is>
          <t>VÄSTMANLANDS LÄN</t>
        </is>
      </c>
      <c r="G312" t="inlineStr">
        <is>
          <t>VÄSTERÅS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58577-2023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46227</v>
      </c>
      <c r="F313" t="inlineStr">
        <is>
          <t>VÄSTMANLANDS LÄN</t>
        </is>
      </c>
      <c r="G313" t="inlineStr">
        <is>
          <t>VÄSTERÅS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15316-2022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44659</v>
      </c>
      <c r="E314" s="1" t="n">
        <v>46227</v>
      </c>
      <c r="F314" t="inlineStr">
        <is>
          <t>VÄSTMANLANDS LÄN</t>
        </is>
      </c>
      <c r="G314" t="inlineStr">
        <is>
          <t>VÄSTERÅS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64714-2023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45281</v>
      </c>
      <c r="E315" s="1" t="n">
        <v>46227</v>
      </c>
      <c r="F315" t="inlineStr">
        <is>
          <t>VÄSTMANLANDS LÄN</t>
        </is>
      </c>
      <c r="G315" t="inlineStr">
        <is>
          <t>VÄSTERÅS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44574</v>
      </c>
      <c r="E316" s="1" t="n">
        <v>46227</v>
      </c>
      <c r="F316" t="inlineStr">
        <is>
          <t>VÄSTMANLANDS LÄN</t>
        </is>
      </c>
      <c r="G316" t="inlineStr">
        <is>
          <t>VÄSTERÅS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46227</v>
      </c>
      <c r="F317" t="inlineStr">
        <is>
          <t>VÄSTMANLANDS LÄN</t>
        </is>
      </c>
      <c r="G317" t="inlineStr">
        <is>
          <t>VÄSTERÅS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46227</v>
      </c>
      <c r="F318" t="inlineStr">
        <is>
          <t>VÄSTMANLANDS LÄN</t>
        </is>
      </c>
      <c r="G318" t="inlineStr">
        <is>
          <t>VÄSTERÅS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46227</v>
      </c>
      <c r="F319" t="inlineStr">
        <is>
          <t>VÄSTMANLANDS LÄN</t>
        </is>
      </c>
      <c r="G319" t="inlineStr">
        <is>
          <t>VÄSTERÅS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46184</v>
      </c>
      <c r="E320" s="1" t="n">
        <v>46227</v>
      </c>
      <c r="F320" t="inlineStr">
        <is>
          <t>VÄSTMANLANDS LÄN</t>
        </is>
      </c>
      <c r="G320" t="inlineStr">
        <is>
          <t>VÄSTERÅS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46227</v>
      </c>
      <c r="F321" t="inlineStr">
        <is>
          <t>VÄSTMANLANDS LÄN</t>
        </is>
      </c>
      <c r="G321" t="inlineStr">
        <is>
          <t>VÄSTERÅS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45398</v>
      </c>
      <c r="E322" s="1" t="n">
        <v>46227</v>
      </c>
      <c r="F322" t="inlineStr">
        <is>
          <t>VÄSTMANLANDS LÄN</t>
        </is>
      </c>
      <c r="G322" t="inlineStr">
        <is>
          <t>VÄSTERÅS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46183</v>
      </c>
      <c r="E323" s="1" t="n">
        <v>46227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Allmännings- och besparingsskogar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46227</v>
      </c>
      <c r="F324" t="inlineStr">
        <is>
          <t>VÄSTMANLANDS LÄN</t>
        </is>
      </c>
      <c r="G324" t="inlineStr">
        <is>
          <t>VÄSTERÅS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55684-2023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45232</v>
      </c>
      <c r="E325" s="1" t="n">
        <v>46227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Övriga Aktiebolag</t>
        </is>
      </c>
      <c r="I325" t="n">
        <v>29.4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46227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Kyrkan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45019</v>
      </c>
      <c r="E327" s="1" t="n">
        <v>46227</v>
      </c>
      <c r="F327" t="inlineStr">
        <is>
          <t>VÄSTMANLANDS LÄN</t>
        </is>
      </c>
      <c r="G327" t="inlineStr">
        <is>
          <t>VÄSTERÅS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18467-2023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45042</v>
      </c>
      <c r="E328" s="1" t="n">
        <v>46227</v>
      </c>
      <c r="F328" t="inlineStr">
        <is>
          <t>VÄSTMANLANDS LÄN</t>
        </is>
      </c>
      <c r="G328" t="inlineStr">
        <is>
          <t>VÄSTERÅS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45033</v>
      </c>
      <c r="E329" s="1" t="n">
        <v>46227</v>
      </c>
      <c r="F329" t="inlineStr">
        <is>
          <t>VÄSTMANLANDS LÄN</t>
        </is>
      </c>
      <c r="G329" t="inlineStr">
        <is>
          <t>VÄSTERÅS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10912-2024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45370</v>
      </c>
      <c r="E330" s="1" t="n">
        <v>46227</v>
      </c>
      <c r="F330" t="inlineStr">
        <is>
          <t>VÄSTMANLANDS LÄN</t>
        </is>
      </c>
      <c r="G330" t="inlineStr">
        <is>
          <t>VÄSTERÅS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45019</v>
      </c>
      <c r="E331" s="1" t="n">
        <v>46227</v>
      </c>
      <c r="F331" t="inlineStr">
        <is>
          <t>VÄSTMANLANDS LÄN</t>
        </is>
      </c>
      <c r="G331" t="inlineStr">
        <is>
          <t>VÄSTERÅS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45713</v>
      </c>
      <c r="E332" s="1" t="n">
        <v>46227</v>
      </c>
      <c r="F332" t="inlineStr">
        <is>
          <t>VÄSTMANLANDS LÄN</t>
        </is>
      </c>
      <c r="G332" t="inlineStr">
        <is>
          <t>VÄSTERÅS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45638</v>
      </c>
      <c r="E333" s="1" t="n">
        <v>46227</v>
      </c>
      <c r="F333" t="inlineStr">
        <is>
          <t>VÄSTMANLANDS LÄN</t>
        </is>
      </c>
      <c r="G333" t="inlineStr">
        <is>
          <t>VÄSTERÅS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46227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46227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1415-2022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44634</v>
      </c>
      <c r="E336" s="1" t="n">
        <v>46227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953-2023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45005</v>
      </c>
      <c r="E337" s="1" t="n">
        <v>46227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46227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46227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46227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2026-07-24T01:50:03Z</dcterms:created>
  <dcterms:modified xmlns:dcterms="http://purl.org/dc/terms/" xmlns:xsi="http://www.w3.org/2001/XMLSchema-instance" xsi:type="dcterms:W3CDTF">2026-07-24T01:50:03Z</dcterms:modified>
</cp:coreProperties>
</file>