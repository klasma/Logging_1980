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45992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45992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45992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45992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45992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45992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45992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45992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45992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45992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45992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45992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45992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45992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45992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45992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45992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45992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45992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45992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45992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45992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45992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45992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29787-2023</t>
        </is>
      </c>
      <c r="B26" s="1" t="n">
        <v>45107</v>
      </c>
      <c r="C26" s="1" t="n">
        <v>45992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HYPERLINK("https://klasma.github.io/Logging_1980/artfynd/A 29787-2023 artfynd.xlsx", "A 29787-2023")</f>
        <v/>
      </c>
      <c r="T26">
        <f>HYPERLINK("https://klasma.github.io/Logging_1980/kartor/A 29787-2023 karta.png", "A 29787-2023")</f>
        <v/>
      </c>
      <c r="V26">
        <f>HYPERLINK("https://klasma.github.io/Logging_1980/klagomål/A 29787-2023 FSC-klagomål.docx", "A 29787-2023")</f>
        <v/>
      </c>
      <c r="W26">
        <f>HYPERLINK("https://klasma.github.io/Logging_1980/klagomålsmail/A 29787-2023 FSC-klagomål mail.docx", "A 29787-2023")</f>
        <v/>
      </c>
      <c r="X26">
        <f>HYPERLINK("https://klasma.github.io/Logging_1980/tillsyn/A 29787-2023 tillsynsbegäran.docx", "A 29787-2023")</f>
        <v/>
      </c>
      <c r="Y26">
        <f>HYPERLINK("https://klasma.github.io/Logging_1980/tillsynsmail/A 29787-2023 tillsynsbegäran mail.docx", "A 29787-2023")</f>
        <v/>
      </c>
    </row>
    <row r="27" ht="15" customHeight="1">
      <c r="A27" t="inlineStr">
        <is>
          <t>A 59143-2025</t>
        </is>
      </c>
      <c r="B27" s="1" t="n">
        <v>45988.51401620371</v>
      </c>
      <c r="C27" s="1" t="n">
        <v>45992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12.4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HYPERLINK("https://klasma.github.io/Logging_1980/artfynd/A 59143-2025 artfynd.xlsx", "A 59143-2025")</f>
        <v/>
      </c>
      <c r="T27">
        <f>HYPERLINK("https://klasma.github.io/Logging_1980/kartor/A 59143-2025 karta.png", "A 59143-2025")</f>
        <v/>
      </c>
      <c r="V27">
        <f>HYPERLINK("https://klasma.github.io/Logging_1980/klagomål/A 59143-2025 FSC-klagomål.docx", "A 59143-2025")</f>
        <v/>
      </c>
      <c r="W27">
        <f>HYPERLINK("https://klasma.github.io/Logging_1980/klagomålsmail/A 59143-2025 FSC-klagomål mail.docx", "A 59143-2025")</f>
        <v/>
      </c>
      <c r="X27">
        <f>HYPERLINK("https://klasma.github.io/Logging_1980/tillsyn/A 59143-2025 tillsynsbegäran.docx", "A 59143-2025")</f>
        <v/>
      </c>
      <c r="Y27">
        <f>HYPERLINK("https://klasma.github.io/Logging_1980/tillsynsmail/A 59143-2025 tillsynsbegäran mail.docx", "A 59143-2025")</f>
        <v/>
      </c>
    </row>
    <row r="28" ht="15" customHeight="1">
      <c r="A28" t="inlineStr">
        <is>
          <t>A 59144-2025</t>
        </is>
      </c>
      <c r="B28" s="1" t="n">
        <v>45988.51458333333</v>
      </c>
      <c r="C28" s="1" t="n">
        <v>45992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HYPERLINK("https://klasma.github.io/Logging_1980/artfynd/A 59144-2025 artfynd.xlsx", "A 59144-2025")</f>
        <v/>
      </c>
      <c r="T28">
        <f>HYPERLINK("https://klasma.github.io/Logging_1980/kartor/A 59144-2025 karta.png", "A 59144-2025")</f>
        <v/>
      </c>
      <c r="V28">
        <f>HYPERLINK("https://klasma.github.io/Logging_1980/klagomål/A 59144-2025 FSC-klagomål.docx", "A 59144-2025")</f>
        <v/>
      </c>
      <c r="W28">
        <f>HYPERLINK("https://klasma.github.io/Logging_1980/klagomålsmail/A 59144-2025 FSC-klagomål mail.docx", "A 59144-2025")</f>
        <v/>
      </c>
      <c r="X28">
        <f>HYPERLINK("https://klasma.github.io/Logging_1980/tillsyn/A 59144-2025 tillsynsbegäran.docx", "A 59144-2025")</f>
        <v/>
      </c>
      <c r="Y28">
        <f>HYPERLINK("https://klasma.github.io/Logging_1980/tillsynsmail/A 59144-2025 tillsynsbegäran mail.docx", "A 59144-2025")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45992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45992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45992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45992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45992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45992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45992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21857-2022</t>
        </is>
      </c>
      <c r="B36" s="1" t="n">
        <v>44711</v>
      </c>
      <c r="C36" s="1" t="n">
        <v>45992</v>
      </c>
      <c r="D36" t="inlineStr">
        <is>
          <t>VÄSTMANLANDS LÄN</t>
        </is>
      </c>
      <c r="E36" t="inlineStr">
        <is>
          <t>VÄSTERÅS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11077-2022</t>
        </is>
      </c>
      <c r="B37" s="1" t="n">
        <v>44628</v>
      </c>
      <c r="C37" s="1" t="n">
        <v>45992</v>
      </c>
      <c r="D37" t="inlineStr">
        <is>
          <t>VÄSTMANLANDS LÄN</t>
        </is>
      </c>
      <c r="E37" t="inlineStr">
        <is>
          <t>VÄSTERÅS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45992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45992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45992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45992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45992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45992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45992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45992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45992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45992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45992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45992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45992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45992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45992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45992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45992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45992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45992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45992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45992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45992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45992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45992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45992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45992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45992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45992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45992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45992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45992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45992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45992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45992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45992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45992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45992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45992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45992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32436-2021</t>
        </is>
      </c>
      <c r="B77" s="1" t="n">
        <v>44371</v>
      </c>
      <c r="C77" s="1" t="n">
        <v>45992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45992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63318-2020</t>
        </is>
      </c>
      <c r="B79" s="1" t="n">
        <v>44165</v>
      </c>
      <c r="C79" s="1" t="n">
        <v>45992</v>
      </c>
      <c r="D79" t="inlineStr">
        <is>
          <t>VÄSTMANLANDS LÄN</t>
        </is>
      </c>
      <c r="E79" t="inlineStr">
        <is>
          <t>VÄSTERÅS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63346-2020</t>
        </is>
      </c>
      <c r="B80" s="1" t="n">
        <v>44165</v>
      </c>
      <c r="C80" s="1" t="n">
        <v>45992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13367-2022</t>
        </is>
      </c>
      <c r="B81" s="1" t="n">
        <v>44645</v>
      </c>
      <c r="C81" s="1" t="n">
        <v>45992</v>
      </c>
      <c r="D81" t="inlineStr">
        <is>
          <t>VÄSTMANLANDS LÄN</t>
        </is>
      </c>
      <c r="E81" t="inlineStr">
        <is>
          <t>VÄSTERÅS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13252-2021</t>
        </is>
      </c>
      <c r="B82" s="1" t="n">
        <v>44272</v>
      </c>
      <c r="C82" s="1" t="n">
        <v>45992</v>
      </c>
      <c r="D82" t="inlineStr">
        <is>
          <t>VÄSTMANLANDS LÄN</t>
        </is>
      </c>
      <c r="E82" t="inlineStr">
        <is>
          <t>VÄSTERÅS</t>
        </is>
      </c>
      <c r="G82" t="n">
        <v>24.2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20492-2022</t>
        </is>
      </c>
      <c r="B83" s="1" t="n">
        <v>44699</v>
      </c>
      <c r="C83" s="1" t="n">
        <v>45992</v>
      </c>
      <c r="D83" t="inlineStr">
        <is>
          <t>VÄSTMANLANDS LÄN</t>
        </is>
      </c>
      <c r="E83" t="inlineStr">
        <is>
          <t>VÄSTERÅS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45992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45992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10499-2022</t>
        </is>
      </c>
      <c r="B86" s="1" t="n">
        <v>44623.66508101852</v>
      </c>
      <c r="C86" s="1" t="n">
        <v>45992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9149-2021</t>
        </is>
      </c>
      <c r="B87" s="1" t="n">
        <v>44249</v>
      </c>
      <c r="C87" s="1" t="n">
        <v>45992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Kyrkan</t>
        </is>
      </c>
      <c r="G87" t="n">
        <v>14.8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45992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34073-2022</t>
        </is>
      </c>
      <c r="B89" s="1" t="n">
        <v>44791</v>
      </c>
      <c r="C89" s="1" t="n">
        <v>45992</v>
      </c>
      <c r="D89" t="inlineStr">
        <is>
          <t>VÄSTMANLANDS LÄN</t>
        </is>
      </c>
      <c r="E89" t="inlineStr">
        <is>
          <t>VÄSTERÅS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7534-2022</t>
        </is>
      </c>
      <c r="B90" s="1" t="n">
        <v>44607</v>
      </c>
      <c r="C90" s="1" t="n">
        <v>45992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63481-2023</t>
        </is>
      </c>
      <c r="B91" s="1" t="n">
        <v>45274.65821759259</v>
      </c>
      <c r="C91" s="1" t="n">
        <v>45992</v>
      </c>
      <c r="D91" t="inlineStr">
        <is>
          <t>VÄSTMANLANDS LÄN</t>
        </is>
      </c>
      <c r="E91" t="inlineStr">
        <is>
          <t>VÄSTERÅS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45992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16497-2022</t>
        </is>
      </c>
      <c r="B93" s="1" t="n">
        <v>44671</v>
      </c>
      <c r="C93" s="1" t="n">
        <v>45992</v>
      </c>
      <c r="D93" t="inlineStr">
        <is>
          <t>VÄSTMANLANDS LÄN</t>
        </is>
      </c>
      <c r="E93" t="inlineStr">
        <is>
          <t>VÄSTERÅS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45992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45992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24834-2021</t>
        </is>
      </c>
      <c r="B96" s="1" t="n">
        <v>44340</v>
      </c>
      <c r="C96" s="1" t="n">
        <v>45992</v>
      </c>
      <c r="D96" t="inlineStr">
        <is>
          <t>VÄSTMANLANDS LÄN</t>
        </is>
      </c>
      <c r="E96" t="inlineStr">
        <is>
          <t>VÄSTERÅS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73601-2021</t>
        </is>
      </c>
      <c r="B97" s="1" t="n">
        <v>44552.39164351852</v>
      </c>
      <c r="C97" s="1" t="n">
        <v>45992</v>
      </c>
      <c r="D97" t="inlineStr">
        <is>
          <t>VÄSTMANLANDS LÄN</t>
        </is>
      </c>
      <c r="E97" t="inlineStr">
        <is>
          <t>VÄSTERÅS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42257-2023</t>
        </is>
      </c>
      <c r="B98" s="1" t="n">
        <v>45180</v>
      </c>
      <c r="C98" s="1" t="n">
        <v>45992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46156-2022</t>
        </is>
      </c>
      <c r="B99" s="1" t="n">
        <v>44847.4725462963</v>
      </c>
      <c r="C99" s="1" t="n">
        <v>45992</v>
      </c>
      <c r="D99" t="inlineStr">
        <is>
          <t>VÄSTMANLANDS LÄN</t>
        </is>
      </c>
      <c r="E99" t="inlineStr">
        <is>
          <t>VÄSTERÅS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12258-2022</t>
        </is>
      </c>
      <c r="B100" s="1" t="n">
        <v>44637</v>
      </c>
      <c r="C100" s="1" t="n">
        <v>45992</v>
      </c>
      <c r="D100" t="inlineStr">
        <is>
          <t>VÄSTMANLANDS LÄN</t>
        </is>
      </c>
      <c r="E100" t="inlineStr">
        <is>
          <t>VÄSTERÅS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26556-2022</t>
        </is>
      </c>
      <c r="B101" s="1" t="n">
        <v>44739.47778935185</v>
      </c>
      <c r="C101" s="1" t="n">
        <v>45992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26568-2022</t>
        </is>
      </c>
      <c r="B102" s="1" t="n">
        <v>44739</v>
      </c>
      <c r="C102" s="1" t="n">
        <v>45992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30096-2023</t>
        </is>
      </c>
      <c r="B103" s="1" t="n">
        <v>45110</v>
      </c>
      <c r="C103" s="1" t="n">
        <v>45992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45992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74314-2021</t>
        </is>
      </c>
      <c r="B105" s="1" t="n">
        <v>44559</v>
      </c>
      <c r="C105" s="1" t="n">
        <v>45992</v>
      </c>
      <c r="D105" t="inlineStr">
        <is>
          <t>VÄSTMANLANDS LÄN</t>
        </is>
      </c>
      <c r="E105" t="inlineStr">
        <is>
          <t>VÄSTERÅS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44610.6044212963</v>
      </c>
      <c r="C106" s="1" t="n">
        <v>45992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8362-2022</t>
        </is>
      </c>
      <c r="B107" s="1" t="n">
        <v>44610.60694444444</v>
      </c>
      <c r="C107" s="1" t="n">
        <v>45992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8346-2022</t>
        </is>
      </c>
      <c r="B108" s="1" t="n">
        <v>44610</v>
      </c>
      <c r="C108" s="1" t="n">
        <v>45992</v>
      </c>
      <c r="D108" t="inlineStr">
        <is>
          <t>VÄSTMANLANDS LÄN</t>
        </is>
      </c>
      <c r="E108" t="inlineStr">
        <is>
          <t>VÄSTERÅS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32868-2024</t>
        </is>
      </c>
      <c r="B109" s="1" t="n">
        <v>45516.65678240741</v>
      </c>
      <c r="C109" s="1" t="n">
        <v>45992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55676-2023</t>
        </is>
      </c>
      <c r="B110" s="1" t="n">
        <v>45232</v>
      </c>
      <c r="C110" s="1" t="n">
        <v>45992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Övriga Aktiebolag</t>
        </is>
      </c>
      <c r="G110" t="n">
        <v>37.9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15355-2023</t>
        </is>
      </c>
      <c r="B111" s="1" t="n">
        <v>45019</v>
      </c>
      <c r="C111" s="1" t="n">
        <v>45992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59740-2024</t>
        </is>
      </c>
      <c r="B112" s="1" t="n">
        <v>45639.52766203704</v>
      </c>
      <c r="C112" s="1" t="n">
        <v>45992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13632-2025</t>
        </is>
      </c>
      <c r="B113" s="1" t="n">
        <v>45736</v>
      </c>
      <c r="C113" s="1" t="n">
        <v>45992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15622-2022</t>
        </is>
      </c>
      <c r="B114" s="1" t="n">
        <v>44662</v>
      </c>
      <c r="C114" s="1" t="n">
        <v>45992</v>
      </c>
      <c r="D114" t="inlineStr">
        <is>
          <t>VÄSTMANLANDS LÄN</t>
        </is>
      </c>
      <c r="E114" t="inlineStr">
        <is>
          <t>VÄSTERÅS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22832-2023</t>
        </is>
      </c>
      <c r="B115" s="1" t="n">
        <v>45072</v>
      </c>
      <c r="C115" s="1" t="n">
        <v>45992</v>
      </c>
      <c r="D115" t="inlineStr">
        <is>
          <t>VÄSTMANLANDS LÄN</t>
        </is>
      </c>
      <c r="E115" t="inlineStr">
        <is>
          <t>VÄSTERÅS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45992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7437-2025</t>
        </is>
      </c>
      <c r="B117" s="1" t="n">
        <v>45705</v>
      </c>
      <c r="C117" s="1" t="n">
        <v>45992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10912-2024</t>
        </is>
      </c>
      <c r="B118" s="1" t="n">
        <v>45370.39363425926</v>
      </c>
      <c r="C118" s="1" t="n">
        <v>45992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5724-2023</t>
        </is>
      </c>
      <c r="B119" s="1" t="n">
        <v>44961</v>
      </c>
      <c r="C119" s="1" t="n">
        <v>45992</v>
      </c>
      <c r="D119" t="inlineStr">
        <is>
          <t>VÄSTMANLANDS LÄN</t>
        </is>
      </c>
      <c r="E119" t="inlineStr">
        <is>
          <t>VÄSTERÅS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42659-2021</t>
        </is>
      </c>
      <c r="B120" s="1" t="n">
        <v>44428</v>
      </c>
      <c r="C120" s="1" t="n">
        <v>45992</v>
      </c>
      <c r="D120" t="inlineStr">
        <is>
          <t>VÄSTMANLANDS LÄN</t>
        </is>
      </c>
      <c r="E120" t="inlineStr">
        <is>
          <t>VÄSTERÅS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38538-2023</t>
        </is>
      </c>
      <c r="B121" s="1" t="n">
        <v>45162</v>
      </c>
      <c r="C121" s="1" t="n">
        <v>45992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38823-2025</t>
        </is>
      </c>
      <c r="B122" s="1" t="n">
        <v>45887.50710648148</v>
      </c>
      <c r="C122" s="1" t="n">
        <v>45992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24546-2025</t>
        </is>
      </c>
      <c r="B123" s="1" t="n">
        <v>45798.44658564815</v>
      </c>
      <c r="C123" s="1" t="n">
        <v>45992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15329-2023</t>
        </is>
      </c>
      <c r="B124" s="1" t="n">
        <v>45019</v>
      </c>
      <c r="C124" s="1" t="n">
        <v>45992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16074-2025</t>
        </is>
      </c>
      <c r="B125" s="1" t="n">
        <v>45749</v>
      </c>
      <c r="C125" s="1" t="n">
        <v>45992</v>
      </c>
      <c r="D125" t="inlineStr">
        <is>
          <t>VÄSTMANLANDS LÄN</t>
        </is>
      </c>
      <c r="E125" t="inlineStr">
        <is>
          <t>VÄSTERÅS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51147-2023</t>
        </is>
      </c>
      <c r="B126" s="1" t="n">
        <v>45219.3633912037</v>
      </c>
      <c r="C126" s="1" t="n">
        <v>45992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51951-2023</t>
        </is>
      </c>
      <c r="B127" s="1" t="n">
        <v>45223</v>
      </c>
      <c r="C127" s="1" t="n">
        <v>45992</v>
      </c>
      <c r="D127" t="inlineStr">
        <is>
          <t>VÄSTMANLANDS LÄN</t>
        </is>
      </c>
      <c r="E127" t="inlineStr">
        <is>
          <t>VÄSTERÅS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25568-2025</t>
        </is>
      </c>
      <c r="B128" s="1" t="n">
        <v>45803.46421296296</v>
      </c>
      <c r="C128" s="1" t="n">
        <v>45992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Allmännings- och besparingsskogar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56945-2024</t>
        </is>
      </c>
      <c r="B129" s="1" t="n">
        <v>45628.62780092593</v>
      </c>
      <c r="C129" s="1" t="n">
        <v>45992</v>
      </c>
      <c r="D129" t="inlineStr">
        <is>
          <t>VÄSTMANLANDS LÄN</t>
        </is>
      </c>
      <c r="E129" t="inlineStr">
        <is>
          <t>VÄSTERÅS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45992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49232-2024</t>
        </is>
      </c>
      <c r="B131" s="1" t="n">
        <v>45595</v>
      </c>
      <c r="C131" s="1" t="n">
        <v>45992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59536-2024</t>
        </is>
      </c>
      <c r="B132" s="1" t="n">
        <v>45638</v>
      </c>
      <c r="C132" s="1" t="n">
        <v>45992</v>
      </c>
      <c r="D132" t="inlineStr">
        <is>
          <t>VÄSTMANLANDS LÄN</t>
        </is>
      </c>
      <c r="E132" t="inlineStr">
        <is>
          <t>VÄSTERÅS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45992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23455-2024</t>
        </is>
      </c>
      <c r="B134" s="1" t="n">
        <v>45453</v>
      </c>
      <c r="C134" s="1" t="n">
        <v>45992</v>
      </c>
      <c r="D134" t="inlineStr">
        <is>
          <t>VÄSTMANLANDS LÄN</t>
        </is>
      </c>
      <c r="E134" t="inlineStr">
        <is>
          <t>VÄSTERÅS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31618-2024</t>
        </is>
      </c>
      <c r="B135" s="1" t="n">
        <v>45506</v>
      </c>
      <c r="C135" s="1" t="n">
        <v>45992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52764-2022</t>
        </is>
      </c>
      <c r="B136" s="1" t="n">
        <v>44875.32902777778</v>
      </c>
      <c r="C136" s="1" t="n">
        <v>45992</v>
      </c>
      <c r="D136" t="inlineStr">
        <is>
          <t>VÄSTMANLANDS LÄN</t>
        </is>
      </c>
      <c r="E136" t="inlineStr">
        <is>
          <t>VÄSTERÅS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1700-2023</t>
        </is>
      </c>
      <c r="B137" s="1" t="n">
        <v>44936</v>
      </c>
      <c r="C137" s="1" t="n">
        <v>45992</v>
      </c>
      <c r="D137" t="inlineStr">
        <is>
          <t>VÄSTMANLANDS LÄN</t>
        </is>
      </c>
      <c r="E137" t="inlineStr">
        <is>
          <t>VÄSTERÅS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15046-2025</t>
        </is>
      </c>
      <c r="B138" s="1" t="n">
        <v>45743</v>
      </c>
      <c r="C138" s="1" t="n">
        <v>45992</v>
      </c>
      <c r="D138" t="inlineStr">
        <is>
          <t>VÄSTMANLANDS LÄN</t>
        </is>
      </c>
      <c r="E138" t="inlineStr">
        <is>
          <t>VÄSTERÅS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45992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45992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8541-2023</t>
        </is>
      </c>
      <c r="B141" s="1" t="n">
        <v>44977.60398148148</v>
      </c>
      <c r="C141" s="1" t="n">
        <v>45992</v>
      </c>
      <c r="D141" t="inlineStr">
        <is>
          <t>VÄSTMANLANDS LÄN</t>
        </is>
      </c>
      <c r="E141" t="inlineStr">
        <is>
          <t>VÄSTERÅS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25850-2024</t>
        </is>
      </c>
      <c r="B142" s="1" t="n">
        <v>45467</v>
      </c>
      <c r="C142" s="1" t="n">
        <v>45992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50996-2024</t>
        </is>
      </c>
      <c r="B143" s="1" t="n">
        <v>45603</v>
      </c>
      <c r="C143" s="1" t="n">
        <v>45992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11137-2023</t>
        </is>
      </c>
      <c r="B144" s="1" t="n">
        <v>44987</v>
      </c>
      <c r="C144" s="1" t="n">
        <v>45992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27394-2025</t>
        </is>
      </c>
      <c r="B145" s="1" t="n">
        <v>45812</v>
      </c>
      <c r="C145" s="1" t="n">
        <v>45992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45992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45992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40886-2025</t>
        </is>
      </c>
      <c r="B148" s="1" t="n">
        <v>45897.60268518519</v>
      </c>
      <c r="C148" s="1" t="n">
        <v>45992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45992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28443-2025</t>
        </is>
      </c>
      <c r="B150" s="1" t="n">
        <v>45819.39668981481</v>
      </c>
      <c r="C150" s="1" t="n">
        <v>45992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13338-2025</t>
        </is>
      </c>
      <c r="B151" s="1" t="n">
        <v>45735</v>
      </c>
      <c r="C151" s="1" t="n">
        <v>45992</v>
      </c>
      <c r="D151" t="inlineStr">
        <is>
          <t>VÄSTMANLANDS LÄN</t>
        </is>
      </c>
      <c r="E151" t="inlineStr">
        <is>
          <t>VÄSTERÅS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45992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45992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45992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45992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64201-2023</t>
        </is>
      </c>
      <c r="B156" s="1" t="n">
        <v>45279</v>
      </c>
      <c r="C156" s="1" t="n">
        <v>45992</v>
      </c>
      <c r="D156" t="inlineStr">
        <is>
          <t>VÄSTMANLANDS LÄN</t>
        </is>
      </c>
      <c r="E156" t="inlineStr">
        <is>
          <t>VÄSTERÅS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45992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24121-2024</t>
        </is>
      </c>
      <c r="B158" s="1" t="n">
        <v>45456</v>
      </c>
      <c r="C158" s="1" t="n">
        <v>45992</v>
      </c>
      <c r="D158" t="inlineStr">
        <is>
          <t>VÄSTMANLANDS LÄN</t>
        </is>
      </c>
      <c r="E158" t="inlineStr">
        <is>
          <t>VÄSTERÅS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11950-2022</t>
        </is>
      </c>
      <c r="B159" s="1" t="n">
        <v>44635</v>
      </c>
      <c r="C159" s="1" t="n">
        <v>45992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42894-2025</t>
        </is>
      </c>
      <c r="B160" s="1" t="n">
        <v>45908.66902777777</v>
      </c>
      <c r="C160" s="1" t="n">
        <v>45992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42899-2025</t>
        </is>
      </c>
      <c r="B161" s="1" t="n">
        <v>45908.6750925926</v>
      </c>
      <c r="C161" s="1" t="n">
        <v>45992</v>
      </c>
      <c r="D161" t="inlineStr">
        <is>
          <t>VÄSTMANLANDS LÄN</t>
        </is>
      </c>
      <c r="E161" t="inlineStr">
        <is>
          <t>VÄSTERÅS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55973-2024</t>
        </is>
      </c>
      <c r="B162" s="1" t="n">
        <v>45623</v>
      </c>
      <c r="C162" s="1" t="n">
        <v>45992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13228-2025</t>
        </is>
      </c>
      <c r="B163" s="1" t="n">
        <v>45735.46513888889</v>
      </c>
      <c r="C163" s="1" t="n">
        <v>45992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58577-2023</t>
        </is>
      </c>
      <c r="B164" s="1" t="n">
        <v>45251</v>
      </c>
      <c r="C164" s="1" t="n">
        <v>45992</v>
      </c>
      <c r="D164" t="inlineStr">
        <is>
          <t>VÄSTMANLANDS LÄN</t>
        </is>
      </c>
      <c r="E164" t="inlineStr">
        <is>
          <t>VÄSTERÅS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51307-2025</t>
        </is>
      </c>
      <c r="B165" s="1" t="n">
        <v>45950.36666666667</v>
      </c>
      <c r="C165" s="1" t="n">
        <v>45992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31569-2025</t>
        </is>
      </c>
      <c r="B166" s="1" t="n">
        <v>45833.66190972222</v>
      </c>
      <c r="C166" s="1" t="n">
        <v>45992</v>
      </c>
      <c r="D166" t="inlineStr">
        <is>
          <t>VÄSTMANLANDS LÄN</t>
        </is>
      </c>
      <c r="E166" t="inlineStr">
        <is>
          <t>VÄSTERÅS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54536-2024</t>
        </is>
      </c>
      <c r="B167" s="1" t="n">
        <v>45617.6058449074</v>
      </c>
      <c r="C167" s="1" t="n">
        <v>45992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31587-2025</t>
        </is>
      </c>
      <c r="B168" s="1" t="n">
        <v>45833</v>
      </c>
      <c r="C168" s="1" t="n">
        <v>45992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12950-2023</t>
        </is>
      </c>
      <c r="B169" s="1" t="n">
        <v>45001</v>
      </c>
      <c r="C169" s="1" t="n">
        <v>45992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52263-2025</t>
        </is>
      </c>
      <c r="B170" s="1" t="n">
        <v>45953.52658564815</v>
      </c>
      <c r="C170" s="1" t="n">
        <v>45992</v>
      </c>
      <c r="D170" t="inlineStr">
        <is>
          <t>VÄSTMANLANDS LÄN</t>
        </is>
      </c>
      <c r="E170" t="inlineStr">
        <is>
          <t>VÄSTERÅS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52268-2025</t>
        </is>
      </c>
      <c r="B171" s="1" t="n">
        <v>45953.5362037037</v>
      </c>
      <c r="C171" s="1" t="n">
        <v>45992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52272-2025</t>
        </is>
      </c>
      <c r="B172" s="1" t="n">
        <v>45953.54679398148</v>
      </c>
      <c r="C172" s="1" t="n">
        <v>45992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42898-2025</t>
        </is>
      </c>
      <c r="B173" s="1" t="n">
        <v>45908</v>
      </c>
      <c r="C173" s="1" t="n">
        <v>45992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52027-2025</t>
        </is>
      </c>
      <c r="B174" s="1" t="n">
        <v>45952.60462962963</v>
      </c>
      <c r="C174" s="1" t="n">
        <v>45992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Övriga statliga verk och myndigheter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32998-2023</t>
        </is>
      </c>
      <c r="B175" s="1" t="n">
        <v>45125</v>
      </c>
      <c r="C175" s="1" t="n">
        <v>45992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52270-2025</t>
        </is>
      </c>
      <c r="B176" s="1" t="n">
        <v>45953.53826388889</v>
      </c>
      <c r="C176" s="1" t="n">
        <v>45992</v>
      </c>
      <c r="D176" t="inlineStr">
        <is>
          <t>VÄSTMANLANDS LÄN</t>
        </is>
      </c>
      <c r="E176" t="inlineStr">
        <is>
          <t>VÄSTERÅS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5363-2025</t>
        </is>
      </c>
      <c r="B177" s="1" t="n">
        <v>45692</v>
      </c>
      <c r="C177" s="1" t="n">
        <v>45992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27722-2022</t>
        </is>
      </c>
      <c r="B178" s="1" t="n">
        <v>44743</v>
      </c>
      <c r="C178" s="1" t="n">
        <v>45992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64208-2023</t>
        </is>
      </c>
      <c r="B179" s="1" t="n">
        <v>45279.74216435185</v>
      </c>
      <c r="C179" s="1" t="n">
        <v>45992</v>
      </c>
      <c r="D179" t="inlineStr">
        <is>
          <t>VÄSTMANLANDS LÄN</t>
        </is>
      </c>
      <c r="E179" t="inlineStr">
        <is>
          <t>VÄSTERÅS</t>
        </is>
      </c>
      <c r="G179" t="n">
        <v>13.9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32834-2025</t>
        </is>
      </c>
      <c r="B180" s="1" t="n">
        <v>45839.55408564815</v>
      </c>
      <c r="C180" s="1" t="n">
        <v>45992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68934-2020</t>
        </is>
      </c>
      <c r="B181" s="1" t="n">
        <v>44187</v>
      </c>
      <c r="C181" s="1" t="n">
        <v>45992</v>
      </c>
      <c r="D181" t="inlineStr">
        <is>
          <t>VÄSTMANLANDS LÄN</t>
        </is>
      </c>
      <c r="E181" t="inlineStr">
        <is>
          <t>VÄSTERÅS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39127-2022</t>
        </is>
      </c>
      <c r="B182" s="1" t="n">
        <v>44816</v>
      </c>
      <c r="C182" s="1" t="n">
        <v>45992</v>
      </c>
      <c r="D182" t="inlineStr">
        <is>
          <t>VÄSTMANLANDS LÄN</t>
        </is>
      </c>
      <c r="E182" t="inlineStr">
        <is>
          <t>VÄSTERÅS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24838-2021</t>
        </is>
      </c>
      <c r="B183" s="1" t="n">
        <v>44340</v>
      </c>
      <c r="C183" s="1" t="n">
        <v>45992</v>
      </c>
      <c r="D183" t="inlineStr">
        <is>
          <t>VÄSTMANLANDS LÄN</t>
        </is>
      </c>
      <c r="E183" t="inlineStr">
        <is>
          <t>VÄSTERÅS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32851-2024</t>
        </is>
      </c>
      <c r="B184" s="1" t="n">
        <v>45516.63484953704</v>
      </c>
      <c r="C184" s="1" t="n">
        <v>45992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32053-2023</t>
        </is>
      </c>
      <c r="B185" s="1" t="n">
        <v>45119</v>
      </c>
      <c r="C185" s="1" t="n">
        <v>45992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61059-2024</t>
        </is>
      </c>
      <c r="B186" s="1" t="n">
        <v>45645</v>
      </c>
      <c r="C186" s="1" t="n">
        <v>45992</v>
      </c>
      <c r="D186" t="inlineStr">
        <is>
          <t>VÄSTMANLANDS LÄN</t>
        </is>
      </c>
      <c r="E186" t="inlineStr">
        <is>
          <t>VÄSTERÅS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13376-2022</t>
        </is>
      </c>
      <c r="B187" s="1" t="n">
        <v>44645</v>
      </c>
      <c r="C187" s="1" t="n">
        <v>45992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53836-2022</t>
        </is>
      </c>
      <c r="B188" s="1" t="n">
        <v>44880</v>
      </c>
      <c r="C188" s="1" t="n">
        <v>45992</v>
      </c>
      <c r="D188" t="inlineStr">
        <is>
          <t>VÄSTMANLANDS LÄN</t>
        </is>
      </c>
      <c r="E188" t="inlineStr">
        <is>
          <t>VÄSTERÅS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53833-2022</t>
        </is>
      </c>
      <c r="B189" s="1" t="n">
        <v>44880</v>
      </c>
      <c r="C189" s="1" t="n">
        <v>45992</v>
      </c>
      <c r="D189" t="inlineStr">
        <is>
          <t>VÄSTMANLANDS LÄN</t>
        </is>
      </c>
      <c r="E189" t="inlineStr">
        <is>
          <t>VÄSTERÅS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31361-2025</t>
        </is>
      </c>
      <c r="B190" s="1" t="n">
        <v>45833.43606481481</v>
      </c>
      <c r="C190" s="1" t="n">
        <v>45992</v>
      </c>
      <c r="D190" t="inlineStr">
        <is>
          <t>VÄSTMANLANDS LÄN</t>
        </is>
      </c>
      <c r="E190" t="inlineStr">
        <is>
          <t>VÄSTERÅS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13614-2022</t>
        </is>
      </c>
      <c r="B191" s="1" t="n">
        <v>44648.55094907407</v>
      </c>
      <c r="C191" s="1" t="n">
        <v>45992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31578-2025</t>
        </is>
      </c>
      <c r="B192" s="1" t="n">
        <v>45833</v>
      </c>
      <c r="C192" s="1" t="n">
        <v>45992</v>
      </c>
      <c r="D192" t="inlineStr">
        <is>
          <t>VÄSTMANLANDS LÄN</t>
        </is>
      </c>
      <c r="E192" t="inlineStr">
        <is>
          <t>VÄSTERÅS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51223-2023</t>
        </is>
      </c>
      <c r="B193" s="1" t="n">
        <v>45219.45563657407</v>
      </c>
      <c r="C193" s="1" t="n">
        <v>45992</v>
      </c>
      <c r="D193" t="inlineStr">
        <is>
          <t>VÄSTMANLANDS LÄN</t>
        </is>
      </c>
      <c r="E193" t="inlineStr">
        <is>
          <t>VÄSTERÅS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35788-2025</t>
        </is>
      </c>
      <c r="B194" s="1" t="n">
        <v>45860</v>
      </c>
      <c r="C194" s="1" t="n">
        <v>45992</v>
      </c>
      <c r="D194" t="inlineStr">
        <is>
          <t>VÄSTMANLANDS LÄN</t>
        </is>
      </c>
      <c r="E194" t="inlineStr">
        <is>
          <t>VÄSTERÅS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11983-2022</t>
        </is>
      </c>
      <c r="B195" s="1" t="n">
        <v>44635.68010416667</v>
      </c>
      <c r="C195" s="1" t="n">
        <v>45992</v>
      </c>
      <c r="D195" t="inlineStr">
        <is>
          <t>VÄSTMANLANDS LÄN</t>
        </is>
      </c>
      <c r="E195" t="inlineStr">
        <is>
          <t>VÄSTERÅS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11989-2022</t>
        </is>
      </c>
      <c r="B196" s="1" t="n">
        <v>44635.69003472223</v>
      </c>
      <c r="C196" s="1" t="n">
        <v>45992</v>
      </c>
      <c r="D196" t="inlineStr">
        <is>
          <t>VÄSTMANLANDS LÄN</t>
        </is>
      </c>
      <c r="E196" t="inlineStr">
        <is>
          <t>VÄSTERÅS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13239-2025</t>
        </is>
      </c>
      <c r="B197" s="1" t="n">
        <v>45735.47221064815</v>
      </c>
      <c r="C197" s="1" t="n">
        <v>45992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32861-2024</t>
        </is>
      </c>
      <c r="B198" s="1" t="n">
        <v>45516.64833333333</v>
      </c>
      <c r="C198" s="1" t="n">
        <v>45992</v>
      </c>
      <c r="D198" t="inlineStr">
        <is>
          <t>VÄSTMANLANDS LÄN</t>
        </is>
      </c>
      <c r="E198" t="inlineStr">
        <is>
          <t>VÄSTERÅS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54659-2025</t>
        </is>
      </c>
      <c r="B199" s="1" t="n">
        <v>45966.4027199074</v>
      </c>
      <c r="C199" s="1" t="n">
        <v>45992</v>
      </c>
      <c r="D199" t="inlineStr">
        <is>
          <t>VÄSTMANLANDS LÄN</t>
        </is>
      </c>
      <c r="E199" t="inlineStr">
        <is>
          <t>VÄSTERÅS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37022-2025</t>
        </is>
      </c>
      <c r="B200" s="1" t="n">
        <v>45874</v>
      </c>
      <c r="C200" s="1" t="n">
        <v>45992</v>
      </c>
      <c r="D200" t="inlineStr">
        <is>
          <t>VÄSTMANLANDS LÄN</t>
        </is>
      </c>
      <c r="E200" t="inlineStr">
        <is>
          <t>VÄSTERÅS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15907-2025</t>
        </is>
      </c>
      <c r="B201" s="1" t="n">
        <v>45749</v>
      </c>
      <c r="C201" s="1" t="n">
        <v>45992</v>
      </c>
      <c r="D201" t="inlineStr">
        <is>
          <t>VÄSTMANLANDS LÄN</t>
        </is>
      </c>
      <c r="E201" t="inlineStr">
        <is>
          <t>VÄSTERÅS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59765-2023</t>
        </is>
      </c>
      <c r="B202" s="1" t="n">
        <v>45257</v>
      </c>
      <c r="C202" s="1" t="n">
        <v>45992</v>
      </c>
      <c r="D202" t="inlineStr">
        <is>
          <t>VÄSTMANLANDS LÄN</t>
        </is>
      </c>
      <c r="E202" t="inlineStr">
        <is>
          <t>VÄSTERÅS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47082-2025</t>
        </is>
      </c>
      <c r="B203" s="1" t="n">
        <v>45929.64188657407</v>
      </c>
      <c r="C203" s="1" t="n">
        <v>45992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47101-2025</t>
        </is>
      </c>
      <c r="B204" s="1" t="n">
        <v>45929.65755787037</v>
      </c>
      <c r="C204" s="1" t="n">
        <v>45992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47107-2025</t>
        </is>
      </c>
      <c r="B205" s="1" t="n">
        <v>45929.66028935185</v>
      </c>
      <c r="C205" s="1" t="n">
        <v>45992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14799-2024</t>
        </is>
      </c>
      <c r="B206" s="1" t="n">
        <v>45397</v>
      </c>
      <c r="C206" s="1" t="n">
        <v>45992</v>
      </c>
      <c r="D206" t="inlineStr">
        <is>
          <t>VÄSTMANLANDS LÄN</t>
        </is>
      </c>
      <c r="E206" t="inlineStr">
        <is>
          <t>VÄSTERÅS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61069-2022</t>
        </is>
      </c>
      <c r="B207" s="1" t="n">
        <v>44908</v>
      </c>
      <c r="C207" s="1" t="n">
        <v>45992</v>
      </c>
      <c r="D207" t="inlineStr">
        <is>
          <t>VÄSTMANLANDS LÄN</t>
        </is>
      </c>
      <c r="E207" t="inlineStr">
        <is>
          <t>VÄSTERÅS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47076-2025</t>
        </is>
      </c>
      <c r="B208" s="1" t="n">
        <v>45929.63734953704</v>
      </c>
      <c r="C208" s="1" t="n">
        <v>45992</v>
      </c>
      <c r="D208" t="inlineStr">
        <is>
          <t>VÄSTMANLANDS LÄN</t>
        </is>
      </c>
      <c r="E208" t="inlineStr">
        <is>
          <t>VÄSTERÅS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46799-2025</t>
        </is>
      </c>
      <c r="B209" s="1" t="n">
        <v>45926.65934027778</v>
      </c>
      <c r="C209" s="1" t="n">
        <v>45992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Övriga statliga verk och myndigheter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41344-2023</t>
        </is>
      </c>
      <c r="B210" s="1" t="n">
        <v>45174</v>
      </c>
      <c r="C210" s="1" t="n">
        <v>45992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31106-2025</t>
        </is>
      </c>
      <c r="B211" s="1" t="n">
        <v>45832.6050462963</v>
      </c>
      <c r="C211" s="1" t="n">
        <v>45992</v>
      </c>
      <c r="D211" t="inlineStr">
        <is>
          <t>VÄSTMANLANDS LÄN</t>
        </is>
      </c>
      <c r="E211" t="inlineStr">
        <is>
          <t>VÄSTERÅS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47089-2025</t>
        </is>
      </c>
      <c r="B212" s="1" t="n">
        <v>45929.64620370371</v>
      </c>
      <c r="C212" s="1" t="n">
        <v>45992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47092-2025</t>
        </is>
      </c>
      <c r="B213" s="1" t="n">
        <v>45929.65053240741</v>
      </c>
      <c r="C213" s="1" t="n">
        <v>45992</v>
      </c>
      <c r="D213" t="inlineStr">
        <is>
          <t>VÄSTMANLANDS LÄN</t>
        </is>
      </c>
      <c r="E213" t="inlineStr">
        <is>
          <t>VÄSTERÅS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47096-2025</t>
        </is>
      </c>
      <c r="B214" s="1" t="n">
        <v>45929.65461805555</v>
      </c>
      <c r="C214" s="1" t="n">
        <v>45992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45992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16035-2023</t>
        </is>
      </c>
      <c r="B216" s="1" t="n">
        <v>45027.37611111111</v>
      </c>
      <c r="C216" s="1" t="n">
        <v>45992</v>
      </c>
      <c r="D216" t="inlineStr">
        <is>
          <t>VÄSTMANLANDS LÄN</t>
        </is>
      </c>
      <c r="E216" t="inlineStr">
        <is>
          <t>VÄSTERÅS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16037-2023</t>
        </is>
      </c>
      <c r="B217" s="1" t="n">
        <v>45027.37814814815</v>
      </c>
      <c r="C217" s="1" t="n">
        <v>45992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41114-2022</t>
        </is>
      </c>
      <c r="B218" s="1" t="n">
        <v>44825.68005787037</v>
      </c>
      <c r="C218" s="1" t="n">
        <v>45992</v>
      </c>
      <c r="D218" t="inlineStr">
        <is>
          <t>VÄSTMANLANDS LÄN</t>
        </is>
      </c>
      <c r="E218" t="inlineStr">
        <is>
          <t>VÄSTERÅS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47640-2025</t>
        </is>
      </c>
      <c r="B219" s="1" t="n">
        <v>45931.50824074074</v>
      </c>
      <c r="C219" s="1" t="n">
        <v>45992</v>
      </c>
      <c r="D219" t="inlineStr">
        <is>
          <t>VÄSTMANLANDS LÄN</t>
        </is>
      </c>
      <c r="E219" t="inlineStr">
        <is>
          <t>VÄSTERÅS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26475-2024</t>
        </is>
      </c>
      <c r="B220" s="1" t="n">
        <v>45469</v>
      </c>
      <c r="C220" s="1" t="n">
        <v>45992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52015-2024</t>
        </is>
      </c>
      <c r="B221" s="1" t="n">
        <v>45607</v>
      </c>
      <c r="C221" s="1" t="n">
        <v>45992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55978-2025</t>
        </is>
      </c>
      <c r="B222" s="1" t="n">
        <v>45973.51996527778</v>
      </c>
      <c r="C222" s="1" t="n">
        <v>45992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55980-2025</t>
        </is>
      </c>
      <c r="B223" s="1" t="n">
        <v>45973.52245370371</v>
      </c>
      <c r="C223" s="1" t="n">
        <v>45992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56016-2025</t>
        </is>
      </c>
      <c r="B224" s="1" t="n">
        <v>45973.58966435185</v>
      </c>
      <c r="C224" s="1" t="n">
        <v>45992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12649-2023</t>
        </is>
      </c>
      <c r="B225" s="1" t="n">
        <v>44999</v>
      </c>
      <c r="C225" s="1" t="n">
        <v>45992</v>
      </c>
      <c r="D225" t="inlineStr">
        <is>
          <t>VÄSTMANLANDS LÄN</t>
        </is>
      </c>
      <c r="E225" t="inlineStr">
        <is>
          <t>VÄSTERÅS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12229-2025</t>
        </is>
      </c>
      <c r="B226" s="1" t="n">
        <v>45729.57048611111</v>
      </c>
      <c r="C226" s="1" t="n">
        <v>45992</v>
      </c>
      <c r="D226" t="inlineStr">
        <is>
          <t>VÄSTMANLANDS LÄN</t>
        </is>
      </c>
      <c r="E226" t="inlineStr">
        <is>
          <t>VÄSTERÅS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56300-2025</t>
        </is>
      </c>
      <c r="B227" s="1" t="n">
        <v>45974.60678240741</v>
      </c>
      <c r="C227" s="1" t="n">
        <v>45992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48339-2025</t>
        </is>
      </c>
      <c r="B228" s="1" t="n">
        <v>45933.64113425926</v>
      </c>
      <c r="C228" s="1" t="n">
        <v>45992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45992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45992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45992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45992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45992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45992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41849-2024</t>
        </is>
      </c>
      <c r="B235" s="1" t="n">
        <v>45561</v>
      </c>
      <c r="C235" s="1" t="n">
        <v>45992</v>
      </c>
      <c r="D235" t="inlineStr">
        <is>
          <t>VÄSTMANLANDS LÄN</t>
        </is>
      </c>
      <c r="E235" t="inlineStr">
        <is>
          <t>VÄSTERÅS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57104-2025</t>
        </is>
      </c>
      <c r="B236" s="1" t="n">
        <v>45979</v>
      </c>
      <c r="C236" s="1" t="n">
        <v>45992</v>
      </c>
      <c r="D236" t="inlineStr">
        <is>
          <t>VÄSTMANLANDS LÄN</t>
        </is>
      </c>
      <c r="E236" t="inlineStr">
        <is>
          <t>VÄSTERÅS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57114-2025</t>
        </is>
      </c>
      <c r="B237" s="1" t="n">
        <v>45979</v>
      </c>
      <c r="C237" s="1" t="n">
        <v>45992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38381-2022</t>
        </is>
      </c>
      <c r="B238" s="1" t="n">
        <v>44812</v>
      </c>
      <c r="C238" s="1" t="n">
        <v>45992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57102-2025</t>
        </is>
      </c>
      <c r="B239" s="1" t="n">
        <v>45979</v>
      </c>
      <c r="C239" s="1" t="n">
        <v>45992</v>
      </c>
      <c r="D239" t="inlineStr">
        <is>
          <t>VÄSTMANLANDS LÄN</t>
        </is>
      </c>
      <c r="E239" t="inlineStr">
        <is>
          <t>VÄSTERÅS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45992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48948-2025</t>
        </is>
      </c>
      <c r="B241" s="1" t="n">
        <v>45937.54346064815</v>
      </c>
      <c r="C241" s="1" t="n">
        <v>45992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49240-2025</t>
        </is>
      </c>
      <c r="B242" s="1" t="n">
        <v>45938.48452546296</v>
      </c>
      <c r="C242" s="1" t="n">
        <v>45992</v>
      </c>
      <c r="D242" t="inlineStr">
        <is>
          <t>VÄSTMANLANDS LÄN</t>
        </is>
      </c>
      <c r="E242" t="inlineStr">
        <is>
          <t>VÄSTERÅS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48940-2025</t>
        </is>
      </c>
      <c r="B243" s="1" t="n">
        <v>45937.53306712963</v>
      </c>
      <c r="C243" s="1" t="n">
        <v>45992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17258-2024</t>
        </is>
      </c>
      <c r="B244" s="1" t="n">
        <v>45414</v>
      </c>
      <c r="C244" s="1" t="n">
        <v>45992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18465-2023</t>
        </is>
      </c>
      <c r="B245" s="1" t="n">
        <v>45042</v>
      </c>
      <c r="C245" s="1" t="n">
        <v>45992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64202-2023</t>
        </is>
      </c>
      <c r="B246" s="1" t="n">
        <v>45279.7046412037</v>
      </c>
      <c r="C246" s="1" t="n">
        <v>45992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45992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45992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45992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45992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45992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45992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5604-2022</t>
        </is>
      </c>
      <c r="B253" s="1" t="n">
        <v>44595.68612268518</v>
      </c>
      <c r="C253" s="1" t="n">
        <v>45992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50565-2025</t>
        </is>
      </c>
      <c r="B254" s="1" t="n">
        <v>45945.55697916666</v>
      </c>
      <c r="C254" s="1" t="n">
        <v>45992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57327-2025</t>
        </is>
      </c>
      <c r="B255" s="1" t="n">
        <v>45980</v>
      </c>
      <c r="C255" s="1" t="n">
        <v>45992</v>
      </c>
      <c r="D255" t="inlineStr">
        <is>
          <t>VÄSTMANLANDS LÄN</t>
        </is>
      </c>
      <c r="E255" t="inlineStr">
        <is>
          <t>VÄSTERÅS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50564-2025</t>
        </is>
      </c>
      <c r="B256" s="1" t="n">
        <v>45945.55349537037</v>
      </c>
      <c r="C256" s="1" t="n">
        <v>45992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59142-2025</t>
        </is>
      </c>
      <c r="B257" s="1" t="n">
        <v>45988.51334490741</v>
      </c>
      <c r="C257" s="1" t="n">
        <v>45992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51200-2025</t>
        </is>
      </c>
      <c r="B258" s="1" t="n">
        <v>45947.63462962963</v>
      </c>
      <c r="C258" s="1" t="n">
        <v>45992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Övriga statliga verk och myndigheter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45992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45992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45992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45992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45992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45992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45992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45992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45992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45992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45992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45992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45992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45992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45992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45992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45992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45992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45992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45992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45992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45992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45992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45992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45992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45992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45992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45992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45992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45992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45992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45992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45992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45992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45992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45992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45992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45992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45992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45992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45992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45992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45992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45992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45992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45992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45992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45992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45992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45992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45992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45992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45992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45992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45992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45992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45992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45992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45992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45992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45992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45992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45992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45992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45992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45992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45992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45992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45992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45992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45992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45992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45992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45992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45992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45992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45992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45992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45992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45992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45992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45992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45992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45992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45992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45992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45992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45992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45992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45992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45992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45992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45992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45992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45992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45992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45992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45992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45992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45992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45992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45992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45992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45992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21694-2025</t>
        </is>
      </c>
      <c r="B363" s="1" t="n">
        <v>45783</v>
      </c>
      <c r="C363" s="1" t="n">
        <v>45992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22675-2025</t>
        </is>
      </c>
      <c r="B364" s="1" t="n">
        <v>45786</v>
      </c>
      <c r="C364" s="1" t="n">
        <v>45992</v>
      </c>
      <c r="D364" t="inlineStr">
        <is>
          <t>VÄSTMANLANDS LÄN</t>
        </is>
      </c>
      <c r="E364" t="inlineStr">
        <is>
          <t>VÄSTERÅS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23569-2025</t>
        </is>
      </c>
      <c r="B365" s="1" t="n">
        <v>45792.60494212963</v>
      </c>
      <c r="C365" s="1" t="n">
        <v>45992</v>
      </c>
      <c r="D365" t="inlineStr">
        <is>
          <t>VÄSTMANLANDS LÄN</t>
        </is>
      </c>
      <c r="E365" t="inlineStr">
        <is>
          <t>VÄSTERÅS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31623-2024</t>
        </is>
      </c>
      <c r="B366" s="1" t="n">
        <v>45506</v>
      </c>
      <c r="C366" s="1" t="n">
        <v>45992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2025-12-01T10:24:38Z</dcterms:created>
  <dcterms:modified xmlns:dcterms="http://purl.org/dc/terms/" xmlns:xsi="http://www.w3.org/2001/XMLSchema-instance" xsi:type="dcterms:W3CDTF">2025-12-01T10:24:38Z</dcterms:modified>
</cp:coreProperties>
</file>