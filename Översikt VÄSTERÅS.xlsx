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46232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46232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46232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46232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46232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46232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46232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46232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46232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46232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46232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46232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46232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46232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46232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46232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46232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46232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46232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46232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46232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46232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46232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46232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46232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46232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46232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11804-2022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44634</v>
      </c>
      <c r="E29" s="1" t="n">
        <v>46232</v>
      </c>
      <c r="F29" t="inlineStr">
        <is>
          <t>VÄSTMANLANDS LÄN</t>
        </is>
      </c>
      <c r="G29" t="inlineStr">
        <is>
          <t>VÄSTERÅS</t>
        </is>
      </c>
      <c r="I29" t="n">
        <v>10.6</v>
      </c>
      <c r="J29" t="n">
        <v>1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Svart trolldruva
Nattviol</t>
        </is>
      </c>
      <c r="W29">
        <f>HYPERLINK("https://klasma.github.io/Logging_1980/artfynd/A 11804-2022 artfynd.xlsx", "A 11804-2022")</f>
        <v/>
      </c>
      <c r="X29">
        <f>HYPERLINK("https://klasma.github.io/Logging_1980/kartor/A 11804-2022 karta.png", "A 11804-2022")</f>
        <v/>
      </c>
      <c r="Y29">
        <f>HYPERLINK("https://klasma.github.io/Logging_1980/kartor_geotiff/A 11804-2022 georefererad karta.tif", "A 11804-2022")</f>
        <v/>
      </c>
      <c r="AA29">
        <f>HYPERLINK("https://klasma.github.io/Logging_1980/klagomål/A 11804-2022 FSC-klagomål.docx", "A 11804-2022")</f>
        <v/>
      </c>
      <c r="AB29">
        <f>HYPERLINK("https://klasma.github.io/Logging_1980/klagomålsmail/A 11804-2022 FSC-klagomål mail.docx", "A 11804-2022")</f>
        <v/>
      </c>
      <c r="AC29">
        <f>HYPERLINK("https://klasma.github.io/Logging_1980/tillsyn/A 11804-2022 tillsynsbegäran.docx", "A 11804-2022")</f>
        <v/>
      </c>
      <c r="AD29">
        <f>HYPERLINK("https://klasma.github.io/Logging_1980/tillsynsmail/A 11804-2022 tillsynsbegäran mail.docx", "A 11804-2022")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46232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46232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46232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46232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46232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46232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46232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46232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46232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46232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46232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46232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26568-2022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44739</v>
      </c>
      <c r="E42" s="1" t="n">
        <v>46232</v>
      </c>
      <c r="F42" t="inlineStr">
        <is>
          <t>VÄSTMANLANDS LÄN</t>
        </is>
      </c>
      <c r="G42" t="inlineStr">
        <is>
          <t>VÄSTERÅS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Mistel</t>
        </is>
      </c>
      <c r="W42">
        <f>HYPERLINK("https://klasma.github.io/Logging_1980/artfynd/A 26568-2022 artfynd.xlsx", "A 26568-2022")</f>
        <v/>
      </c>
      <c r="X42">
        <f>HYPERLINK("https://klasma.github.io/Logging_1980/kartor/A 26568-2022 karta.png", "A 26568-2022")</f>
        <v/>
      </c>
      <c r="Y42">
        <f>HYPERLINK("https://klasma.github.io/Logging_1980/kartor_geotiff/A 26568-2022 georefererad karta.tif", "A 26568-2022")</f>
        <v/>
      </c>
      <c r="AA42">
        <f>HYPERLINK("https://klasma.github.io/Logging_1980/klagomål/A 26568-2022 FSC-klagomål.docx", "A 26568-2022")</f>
        <v/>
      </c>
      <c r="AB42">
        <f>HYPERLINK("https://klasma.github.io/Logging_1980/klagomålsmail/A 26568-2022 FSC-klagomål mail.docx", "A 26568-2022")</f>
        <v/>
      </c>
      <c r="AC42">
        <f>HYPERLINK("https://klasma.github.io/Logging_1980/tillsyn/A 26568-2022 tillsynsbegäran.docx", "A 26568-2022")</f>
        <v/>
      </c>
      <c r="AD42">
        <f>HYPERLINK("https://klasma.github.io/Logging_1980/tillsynsmail/A 26568-2022 tillsynsbegäran mail.docx", "A 26568-2022")</f>
        <v/>
      </c>
    </row>
    <row r="43" ht="15" customHeight="1">
      <c r="A43" t="inlineStr">
        <is>
          <t>A 12905-2022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44641</v>
      </c>
      <c r="E43" s="1" t="n">
        <v>46232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23.9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HYPERLINK("https://klasma.github.io/Logging_1980/artfynd/A 12905-2022 artfynd.xlsx", "A 12905-2022")</f>
        <v/>
      </c>
      <c r="X43">
        <f>HYPERLINK("https://klasma.github.io/Logging_1980/kartor/A 12905-2022 karta.png", "A 12905-2022")</f>
        <v/>
      </c>
      <c r="Y43">
        <f>HYPERLINK("https://klasma.github.io/Logging_1980/kartor_geotiff/A 12905-2022 georefererad karta.tif", "A 12905-2022")</f>
        <v/>
      </c>
      <c r="AA43">
        <f>HYPERLINK("https://klasma.github.io/Logging_1980/klagomål/A 12905-2022 FSC-klagomål.docx", "A 12905-2022")</f>
        <v/>
      </c>
      <c r="AB43">
        <f>HYPERLINK("https://klasma.github.io/Logging_1980/klagomålsmail/A 12905-2022 FSC-klagomål mail.docx", "A 12905-2022")</f>
        <v/>
      </c>
      <c r="AC43">
        <f>HYPERLINK("https://klasma.github.io/Logging_1980/tillsyn/A 12905-2022 tillsynsbegäran.docx", "A 12905-2022")</f>
        <v/>
      </c>
      <c r="AD43">
        <f>HYPERLINK("https://klasma.github.io/Logging_1980/tillsynsmail/A 12905-2022 tillsynsbegäran mail.docx", "A 12905-2022")</f>
        <v/>
      </c>
    </row>
    <row r="44" ht="15" customHeight="1">
      <c r="A44" t="inlineStr">
        <is>
          <t>A 8362-2022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44610</v>
      </c>
      <c r="E44" s="1" t="n">
        <v>46232</v>
      </c>
      <c r="F44" t="inlineStr">
        <is>
          <t>VÄSTMANLANDS LÄN</t>
        </is>
      </c>
      <c r="G44" t="inlineStr">
        <is>
          <t>VÄSTERÅS</t>
        </is>
      </c>
      <c r="H44" t="inlineStr">
        <is>
          <t>Sveaskog</t>
        </is>
      </c>
      <c r="I44" t="n">
        <v>3.7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Köpingfibbla</t>
        </is>
      </c>
      <c r="W44">
        <f>HYPERLINK("https://klasma.github.io/Logging_1980/artfynd/A 8362-2022 artfynd.xlsx", "A 8362-2022")</f>
        <v/>
      </c>
      <c r="X44">
        <f>HYPERLINK("https://klasma.github.io/Logging_1980/kartor/A 8362-2022 karta.png", "A 8362-2022")</f>
        <v/>
      </c>
      <c r="Y44">
        <f>HYPERLINK("https://klasma.github.io/Logging_1980/kartor_geotiff/A 8362-2022 georefererad karta.tif", "A 8362-2022")</f>
        <v/>
      </c>
      <c r="AA44">
        <f>HYPERLINK("https://klasma.github.io/Logging_1980/klagomål/A 8362-2022 FSC-klagomål.docx", "A 8362-2022")</f>
        <v/>
      </c>
      <c r="AB44">
        <f>HYPERLINK("https://klasma.github.io/Logging_1980/klagomålsmail/A 8362-2022 FSC-klagomål mail.docx", "A 8362-2022")</f>
        <v/>
      </c>
      <c r="AC44">
        <f>HYPERLINK("https://klasma.github.io/Logging_1980/tillsyn/A 8362-2022 tillsynsbegäran.docx", "A 8362-2022")</f>
        <v/>
      </c>
      <c r="AD44">
        <f>HYPERLINK("https://klasma.github.io/Logging_1980/tillsynsmail/A 8362-2022 tillsynsbegäran mail.docx", "A 8362-2022")</f>
        <v/>
      </c>
    </row>
    <row r="45" ht="15" customHeight="1">
      <c r="A45" t="inlineStr">
        <is>
          <t>A 50193-2022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46232</v>
      </c>
      <c r="F45" t="inlineStr">
        <is>
          <t>VÄSTMANLANDS LÄN</t>
        </is>
      </c>
      <c r="G45" t="inlineStr">
        <is>
          <t>VÄSTERÅS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HYPERLINK("https://klasma.github.io/Logging_1980/artfynd/A 50193-2022 artfynd.xlsx", "A 50193-2022")</f>
        <v/>
      </c>
      <c r="X45">
        <f>HYPERLINK("https://klasma.github.io/Logging_1980/kartor/A 50193-2022 karta.png", "A 50193-2022")</f>
        <v/>
      </c>
      <c r="Y45">
        <f>HYPERLINK("https://klasma.github.io/Logging_1980/kartor_geotiff/A 50193-2022 georefererad karta.tif", "A 50193-2022")</f>
        <v/>
      </c>
      <c r="AA45">
        <f>HYPERLINK("https://klasma.github.io/Logging_1980/klagomål/A 50193-2022 FSC-klagomål.docx", "A 50193-2022")</f>
        <v/>
      </c>
      <c r="AB45">
        <f>HYPERLINK("https://klasma.github.io/Logging_1980/klagomålsmail/A 50193-2022 FSC-klagomål mail.docx", "A 50193-2022")</f>
        <v/>
      </c>
      <c r="AC45">
        <f>HYPERLINK("https://klasma.github.io/Logging_1980/tillsyn/A 50193-2022 tillsynsbegäran.docx", "A 50193-2022")</f>
        <v/>
      </c>
      <c r="AD45">
        <f>HYPERLINK("https://klasma.github.io/Logging_1980/tillsynsmail/A 50193-2022 tillsynsbegäran mail.docx", "A 50193-2022")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46232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46232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46232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16374-2025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46232</v>
      </c>
      <c r="F49" t="inlineStr">
        <is>
          <t>VÄSTMANLANDS LÄN</t>
        </is>
      </c>
      <c r="G49" t="inlineStr">
        <is>
          <t>VÄSTERÅS</t>
        </is>
      </c>
      <c r="I49" t="n">
        <v>0.6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Lönnlav</t>
        </is>
      </c>
      <c r="W49">
        <f>HYPERLINK("https://klasma.github.io/Logging_1980/artfynd/A 16374-2025 artfynd.xlsx", "A 16374-2025")</f>
        <v/>
      </c>
      <c r="X49">
        <f>HYPERLINK("https://klasma.github.io/Logging_1980/kartor/A 16374-2025 karta.png", "A 16374-2025")</f>
        <v/>
      </c>
      <c r="Y49">
        <f>HYPERLINK("https://klasma.github.io/Logging_1980/kartor_geotiff/A 16374-2025 georefererad karta.tif", "A 16374-2025")</f>
        <v/>
      </c>
      <c r="AA49">
        <f>HYPERLINK("https://klasma.github.io/Logging_1980/klagomål/A 16374-2025 FSC-klagomål.docx", "A 16374-2025")</f>
        <v/>
      </c>
      <c r="AB49">
        <f>HYPERLINK("https://klasma.github.io/Logging_1980/klagomålsmail/A 16374-2025 FSC-klagomål mail.docx", "A 16374-2025")</f>
        <v/>
      </c>
      <c r="AC49">
        <f>HYPERLINK("https://klasma.github.io/Logging_1980/tillsyn/A 16374-2025 tillsynsbegäran.docx", "A 16374-2025")</f>
        <v/>
      </c>
      <c r="AD49">
        <f>HYPERLINK("https://klasma.github.io/Logging_1980/tillsynsmail/A 16374-2025 tillsynsbegäran mail.docx", "A 16374-2025")</f>
        <v/>
      </c>
    </row>
    <row r="50" ht="15" customHeight="1">
      <c r="A50" t="inlineStr">
        <is>
          <t>A 5363-2025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45692</v>
      </c>
      <c r="E50" s="1" t="n">
        <v>46232</v>
      </c>
      <c r="F50" t="inlineStr">
        <is>
          <t>VÄSTMANLANDS LÄN</t>
        </is>
      </c>
      <c r="G50" t="inlineStr">
        <is>
          <t>VÄSTERÅS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Brunklöver</t>
        </is>
      </c>
      <c r="W50">
        <f>HYPERLINK("https://klasma.github.io/Logging_1980/artfynd/A 5363-2025 artfynd.xlsx", "A 5363-2025")</f>
        <v/>
      </c>
      <c r="X50">
        <f>HYPERLINK("https://klasma.github.io/Logging_1980/kartor/A 5363-2025 karta.png", "A 5363-2025")</f>
        <v/>
      </c>
      <c r="Y50">
        <f>HYPERLINK("https://klasma.github.io/Logging_1980/kartor_geotiff/A 5363-2025 georefererad karta.tif", "A 5363-2025")</f>
        <v/>
      </c>
      <c r="AA50">
        <f>HYPERLINK("https://klasma.github.io/Logging_1980/klagomål/A 5363-2025 FSC-klagomål.docx", "A 5363-2025")</f>
        <v/>
      </c>
      <c r="AB50">
        <f>HYPERLINK("https://klasma.github.io/Logging_1980/klagomålsmail/A 5363-2025 FSC-klagomål mail.docx", "A 5363-2025")</f>
        <v/>
      </c>
      <c r="AC50">
        <f>HYPERLINK("https://klasma.github.io/Logging_1980/tillsyn/A 5363-2025 tillsynsbegäran.docx", "A 5363-2025")</f>
        <v/>
      </c>
      <c r="AD50">
        <f>HYPERLINK("https://klasma.github.io/Logging_1980/tillsynsmail/A 5363-2025 tillsynsbegäran mail.docx", "A 5363-2025")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46232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59140-2025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46232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HYPERLINK("https://klasma.github.io/Logging_1980/artfynd/A 59140-2025 artfynd.xlsx", "A 59140-2025")</f>
        <v/>
      </c>
      <c r="X52">
        <f>HYPERLINK("https://klasma.github.io/Logging_1980/kartor/A 59140-2025 karta.png", "A 59140-2025")</f>
        <v/>
      </c>
      <c r="Y52">
        <f>HYPERLINK("https://klasma.github.io/Logging_1980/kartor_geotiff/A 59140-2025 georefererad karta.tif", "A 59140-2025")</f>
        <v/>
      </c>
      <c r="AA52">
        <f>HYPERLINK("https://klasma.github.io/Logging_1980/klagomål/A 59140-2025 FSC-klagomål.docx", "A 59140-2025")</f>
        <v/>
      </c>
      <c r="AB52">
        <f>HYPERLINK("https://klasma.github.io/Logging_1980/klagomålsmail/A 59140-2025 FSC-klagomål mail.docx", "A 59140-2025")</f>
        <v/>
      </c>
      <c r="AC52">
        <f>HYPERLINK("https://klasma.github.io/Logging_1980/tillsyn/A 59140-2025 tillsynsbegäran.docx", "A 59140-2025")</f>
        <v/>
      </c>
      <c r="AD52">
        <f>HYPERLINK("https://klasma.github.io/Logging_1980/tillsynsmail/A 59140-2025 tillsynsbegäran mail.docx", "A 59140-2025")</f>
        <v/>
      </c>
      <c r="AE52">
        <f>HYPERLINK("https://klasma.github.io/Logging_1980/fåglar/A 59140-2025 prioriterade fågelarter.docx", "A 59140-2025")</f>
        <v/>
      </c>
    </row>
    <row r="53" ht="15" customHeight="1">
      <c r="A53" t="inlineStr">
        <is>
          <t>A 59144-2025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46232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HYPERLINK("https://klasma.github.io/Logging_1980/artfynd/A 59144-2025 artfynd.xlsx", "A 59144-2025")</f>
        <v/>
      </c>
      <c r="X53">
        <f>HYPERLINK("https://klasma.github.io/Logging_1980/kartor/A 59144-2025 karta.png", "A 59144-2025")</f>
        <v/>
      </c>
      <c r="Y53">
        <f>HYPERLINK("https://klasma.github.io/Logging_1980/kartor_geotiff/A 59144-2025 georefererad karta.tif", "A 59144-2025")</f>
        <v/>
      </c>
      <c r="AA53">
        <f>HYPERLINK("https://klasma.github.io/Logging_1980/klagomål/A 59144-2025 FSC-klagomål.docx", "A 59144-2025")</f>
        <v/>
      </c>
      <c r="AB53">
        <f>HYPERLINK("https://klasma.github.io/Logging_1980/klagomålsmail/A 59144-2025 FSC-klagomål mail.docx", "A 59144-2025")</f>
        <v/>
      </c>
      <c r="AC53">
        <f>HYPERLINK("https://klasma.github.io/Logging_1980/tillsyn/A 59144-2025 tillsynsbegäran.docx", "A 59144-2025")</f>
        <v/>
      </c>
      <c r="AD53">
        <f>HYPERLINK("https://klasma.github.io/Logging_1980/tillsynsmail/A 59144-2025 tillsynsbegäran mail.docx", "A 59144-2025")</f>
        <v/>
      </c>
    </row>
    <row r="54" ht="15" customHeight="1">
      <c r="A54" t="inlineStr">
        <is>
          <t>A 29787-2023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46232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HYPERLINK("https://klasma.github.io/Logging_1980/artfynd/A 29787-2023 artfynd.xlsx", "A 29787-2023")</f>
        <v/>
      </c>
      <c r="X54">
        <f>HYPERLINK("https://klasma.github.io/Logging_1980/kartor/A 29787-2023 karta.png", "A 29787-2023")</f>
        <v/>
      </c>
      <c r="Y54">
        <f>HYPERLINK("https://klasma.github.io/Logging_1980/kartor_geotiff/A 29787-2023 georefererad karta.tif", "A 29787-2023")</f>
        <v/>
      </c>
      <c r="AA54">
        <f>HYPERLINK("https://klasma.github.io/Logging_1980/klagomål/A 29787-2023 FSC-klagomål.docx", "A 29787-2023")</f>
        <v/>
      </c>
      <c r="AB54">
        <f>HYPERLINK("https://klasma.github.io/Logging_1980/klagomålsmail/A 29787-2023 FSC-klagomål mail.docx", "A 29787-2023")</f>
        <v/>
      </c>
      <c r="AC54">
        <f>HYPERLINK("https://klasma.github.io/Logging_1980/tillsyn/A 29787-2023 tillsynsbegäran.docx", "A 29787-2023")</f>
        <v/>
      </c>
      <c r="AD54">
        <f>HYPERLINK("https://klasma.github.io/Logging_1980/tillsynsmail/A 29787-2023 tillsynsbegäran mail.docx", "A 29787-2023")</f>
        <v/>
      </c>
    </row>
    <row r="55" ht="15" customHeight="1">
      <c r="A55" t="inlineStr">
        <is>
          <t>A 12058-2026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46086</v>
      </c>
      <c r="E55" s="1" t="n">
        <v>46232</v>
      </c>
      <c r="F55" t="inlineStr">
        <is>
          <t>VÄSTMANLANDS LÄN</t>
        </is>
      </c>
      <c r="G55" t="inlineStr">
        <is>
          <t>VÄSTERÅS</t>
        </is>
      </c>
      <c r="I55" t="n">
        <v>3.9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Törnskata</t>
        </is>
      </c>
      <c r="W55">
        <f>HYPERLINK("https://klasma.github.io/Logging_1980/artfynd/A 12058-2026 artfynd.xlsx", "A 12058-2026")</f>
        <v/>
      </c>
      <c r="X55">
        <f>HYPERLINK("https://klasma.github.io/Logging_1980/kartor/A 12058-2026 karta.png", "A 12058-2026")</f>
        <v/>
      </c>
      <c r="Y55">
        <f>HYPERLINK("https://klasma.github.io/Logging_1980/kartor_geotiff/A 12058-2026 georefererad karta.tif", "A 12058-2026")</f>
        <v/>
      </c>
      <c r="AA55">
        <f>HYPERLINK("https://klasma.github.io/Logging_1980/klagomål/A 12058-2026 FSC-klagomål.docx", "A 12058-2026")</f>
        <v/>
      </c>
      <c r="AB55">
        <f>HYPERLINK("https://klasma.github.io/Logging_1980/klagomålsmail/A 12058-2026 FSC-klagomål mail.docx", "A 12058-2026")</f>
        <v/>
      </c>
      <c r="AC55">
        <f>HYPERLINK("https://klasma.github.io/Logging_1980/tillsyn/A 12058-2026 tillsynsbegäran.docx", "A 12058-2026")</f>
        <v/>
      </c>
      <c r="AD55">
        <f>HYPERLINK("https://klasma.github.io/Logging_1980/tillsynsmail/A 12058-2026 tillsynsbegäran mail.docx", "A 12058-2026")</f>
        <v/>
      </c>
      <c r="AE55">
        <f>HYPERLINK("https://klasma.github.io/Logging_1980/fåglar/A 12058-2026 prioriterade fågelarter.docx", "A 12058-2026")</f>
        <v/>
      </c>
    </row>
    <row r="56" ht="15" customHeight="1">
      <c r="A56" t="inlineStr">
        <is>
          <t>A 58395-2022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44901</v>
      </c>
      <c r="E56" s="1" t="n">
        <v>46232</v>
      </c>
      <c r="F56" t="inlineStr">
        <is>
          <t>VÄSTMANLANDS LÄN</t>
        </is>
      </c>
      <c r="G56" t="inlineStr">
        <is>
          <t>VÄSTERÅS</t>
        </is>
      </c>
      <c r="I56" t="n">
        <v>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Korskovall</t>
        </is>
      </c>
      <c r="W56">
        <f>HYPERLINK("https://klasma.github.io/Logging_1980/artfynd/A 58395-2022 artfynd.xlsx", "A 58395-2022")</f>
        <v/>
      </c>
      <c r="X56">
        <f>HYPERLINK("https://klasma.github.io/Logging_1980/kartor/A 58395-2022 karta.png", "A 58395-2022")</f>
        <v/>
      </c>
      <c r="Y56">
        <f>HYPERLINK("https://klasma.github.io/Logging_1980/kartor_geotiff/A 58395-2022 georefererad karta.tif", "A 58395-2022")</f>
        <v/>
      </c>
      <c r="AA56">
        <f>HYPERLINK("https://klasma.github.io/Logging_1980/klagomål/A 58395-2022 FSC-klagomål.docx", "A 58395-2022")</f>
        <v/>
      </c>
      <c r="AB56">
        <f>HYPERLINK("https://klasma.github.io/Logging_1980/klagomålsmail/A 58395-2022 FSC-klagomål mail.docx", "A 58395-2022")</f>
        <v/>
      </c>
      <c r="AC56">
        <f>HYPERLINK("https://klasma.github.io/Logging_1980/tillsyn/A 58395-2022 tillsynsbegäran.docx", "A 58395-2022")</f>
        <v/>
      </c>
      <c r="AD56">
        <f>HYPERLINK("https://klasma.github.io/Logging_1980/tillsynsmail/A 58395-2022 tillsynsbegäran mail.docx", "A 58395-2022")</f>
        <v/>
      </c>
    </row>
    <row r="57" ht="15" customHeight="1">
      <c r="A57" t="inlineStr">
        <is>
          <t>A 1594-2023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46232</v>
      </c>
      <c r="F57" t="inlineStr">
        <is>
          <t>VÄSTMANLANDS LÄN</t>
        </is>
      </c>
      <c r="G57" t="inlineStr">
        <is>
          <t>VÄSTERÅS</t>
        </is>
      </c>
      <c r="I57" t="n">
        <v>10.9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HYPERLINK("https://klasma.github.io/Logging_1980/artfynd/A 1594-2023 artfynd.xlsx", "A 1594-2023")</f>
        <v/>
      </c>
      <c r="X57">
        <f>HYPERLINK("https://klasma.github.io/Logging_1980/kartor/A 1594-2023 karta.png", "A 1594-2023")</f>
        <v/>
      </c>
      <c r="Y57">
        <f>HYPERLINK("https://klasma.github.io/Logging_1980/kartor_geotiff/A 1594-2023 georefererad karta.tif", "A 1594-2023")</f>
        <v/>
      </c>
      <c r="AA57">
        <f>HYPERLINK("https://klasma.github.io/Logging_1980/klagomål/A 1594-2023 FSC-klagomål.docx", "A 1594-2023")</f>
        <v/>
      </c>
      <c r="AB57">
        <f>HYPERLINK("https://klasma.github.io/Logging_1980/klagomålsmail/A 1594-2023 FSC-klagomål mail.docx", "A 1594-2023")</f>
        <v/>
      </c>
      <c r="AC57">
        <f>HYPERLINK("https://klasma.github.io/Logging_1980/tillsyn/A 1594-2023 tillsynsbegäran.docx", "A 1594-2023")</f>
        <v/>
      </c>
      <c r="AD57">
        <f>HYPERLINK("https://klasma.github.io/Logging_1980/tillsynsmail/A 1594-2023 tillsynsbegäran mail.docx", "A 1594-2023")</f>
        <v/>
      </c>
      <c r="AE57">
        <f>HYPERLINK("https://klasma.github.io/Logging_1980/fåglar/A 1594-2023 prioriterade fågelarter.docx", "A 1594-2023")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46232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46232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46232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46232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46232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46232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67943-2021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46232</v>
      </c>
      <c r="F64" t="inlineStr">
        <is>
          <t>VÄSTMANLANDS LÄN</t>
        </is>
      </c>
      <c r="G64" t="inlineStr">
        <is>
          <t>VÄSTERÅS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44679</v>
      </c>
      <c r="E65" s="1" t="n">
        <v>46232</v>
      </c>
      <c r="F65" t="inlineStr">
        <is>
          <t>VÄSTMANLANDS LÄN</t>
        </is>
      </c>
      <c r="G65" t="inlineStr">
        <is>
          <t>VÄSTERÅS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44628</v>
      </c>
      <c r="E66" s="1" t="n">
        <v>46232</v>
      </c>
      <c r="F66" t="inlineStr">
        <is>
          <t>VÄSTMANLANDS LÄN</t>
        </is>
      </c>
      <c r="G66" t="inlineStr">
        <is>
          <t>VÄSTERÅS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46232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46232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46232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46232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46232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46232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46232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46232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46232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46232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46232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46232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46232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46232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46232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46232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46232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46232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46232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46232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44413</v>
      </c>
      <c r="E87" s="1" t="n">
        <v>46232</v>
      </c>
      <c r="F87" t="inlineStr">
        <is>
          <t>VÄSTMANLANDS LÄN</t>
        </is>
      </c>
      <c r="G87" t="inlineStr">
        <is>
          <t>VÄSTERÅS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46232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46232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46232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46232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46232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46232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46232</v>
      </c>
      <c r="F94" t="inlineStr">
        <is>
          <t>VÄSTMANLANDS LÄN</t>
        </is>
      </c>
      <c r="G94" t="inlineStr">
        <is>
          <t>VÄSTERÅS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44847</v>
      </c>
      <c r="E95" s="1" t="n">
        <v>46232</v>
      </c>
      <c r="F95" t="inlineStr">
        <is>
          <t>VÄSTMANLANDS LÄN</t>
        </is>
      </c>
      <c r="G95" t="inlineStr">
        <is>
          <t>VÄSTERÅS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16497-2022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44671</v>
      </c>
      <c r="E96" s="1" t="n">
        <v>46232</v>
      </c>
      <c r="F96" t="inlineStr">
        <is>
          <t>VÄSTMANLANDS LÄN</t>
        </is>
      </c>
      <c r="G96" t="inlineStr">
        <is>
          <t>VÄSTERÅS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55676-2023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45232</v>
      </c>
      <c r="E97" s="1" t="n">
        <v>46232</v>
      </c>
      <c r="F97" t="inlineStr">
        <is>
          <t>VÄSTMANLANDS LÄN</t>
        </is>
      </c>
      <c r="G97" t="inlineStr">
        <is>
          <t>VÄSTERÅS</t>
        </is>
      </c>
      <c r="H97" t="inlineStr">
        <is>
          <t>Övriga Aktiebolag</t>
        </is>
      </c>
      <c r="I97" t="n">
        <v>37.9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46156-2022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44847</v>
      </c>
      <c r="E98" s="1" t="n">
        <v>46232</v>
      </c>
      <c r="F98" t="inlineStr">
        <is>
          <t>VÄSTMANLANDS LÄN</t>
        </is>
      </c>
      <c r="G98" t="inlineStr">
        <is>
          <t>VÄSTERÅS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46232</v>
      </c>
      <c r="F99" t="inlineStr">
        <is>
          <t>VÄSTMANLANDS LÄN</t>
        </is>
      </c>
      <c r="G99" t="inlineStr">
        <is>
          <t>VÄSTERÅS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55684-2023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45232</v>
      </c>
      <c r="E100" s="1" t="n">
        <v>46232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Övriga Aktiebolag</t>
        </is>
      </c>
      <c r="I100" t="n">
        <v>29.4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12258-2022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46232</v>
      </c>
      <c r="F101" t="inlineStr">
        <is>
          <t>VÄSTMANLANDS LÄN</t>
        </is>
      </c>
      <c r="G101" t="inlineStr">
        <is>
          <t>VÄSTERÅS</t>
        </is>
      </c>
      <c r="I101" t="n">
        <v>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46232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30096-2023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45110</v>
      </c>
      <c r="E103" s="1" t="n">
        <v>46232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74314-2021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46232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46232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8346-2022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44610</v>
      </c>
      <c r="E106" s="1" t="n">
        <v>46232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59740-2024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45639</v>
      </c>
      <c r="E107" s="1" t="n">
        <v>46232</v>
      </c>
      <c r="F107" t="inlineStr">
        <is>
          <t>VÄSTMANLANDS LÄN</t>
        </is>
      </c>
      <c r="G107" t="inlineStr">
        <is>
          <t>VÄSTERÅS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15355-2023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45019</v>
      </c>
      <c r="E108" s="1" t="n">
        <v>46232</v>
      </c>
      <c r="F108" t="inlineStr">
        <is>
          <t>VÄSTMANLANDS LÄN</t>
        </is>
      </c>
      <c r="G108" t="inlineStr">
        <is>
          <t>VÄSTERÅS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46232</v>
      </c>
      <c r="F109" t="inlineStr">
        <is>
          <t>VÄSTMANLANDS LÄN</t>
        </is>
      </c>
      <c r="G109" t="inlineStr">
        <is>
          <t>VÄSTERÅS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44961</v>
      </c>
      <c r="E110" s="1" t="n">
        <v>46232</v>
      </c>
      <c r="F110" t="inlineStr">
        <is>
          <t>VÄSTMANLANDS LÄN</t>
        </is>
      </c>
      <c r="G110" t="inlineStr">
        <is>
          <t>VÄSTERÅS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46232</v>
      </c>
      <c r="F111" t="inlineStr">
        <is>
          <t>VÄSTMANLANDS LÄN</t>
        </is>
      </c>
      <c r="G111" t="inlineStr">
        <is>
          <t>VÄSTERÅS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44428</v>
      </c>
      <c r="E112" s="1" t="n">
        <v>46232</v>
      </c>
      <c r="F112" t="inlineStr">
        <is>
          <t>VÄSTMANLANDS LÄN</t>
        </is>
      </c>
      <c r="G112" t="inlineStr">
        <is>
          <t>VÄSTERÅS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73601-2021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44552</v>
      </c>
      <c r="E113" s="1" t="n">
        <v>46232</v>
      </c>
      <c r="F113" t="inlineStr">
        <is>
          <t>VÄSTMANLANDS LÄN</t>
        </is>
      </c>
      <c r="G113" t="inlineStr">
        <is>
          <t>VÄSTERÅS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45072</v>
      </c>
      <c r="E114" s="1" t="n">
        <v>46232</v>
      </c>
      <c r="F114" t="inlineStr">
        <is>
          <t>VÄSTMANLANDS LÄN</t>
        </is>
      </c>
      <c r="G114" t="inlineStr">
        <is>
          <t>VÄSTERÅS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46232</v>
      </c>
      <c r="F115" t="inlineStr">
        <is>
          <t>VÄSTMANLANDS LÄN</t>
        </is>
      </c>
      <c r="G115" t="inlineStr">
        <is>
          <t>VÄSTERÅS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46232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56945-2024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45628</v>
      </c>
      <c r="E117" s="1" t="n">
        <v>46232</v>
      </c>
      <c r="F117" t="inlineStr">
        <is>
          <t>VÄSTMANLANDS LÄN</t>
        </is>
      </c>
      <c r="G117" t="inlineStr">
        <is>
          <t>VÄSTERÅS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46232</v>
      </c>
      <c r="F118" t="inlineStr">
        <is>
          <t>VÄSTMANLANDS LÄN</t>
        </is>
      </c>
      <c r="G118" t="inlineStr">
        <is>
          <t>VÄSTERÅS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45705</v>
      </c>
      <c r="E119" s="1" t="n">
        <v>46232</v>
      </c>
      <c r="F119" t="inlineStr">
        <is>
          <t>VÄSTMANLANDS LÄN</t>
        </is>
      </c>
      <c r="G119" t="inlineStr">
        <is>
          <t>VÄSTERÅS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24546-2025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46232</v>
      </c>
      <c r="F120" t="inlineStr">
        <is>
          <t>VÄSTMANLANDS LÄN</t>
        </is>
      </c>
      <c r="G120" t="inlineStr">
        <is>
          <t>VÄSTERÅS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46232</v>
      </c>
      <c r="F121" t="inlineStr">
        <is>
          <t>VÄSTMANLANDS LÄN</t>
        </is>
      </c>
      <c r="G121" t="inlineStr">
        <is>
          <t>VÄSTERÅS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45370</v>
      </c>
      <c r="E122" s="1" t="n">
        <v>46232</v>
      </c>
      <c r="F122" t="inlineStr">
        <is>
          <t>VÄSTMANLANDS LÄN</t>
        </is>
      </c>
      <c r="G122" t="inlineStr">
        <is>
          <t>VÄSTERÅS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23455-2024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45453</v>
      </c>
      <c r="E123" s="1" t="n">
        <v>46232</v>
      </c>
      <c r="F123" t="inlineStr">
        <is>
          <t>VÄSTMANLANDS LÄN</t>
        </is>
      </c>
      <c r="G123" t="inlineStr">
        <is>
          <t>VÄSTERÅS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45506</v>
      </c>
      <c r="E124" s="1" t="n">
        <v>46232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Kommuner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52764-2022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44875</v>
      </c>
      <c r="E125" s="1" t="n">
        <v>46232</v>
      </c>
      <c r="F125" t="inlineStr">
        <is>
          <t>VÄSTMANLANDS LÄN</t>
        </is>
      </c>
      <c r="G125" t="inlineStr">
        <is>
          <t>VÄSTERÅS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1700-2023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44936</v>
      </c>
      <c r="E126" s="1" t="n">
        <v>46232</v>
      </c>
      <c r="F126" t="inlineStr">
        <is>
          <t>VÄSTMANLANDS LÄN</t>
        </is>
      </c>
      <c r="G126" t="inlineStr">
        <is>
          <t>VÄSTERÅS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46232</v>
      </c>
      <c r="F127" t="inlineStr">
        <is>
          <t>VÄSTMANLANDS LÄN</t>
        </is>
      </c>
      <c r="G127" t="inlineStr">
        <is>
          <t>VÄSTERÅS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46030</v>
      </c>
      <c r="E128" s="1" t="n">
        <v>46232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Allmännings- och besparingsskogar</t>
        </is>
      </c>
      <c r="I128" t="n">
        <v>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56076-2023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45235</v>
      </c>
      <c r="E129" s="1" t="n">
        <v>46232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Övriga Aktiebolag</t>
        </is>
      </c>
      <c r="I129" t="n">
        <v>37.8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46232</v>
      </c>
      <c r="F130" t="inlineStr">
        <is>
          <t>VÄSTMANLANDS LÄN</t>
        </is>
      </c>
      <c r="G130" t="inlineStr">
        <is>
          <t>VÄSTERÅS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38822-2025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46232</v>
      </c>
      <c r="F131" t="inlineStr">
        <is>
          <t>VÄSTMANLANDS LÄN</t>
        </is>
      </c>
      <c r="G131" t="inlineStr">
        <is>
          <t>VÄSTERÅS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50996-2024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45603</v>
      </c>
      <c r="E132" s="1" t="n">
        <v>46232</v>
      </c>
      <c r="F132" t="inlineStr">
        <is>
          <t>VÄSTMANLANDS LÄN</t>
        </is>
      </c>
      <c r="G132" t="inlineStr">
        <is>
          <t>VÄSTERÅS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49232-2024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45595</v>
      </c>
      <c r="E133" s="1" t="n">
        <v>46232</v>
      </c>
      <c r="F133" t="inlineStr">
        <is>
          <t>VÄSTMANLANDS LÄN</t>
        </is>
      </c>
      <c r="G133" t="inlineStr">
        <is>
          <t>VÄSTERÅS</t>
        </is>
      </c>
      <c r="H133" t="inlineStr">
        <is>
          <t>Övriga Aktiebolag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11137-2023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44987</v>
      </c>
      <c r="E134" s="1" t="n">
        <v>46232</v>
      </c>
      <c r="F134" t="inlineStr">
        <is>
          <t>VÄSTMANLANDS LÄN</t>
        </is>
      </c>
      <c r="G134" t="inlineStr">
        <is>
          <t>VÄSTERÅS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45617</v>
      </c>
      <c r="E135" s="1" t="n">
        <v>46232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12612-2023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44999</v>
      </c>
      <c r="E136" s="1" t="n">
        <v>46232</v>
      </c>
      <c r="F136" t="inlineStr">
        <is>
          <t>VÄSTMANLANDS LÄN</t>
        </is>
      </c>
      <c r="G136" t="inlineStr">
        <is>
          <t>VÄSTERÅS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46232</v>
      </c>
      <c r="F137" t="inlineStr">
        <is>
          <t>VÄSTMANLANDS LÄN</t>
        </is>
      </c>
      <c r="G137" t="inlineStr">
        <is>
          <t>VÄSTERÅS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64207-2023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46232</v>
      </c>
      <c r="F138" t="inlineStr">
        <is>
          <t>VÄSTMANLANDS LÄN</t>
        </is>
      </c>
      <c r="G138" t="inlineStr">
        <is>
          <t>VÄSTERÅS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46232</v>
      </c>
      <c r="F139" t="inlineStr">
        <is>
          <t>VÄSTMANLANDS LÄN</t>
        </is>
      </c>
      <c r="G139" t="inlineStr">
        <is>
          <t>VÄSTERÅS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46232</v>
      </c>
      <c r="F140" t="inlineStr">
        <is>
          <t>VÄSTMANLANDS LÄN</t>
        </is>
      </c>
      <c r="G140" t="inlineStr">
        <is>
          <t>VÄSTERÅS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24121-2024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45456</v>
      </c>
      <c r="E141" s="1" t="n">
        <v>46232</v>
      </c>
      <c r="F141" t="inlineStr">
        <is>
          <t>VÄSTMANLANDS LÄN</t>
        </is>
      </c>
      <c r="G141" t="inlineStr">
        <is>
          <t>VÄSTERÅS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46232</v>
      </c>
      <c r="F142" t="inlineStr">
        <is>
          <t>VÄSTMANLANDS LÄN</t>
        </is>
      </c>
      <c r="G142" t="inlineStr">
        <is>
          <t>VÄSTERÅS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46232</v>
      </c>
      <c r="F143" t="inlineStr">
        <is>
          <t>VÄSTMANLANDS LÄN</t>
        </is>
      </c>
      <c r="G143" t="inlineStr">
        <is>
          <t>VÄSTERÅS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46232</v>
      </c>
      <c r="F144" t="inlineStr">
        <is>
          <t>VÄSTMANLANDS LÄN</t>
        </is>
      </c>
      <c r="G144" t="inlineStr">
        <is>
          <t>VÄSTERÅS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32851-2024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45516</v>
      </c>
      <c r="E145" s="1" t="n">
        <v>46232</v>
      </c>
      <c r="F145" t="inlineStr">
        <is>
          <t>VÄSTMANLANDS LÄN</t>
        </is>
      </c>
      <c r="G145" t="inlineStr">
        <is>
          <t>VÄSTERÅS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53836-2022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44880</v>
      </c>
      <c r="E146" s="1" t="n">
        <v>46232</v>
      </c>
      <c r="F146" t="inlineStr">
        <is>
          <t>VÄSTMANLANDS LÄN</t>
        </is>
      </c>
      <c r="G146" t="inlineStr">
        <is>
          <t>VÄSTERÅS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44880</v>
      </c>
      <c r="E147" s="1" t="n">
        <v>46232</v>
      </c>
      <c r="F147" t="inlineStr">
        <is>
          <t>VÄSTMANLANDS LÄN</t>
        </is>
      </c>
      <c r="G147" t="inlineStr">
        <is>
          <t>VÄSTERÅS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45833</v>
      </c>
      <c r="E148" s="1" t="n">
        <v>46232</v>
      </c>
      <c r="F148" t="inlineStr">
        <is>
          <t>VÄSTMANLANDS LÄN</t>
        </is>
      </c>
      <c r="G148" t="inlineStr">
        <is>
          <t>VÄSTERÅS</t>
        </is>
      </c>
      <c r="I148" t="n">
        <v>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45125</v>
      </c>
      <c r="E149" s="1" t="n">
        <v>46232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44743</v>
      </c>
      <c r="E150" s="1" t="n">
        <v>46232</v>
      </c>
      <c r="F150" t="inlineStr">
        <is>
          <t>VÄSTMANLANDS LÄN</t>
        </is>
      </c>
      <c r="G150" t="inlineStr">
        <is>
          <t>VÄSTERÅS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45279</v>
      </c>
      <c r="E151" s="1" t="n">
        <v>46232</v>
      </c>
      <c r="F151" t="inlineStr">
        <is>
          <t>VÄSTMANLANDS LÄN</t>
        </is>
      </c>
      <c r="G151" t="inlineStr">
        <is>
          <t>VÄSTERÅS</t>
        </is>
      </c>
      <c r="I151" t="n">
        <v>13.9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46232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Övriga statliga verk och myndigheter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46232</v>
      </c>
      <c r="F153" t="inlineStr">
        <is>
          <t>VÄSTMANLANDS LÄN</t>
        </is>
      </c>
      <c r="G153" t="inlineStr">
        <is>
          <t>VÄSTERÅS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39127-2022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44816</v>
      </c>
      <c r="E154" s="1" t="n">
        <v>46232</v>
      </c>
      <c r="F154" t="inlineStr">
        <is>
          <t>VÄSTMANLANDS LÄN</t>
        </is>
      </c>
      <c r="G154" t="inlineStr">
        <is>
          <t>VÄSTERÅS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49240-2025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45938</v>
      </c>
      <c r="E155" s="1" t="n">
        <v>46232</v>
      </c>
      <c r="F155" t="inlineStr">
        <is>
          <t>VÄSTMANLANDS LÄN</t>
        </is>
      </c>
      <c r="G155" t="inlineStr">
        <is>
          <t>VÄSTERÅS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45119</v>
      </c>
      <c r="E156" s="1" t="n">
        <v>46232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Sveaskog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44645</v>
      </c>
      <c r="E157" s="1" t="n">
        <v>46232</v>
      </c>
      <c r="F157" t="inlineStr">
        <is>
          <t>VÄSTMANLANDS LÄN</t>
        </is>
      </c>
      <c r="G157" t="inlineStr">
        <is>
          <t>VÄSTERÅS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46232</v>
      </c>
      <c r="F158" t="inlineStr">
        <is>
          <t>VÄSTMANLANDS LÄN</t>
        </is>
      </c>
      <c r="G158" t="inlineStr">
        <is>
          <t>VÄSTERÅS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45832</v>
      </c>
      <c r="E159" s="1" t="n">
        <v>46232</v>
      </c>
      <c r="F159" t="inlineStr">
        <is>
          <t>VÄSTMANLANDS LÄN</t>
        </is>
      </c>
      <c r="G159" t="inlineStr">
        <is>
          <t>VÄSTERÅS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45945</v>
      </c>
      <c r="E160" s="1" t="n">
        <v>46232</v>
      </c>
      <c r="F160" t="inlineStr">
        <is>
          <t>VÄSTMANLANDS LÄN</t>
        </is>
      </c>
      <c r="G160" t="inlineStr">
        <is>
          <t>VÄSTERÅS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44648</v>
      </c>
      <c r="E161" s="1" t="n">
        <v>46232</v>
      </c>
      <c r="F161" t="inlineStr">
        <is>
          <t>VÄSTMANLANDS LÄN</t>
        </is>
      </c>
      <c r="G161" t="inlineStr">
        <is>
          <t>VÄSTERÅS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51223-2023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45219</v>
      </c>
      <c r="E162" s="1" t="n">
        <v>46232</v>
      </c>
      <c r="F162" t="inlineStr">
        <is>
          <t>VÄSTMANLANDS LÄN</t>
        </is>
      </c>
      <c r="G162" t="inlineStr">
        <is>
          <t>VÄSTERÅS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51200-2025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46232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Övriga statliga verk och myndigheter</t>
        </is>
      </c>
      <c r="I163" t="n">
        <v>7.6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46232</v>
      </c>
      <c r="F164" t="inlineStr">
        <is>
          <t>VÄSTMANLANDS LÄN</t>
        </is>
      </c>
      <c r="G164" t="inlineStr">
        <is>
          <t>VÄSTERÅS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7797-2026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46062</v>
      </c>
      <c r="E165" s="1" t="n">
        <v>46232</v>
      </c>
      <c r="F165" t="inlineStr">
        <is>
          <t>VÄSTMANLANDS LÄN</t>
        </is>
      </c>
      <c r="G165" t="inlineStr">
        <is>
          <t>VÄSTERÅS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46232</v>
      </c>
      <c r="F166" t="inlineStr">
        <is>
          <t>VÄSTMANLANDS LÄN</t>
        </is>
      </c>
      <c r="G166" t="inlineStr">
        <is>
          <t>VÄSTERÅS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44635</v>
      </c>
      <c r="E167" s="1" t="n">
        <v>46232</v>
      </c>
      <c r="F167" t="inlineStr">
        <is>
          <t>VÄSTMANLANDS LÄN</t>
        </is>
      </c>
      <c r="G167" t="inlineStr">
        <is>
          <t>VÄSTERÅS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11989-2022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44635</v>
      </c>
      <c r="E168" s="1" t="n">
        <v>46232</v>
      </c>
      <c r="F168" t="inlineStr">
        <is>
          <t>VÄSTMANLANDS LÄN</t>
        </is>
      </c>
      <c r="G168" t="inlineStr">
        <is>
          <t>VÄSTERÅS</t>
        </is>
      </c>
      <c r="I168" t="n">
        <v>12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52263-2025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46232</v>
      </c>
      <c r="F169" t="inlineStr">
        <is>
          <t>VÄSTMANLANDS LÄN</t>
        </is>
      </c>
      <c r="G169" t="inlineStr">
        <is>
          <t>VÄSTERÅS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46232</v>
      </c>
      <c r="F170" t="inlineStr">
        <is>
          <t>VÄSTMANLANDS LÄN</t>
        </is>
      </c>
      <c r="G170" t="inlineStr">
        <is>
          <t>VÄSTERÅS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46232</v>
      </c>
      <c r="F171" t="inlineStr">
        <is>
          <t>VÄSTMANLANDS LÄN</t>
        </is>
      </c>
      <c r="G171" t="inlineStr">
        <is>
          <t>VÄSTERÅS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8871-2026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46232</v>
      </c>
      <c r="F172" t="inlineStr">
        <is>
          <t>VÄSTMANLANDS LÄN</t>
        </is>
      </c>
      <c r="G172" t="inlineStr">
        <is>
          <t>VÄSTERÅS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8870-2026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46232</v>
      </c>
      <c r="F173" t="inlineStr">
        <is>
          <t>VÄSTMANLANDS LÄN</t>
        </is>
      </c>
      <c r="G173" t="inlineStr">
        <is>
          <t>VÄSTERÅS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59765-2023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45257</v>
      </c>
      <c r="E174" s="1" t="n">
        <v>46232</v>
      </c>
      <c r="F174" t="inlineStr">
        <is>
          <t>VÄSTMANLANDS LÄN</t>
        </is>
      </c>
      <c r="G174" t="inlineStr">
        <is>
          <t>VÄSTERÅS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46232</v>
      </c>
      <c r="F175" t="inlineStr">
        <is>
          <t>VÄSTMANLANDS LÄN</t>
        </is>
      </c>
      <c r="G175" t="inlineStr">
        <is>
          <t>VÄSTERÅS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46232</v>
      </c>
      <c r="F176" t="inlineStr">
        <is>
          <t>VÄSTMANLANDS LÄN</t>
        </is>
      </c>
      <c r="G176" t="inlineStr">
        <is>
          <t>VÄSTERÅS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61069-2022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46232</v>
      </c>
      <c r="F177" t="inlineStr">
        <is>
          <t>VÄSTMANLANDS LÄN</t>
        </is>
      </c>
      <c r="G177" t="inlineStr">
        <is>
          <t>VÄSTERÅS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41344-2023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45174</v>
      </c>
      <c r="E178" s="1" t="n">
        <v>46232</v>
      </c>
      <c r="F178" t="inlineStr">
        <is>
          <t>VÄSTMANLANDS LÄN</t>
        </is>
      </c>
      <c r="G178" t="inlineStr">
        <is>
          <t>VÄSTERÅS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46232</v>
      </c>
      <c r="F179" t="inlineStr">
        <is>
          <t>VÄSTMANLANDS LÄN</t>
        </is>
      </c>
      <c r="G179" t="inlineStr">
        <is>
          <t>VÄSTERÅS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46232</v>
      </c>
      <c r="F180" t="inlineStr">
        <is>
          <t>VÄSTMANLANDS LÄN</t>
        </is>
      </c>
      <c r="G180" t="inlineStr">
        <is>
          <t>VÄSTERÅS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45027</v>
      </c>
      <c r="E181" s="1" t="n">
        <v>46232</v>
      </c>
      <c r="F181" t="inlineStr">
        <is>
          <t>VÄSTMANLANDS LÄN</t>
        </is>
      </c>
      <c r="G181" t="inlineStr">
        <is>
          <t>VÄSTERÅS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45027</v>
      </c>
      <c r="E182" s="1" t="n">
        <v>46232</v>
      </c>
      <c r="F182" t="inlineStr">
        <is>
          <t>VÄSTMANLANDS LÄN</t>
        </is>
      </c>
      <c r="G182" t="inlineStr">
        <is>
          <t>VÄSTERÅS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52027-2025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45952</v>
      </c>
      <c r="E183" s="1" t="n">
        <v>46232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Övriga statliga verk och myndigheter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46079</v>
      </c>
      <c r="E184" s="1" t="n">
        <v>46232</v>
      </c>
      <c r="F184" t="inlineStr">
        <is>
          <t>VÄSTMANLANDS LÄN</t>
        </is>
      </c>
      <c r="G184" t="inlineStr">
        <is>
          <t>VÄSTERÅS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41114-2022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46232</v>
      </c>
      <c r="F185" t="inlineStr">
        <is>
          <t>VÄSTMANLANDS LÄN</t>
        </is>
      </c>
      <c r="G185" t="inlineStr">
        <is>
          <t>VÄSTERÅS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46084</v>
      </c>
      <c r="E186" s="1" t="n">
        <v>46232</v>
      </c>
      <c r="F186" t="inlineStr">
        <is>
          <t>VÄSTMANLANDS LÄN</t>
        </is>
      </c>
      <c r="G186" t="inlineStr">
        <is>
          <t>VÄSTERÅS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5208-2022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44594</v>
      </c>
      <c r="E187" s="1" t="n">
        <v>46232</v>
      </c>
      <c r="F187" t="inlineStr">
        <is>
          <t>VÄSTMANLANDS LÄN</t>
        </is>
      </c>
      <c r="G187" t="inlineStr">
        <is>
          <t>VÄSTERÅS</t>
        </is>
      </c>
      <c r="I187" t="n">
        <v>20.3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11739-2026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46232</v>
      </c>
      <c r="F188" t="inlineStr">
        <is>
          <t>VÄSTMANLANDS LÄN</t>
        </is>
      </c>
      <c r="G188" t="inlineStr">
        <is>
          <t>VÄSTERÅS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10870-2026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46078</v>
      </c>
      <c r="E189" s="1" t="n">
        <v>46232</v>
      </c>
      <c r="F189" t="inlineStr">
        <is>
          <t>VÄSTMANLANDS LÄN</t>
        </is>
      </c>
      <c r="G189" t="inlineStr">
        <is>
          <t>VÄSTERÅS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52015-2024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45607</v>
      </c>
      <c r="E190" s="1" t="n">
        <v>46232</v>
      </c>
      <c r="F190" t="inlineStr">
        <is>
          <t>VÄSTMANLANDS LÄN</t>
        </is>
      </c>
      <c r="G190" t="inlineStr">
        <is>
          <t>VÄSTERÅS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46083</v>
      </c>
      <c r="E191" s="1" t="n">
        <v>46232</v>
      </c>
      <c r="F191" t="inlineStr">
        <is>
          <t>VÄSTMANLANDS LÄN</t>
        </is>
      </c>
      <c r="G191" t="inlineStr">
        <is>
          <t>VÄSTERÅS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12649-2023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44999</v>
      </c>
      <c r="E192" s="1" t="n">
        <v>46232</v>
      </c>
      <c r="F192" t="inlineStr">
        <is>
          <t>VÄSTMANLANDS LÄN</t>
        </is>
      </c>
      <c r="G192" t="inlineStr">
        <is>
          <t>VÄSTERÅS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59142-2025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45988</v>
      </c>
      <c r="E193" s="1" t="n">
        <v>46232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51230-2023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45219</v>
      </c>
      <c r="E194" s="1" t="n">
        <v>46232</v>
      </c>
      <c r="F194" t="inlineStr">
        <is>
          <t>VÄSTMANLANDS LÄN</t>
        </is>
      </c>
      <c r="G194" t="inlineStr">
        <is>
          <t>VÄSTERÅS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45761</v>
      </c>
      <c r="E195" s="1" t="n">
        <v>46232</v>
      </c>
      <c r="F195" t="inlineStr">
        <is>
          <t>VÄSTMANLANDS LÄN</t>
        </is>
      </c>
      <c r="G195" t="inlineStr">
        <is>
          <t>VÄSTERÅS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44958</v>
      </c>
      <c r="E196" s="1" t="n">
        <v>46232</v>
      </c>
      <c r="F196" t="inlineStr">
        <is>
          <t>VÄSTMANLANDS LÄN</t>
        </is>
      </c>
      <c r="G196" t="inlineStr">
        <is>
          <t>VÄSTERÅS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3118-2022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44582</v>
      </c>
      <c r="E197" s="1" t="n">
        <v>46232</v>
      </c>
      <c r="F197" t="inlineStr">
        <is>
          <t>VÄSTMANLANDS LÄN</t>
        </is>
      </c>
      <c r="G197" t="inlineStr">
        <is>
          <t>VÄSTERÅS</t>
        </is>
      </c>
      <c r="H197" t="inlineStr">
        <is>
          <t>Övriga Aktiebolag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46091</v>
      </c>
      <c r="E198" s="1" t="n">
        <v>46232</v>
      </c>
      <c r="F198" t="inlineStr">
        <is>
          <t>VÄSTMANLANDS LÄN</t>
        </is>
      </c>
      <c r="G198" t="inlineStr">
        <is>
          <t>VÄSTERÅS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44812</v>
      </c>
      <c r="E199" s="1" t="n">
        <v>46232</v>
      </c>
      <c r="F199" t="inlineStr">
        <is>
          <t>VÄSTMANLANDS LÄN</t>
        </is>
      </c>
      <c r="G199" t="inlineStr">
        <is>
          <t>VÄSTERÅS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44600</v>
      </c>
      <c r="E200" s="1" t="n">
        <v>46232</v>
      </c>
      <c r="F200" t="inlineStr">
        <is>
          <t>VÄSTMANLANDS LÄN</t>
        </is>
      </c>
      <c r="G200" t="inlineStr">
        <is>
          <t>VÄSTERÅS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17258-2024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45414</v>
      </c>
      <c r="E201" s="1" t="n">
        <v>46232</v>
      </c>
      <c r="F201" t="inlineStr">
        <is>
          <t>VÄSTMANLANDS LÄN</t>
        </is>
      </c>
      <c r="G201" t="inlineStr">
        <is>
          <t>VÄSTERÅS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18465-2023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45042</v>
      </c>
      <c r="E202" s="1" t="n">
        <v>46232</v>
      </c>
      <c r="F202" t="inlineStr">
        <is>
          <t>VÄSTMANLANDS LÄN</t>
        </is>
      </c>
      <c r="G202" t="inlineStr">
        <is>
          <t>VÄSTERÅS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64202-2023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46232</v>
      </c>
      <c r="F203" t="inlineStr">
        <is>
          <t>VÄSTMANLANDS LÄN</t>
        </is>
      </c>
      <c r="G203" t="inlineStr">
        <is>
          <t>VÄSTERÅS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46232</v>
      </c>
      <c r="F204" t="inlineStr">
        <is>
          <t>VÄSTMANLANDS LÄN</t>
        </is>
      </c>
      <c r="G204" t="inlineStr">
        <is>
          <t>VÄSTERÅS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11324-2026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46080</v>
      </c>
      <c r="E205" s="1" t="n">
        <v>46232</v>
      </c>
      <c r="F205" t="inlineStr">
        <is>
          <t>VÄSTMANLANDS LÄN</t>
        </is>
      </c>
      <c r="G205" t="inlineStr">
        <is>
          <t>VÄSTERÅS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39810-2024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46232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Kyrkan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46080</v>
      </c>
      <c r="E207" s="1" t="n">
        <v>46232</v>
      </c>
      <c r="F207" t="inlineStr">
        <is>
          <t>VÄSTMANLANDS LÄN</t>
        </is>
      </c>
      <c r="G207" t="inlineStr">
        <is>
          <t>VÄSTERÅS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45160</v>
      </c>
      <c r="E208" s="1" t="n">
        <v>46232</v>
      </c>
      <c r="F208" t="inlineStr">
        <is>
          <t>VÄSTMANLANDS LÄN</t>
        </is>
      </c>
      <c r="G208" t="inlineStr">
        <is>
          <t>VÄSTERÅS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15316-2022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44659</v>
      </c>
      <c r="E209" s="1" t="n">
        <v>46232</v>
      </c>
      <c r="F209" t="inlineStr">
        <is>
          <t>VÄSTMANLANDS LÄN</t>
        </is>
      </c>
      <c r="G209" t="inlineStr">
        <is>
          <t>VÄSTERÅS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44595</v>
      </c>
      <c r="E210" s="1" t="n">
        <v>46232</v>
      </c>
      <c r="F210" t="inlineStr">
        <is>
          <t>VÄSTMANLANDS LÄN</t>
        </is>
      </c>
      <c r="G210" t="inlineStr">
        <is>
          <t>VÄSTERÅS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16685-2026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46112</v>
      </c>
      <c r="E211" s="1" t="n">
        <v>46232</v>
      </c>
      <c r="F211" t="inlineStr">
        <is>
          <t>VÄSTMANLANDS LÄN</t>
        </is>
      </c>
      <c r="G211" t="inlineStr">
        <is>
          <t>VÄSTERÅS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16582-2026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46112</v>
      </c>
      <c r="E212" s="1" t="n">
        <v>46232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46232</v>
      </c>
      <c r="F213" t="inlineStr">
        <is>
          <t>VÄSTMANLANDS LÄN</t>
        </is>
      </c>
      <c r="G213" t="inlineStr">
        <is>
          <t>VÄSTERÅS</t>
        </is>
      </c>
      <c r="H213" t="inlineStr">
        <is>
          <t>Sveaskog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16579-2026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46112</v>
      </c>
      <c r="E214" s="1" t="n">
        <v>46232</v>
      </c>
      <c r="F214" t="inlineStr">
        <is>
          <t>VÄSTMANLANDS LÄN</t>
        </is>
      </c>
      <c r="G214" t="inlineStr">
        <is>
          <t>VÄSTERÅS</t>
        </is>
      </c>
      <c r="H214" t="inlineStr">
        <is>
          <t>Sveaskog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46112</v>
      </c>
      <c r="E215" s="1" t="n">
        <v>46232</v>
      </c>
      <c r="F215" t="inlineStr">
        <is>
          <t>VÄSTMANLANDS LÄN</t>
        </is>
      </c>
      <c r="G215" t="inlineStr">
        <is>
          <t>VÄSTERÅS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17499-2026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46120</v>
      </c>
      <c r="E216" s="1" t="n">
        <v>46232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Allmännings- och besparingsskogar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17657-2026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46121</v>
      </c>
      <c r="E217" s="1" t="n">
        <v>46232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Kommuner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63851-2021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44509</v>
      </c>
      <c r="E218" s="1" t="n">
        <v>46232</v>
      </c>
      <c r="F218" t="inlineStr">
        <is>
          <t>VÄSTMANLANDS LÄN</t>
        </is>
      </c>
      <c r="G218" t="inlineStr">
        <is>
          <t>VÄSTERÅS</t>
        </is>
      </c>
      <c r="I218" t="n">
        <v>11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23641-2023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45077</v>
      </c>
      <c r="E219" s="1" t="n">
        <v>46232</v>
      </c>
      <c r="F219" t="inlineStr">
        <is>
          <t>VÄSTMANLANDS LÄN</t>
        </is>
      </c>
      <c r="G219" t="inlineStr">
        <is>
          <t>VÄSTERÅS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60797-2022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46232</v>
      </c>
      <c r="F220" t="inlineStr">
        <is>
          <t>VÄSTMANLANDS LÄN</t>
        </is>
      </c>
      <c r="G220" t="inlineStr">
        <is>
          <t>VÄSTERÅS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19791-2026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46135</v>
      </c>
      <c r="E221" s="1" t="n">
        <v>46232</v>
      </c>
      <c r="F221" t="inlineStr">
        <is>
          <t>VÄSTMANLANDS LÄN</t>
        </is>
      </c>
      <c r="G221" t="inlineStr">
        <is>
          <t>VÄSTERÅS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18457-2023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45042</v>
      </c>
      <c r="E222" s="1" t="n">
        <v>46232</v>
      </c>
      <c r="F222" t="inlineStr">
        <is>
          <t>VÄSTMANLANDS LÄN</t>
        </is>
      </c>
      <c r="G222" t="inlineStr">
        <is>
          <t>VÄSTERÅS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22978-2022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44717</v>
      </c>
      <c r="E223" s="1" t="n">
        <v>46232</v>
      </c>
      <c r="F223" t="inlineStr">
        <is>
          <t>VÄSTMANLANDS LÄN</t>
        </is>
      </c>
      <c r="G223" t="inlineStr">
        <is>
          <t>VÄSTERÅS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51219-2023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45219</v>
      </c>
      <c r="E224" s="1" t="n">
        <v>46232</v>
      </c>
      <c r="F224" t="inlineStr">
        <is>
          <t>VÄSTMANLANDS LÄN</t>
        </is>
      </c>
      <c r="G224" t="inlineStr">
        <is>
          <t>VÄSTERÅS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47101-2025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46232</v>
      </c>
      <c r="F225" t="inlineStr">
        <is>
          <t>VÄSTMANLANDS LÄN</t>
        </is>
      </c>
      <c r="G225" t="inlineStr">
        <is>
          <t>VÄSTERÅS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17725-2022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44680</v>
      </c>
      <c r="E226" s="1" t="n">
        <v>46232</v>
      </c>
      <c r="F226" t="inlineStr">
        <is>
          <t>VÄSTMANLANDS LÄN</t>
        </is>
      </c>
      <c r="G226" t="inlineStr">
        <is>
          <t>VÄSTERÅS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45560</v>
      </c>
      <c r="E227" s="1" t="n">
        <v>46232</v>
      </c>
      <c r="F227" t="inlineStr">
        <is>
          <t>VÄSTMANLANDS LÄN</t>
        </is>
      </c>
      <c r="G227" t="inlineStr">
        <is>
          <t>VÄSTERÅS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45110</v>
      </c>
      <c r="E228" s="1" t="n">
        <v>46232</v>
      </c>
      <c r="F228" t="inlineStr">
        <is>
          <t>VÄSTMANLANDS LÄN</t>
        </is>
      </c>
      <c r="G228" t="inlineStr">
        <is>
          <t>VÄSTERÅS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44636</v>
      </c>
      <c r="E229" s="1" t="n">
        <v>46232</v>
      </c>
      <c r="F229" t="inlineStr">
        <is>
          <t>VÄSTMANLANDS LÄN</t>
        </is>
      </c>
      <c r="G229" t="inlineStr">
        <is>
          <t>VÄSTERÅS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19927-2026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46232</v>
      </c>
      <c r="F230" t="inlineStr">
        <is>
          <t>VÄSTMANLANDS LÄN</t>
        </is>
      </c>
      <c r="G230" t="inlineStr">
        <is>
          <t>VÄSTERÅS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56902-2024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45628</v>
      </c>
      <c r="E231" s="1" t="n">
        <v>46232</v>
      </c>
      <c r="F231" t="inlineStr">
        <is>
          <t>VÄSTMANLANDS LÄN</t>
        </is>
      </c>
      <c r="G231" t="inlineStr">
        <is>
          <t>VÄSTERÅS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45443</v>
      </c>
      <c r="E232" s="1" t="n">
        <v>46232</v>
      </c>
      <c r="F232" t="inlineStr">
        <is>
          <t>VÄSTMANLANDS LÄN</t>
        </is>
      </c>
      <c r="G232" t="inlineStr">
        <is>
          <t>VÄSTERÅS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44986</v>
      </c>
      <c r="E233" s="1" t="n">
        <v>46232</v>
      </c>
      <c r="F233" t="inlineStr">
        <is>
          <t>VÄSTMANLANDS LÄN</t>
        </is>
      </c>
      <c r="G233" t="inlineStr">
        <is>
          <t>VÄSTERÅS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57873-2022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44899</v>
      </c>
      <c r="E234" s="1" t="n">
        <v>46232</v>
      </c>
      <c r="F234" t="inlineStr">
        <is>
          <t>VÄSTMANLANDS LÄN</t>
        </is>
      </c>
      <c r="G234" t="inlineStr">
        <is>
          <t>VÄSTERÅS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15350-2023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45019</v>
      </c>
      <c r="E235" s="1" t="n">
        <v>46232</v>
      </c>
      <c r="F235" t="inlineStr">
        <is>
          <t>VÄSTMANLANDS LÄN</t>
        </is>
      </c>
      <c r="G235" t="inlineStr">
        <is>
          <t>VÄSTERÅS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12143-2022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44636</v>
      </c>
      <c r="E236" s="1" t="n">
        <v>46232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Kommuner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44636</v>
      </c>
      <c r="E237" s="1" t="n">
        <v>46232</v>
      </c>
      <c r="F237" t="inlineStr">
        <is>
          <t>VÄSTMANLANDS LÄN</t>
        </is>
      </c>
      <c r="G237" t="inlineStr">
        <is>
          <t>VÄSTERÅS</t>
        </is>
      </c>
      <c r="H237" t="inlineStr">
        <is>
          <t>Kommuner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44840</v>
      </c>
      <c r="E238" s="1" t="n">
        <v>46232</v>
      </c>
      <c r="F238" t="inlineStr">
        <is>
          <t>VÄSTMANLANDS LÄN</t>
        </is>
      </c>
      <c r="G238" t="inlineStr">
        <is>
          <t>VÄSTERÅS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1652-2022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44574</v>
      </c>
      <c r="E239" s="1" t="n">
        <v>46232</v>
      </c>
      <c r="F239" t="inlineStr">
        <is>
          <t>VÄSTMANLANDS LÄN</t>
        </is>
      </c>
      <c r="G239" t="inlineStr">
        <is>
          <t>VÄSTERÅS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56532-2022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44893</v>
      </c>
      <c r="E240" s="1" t="n">
        <v>46232</v>
      </c>
      <c r="F240" t="inlineStr">
        <is>
          <t>VÄSTMANLANDS LÄN</t>
        </is>
      </c>
      <c r="G240" t="inlineStr">
        <is>
          <t>VÄSTERÅS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15889-2022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44664</v>
      </c>
      <c r="E241" s="1" t="n">
        <v>46232</v>
      </c>
      <c r="F241" t="inlineStr">
        <is>
          <t>VÄSTMANLANDS LÄN</t>
        </is>
      </c>
      <c r="G241" t="inlineStr">
        <is>
          <t>VÄSTERÅS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46190</v>
      </c>
      <c r="E242" s="1" t="n">
        <v>46232</v>
      </c>
      <c r="F242" t="inlineStr">
        <is>
          <t>VÄSTMANLANDS LÄN</t>
        </is>
      </c>
      <c r="G242" t="inlineStr">
        <is>
          <t>VÄSTERÅS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21758-2026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46232</v>
      </c>
      <c r="F243" t="inlineStr">
        <is>
          <t>VÄSTMANLANDS LÄN</t>
        </is>
      </c>
      <c r="G243" t="inlineStr">
        <is>
          <t>VÄSTERÅS</t>
        </is>
      </c>
      <c r="I243" t="n">
        <v>7.9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45110</v>
      </c>
      <c r="E244" s="1" t="n">
        <v>46232</v>
      </c>
      <c r="F244" t="inlineStr">
        <is>
          <t>VÄSTMANLANDS LÄN</t>
        </is>
      </c>
      <c r="G244" t="inlineStr">
        <is>
          <t>VÄSTERÅS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45019</v>
      </c>
      <c r="E245" s="1" t="n">
        <v>46232</v>
      </c>
      <c r="F245" t="inlineStr">
        <is>
          <t>VÄSTMANLANDS LÄN</t>
        </is>
      </c>
      <c r="G245" t="inlineStr">
        <is>
          <t>VÄSTERÅS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45019</v>
      </c>
      <c r="E246" s="1" t="n">
        <v>46232</v>
      </c>
      <c r="F246" t="inlineStr">
        <is>
          <t>VÄSTMANLANDS LÄN</t>
        </is>
      </c>
      <c r="G246" t="inlineStr">
        <is>
          <t>VÄSTERÅS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18482-2023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45042</v>
      </c>
      <c r="E247" s="1" t="n">
        <v>46232</v>
      </c>
      <c r="F247" t="inlineStr">
        <is>
          <t>VÄSTMANLANDS LÄN</t>
        </is>
      </c>
      <c r="G247" t="inlineStr">
        <is>
          <t>VÄSTERÅS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46195</v>
      </c>
      <c r="E248" s="1" t="n">
        <v>46232</v>
      </c>
      <c r="F248" t="inlineStr">
        <is>
          <t>VÄSTMANLANDS LÄN</t>
        </is>
      </c>
      <c r="G248" t="inlineStr">
        <is>
          <t>VÄSTERÅS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58085-2022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46232</v>
      </c>
      <c r="F249" t="inlineStr">
        <is>
          <t>VÄSTMANLANDS LÄN</t>
        </is>
      </c>
      <c r="G249" t="inlineStr">
        <is>
          <t>VÄSTERÅS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45761</v>
      </c>
      <c r="E250" s="1" t="n">
        <v>46232</v>
      </c>
      <c r="F250" t="inlineStr">
        <is>
          <t>VÄSTMANLANDS LÄN</t>
        </is>
      </c>
      <c r="G250" t="inlineStr">
        <is>
          <t>VÄSTERÅS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45083</v>
      </c>
      <c r="E251" s="1" t="n">
        <v>46232</v>
      </c>
      <c r="F251" t="inlineStr">
        <is>
          <t>VÄSTMANLANDS LÄN</t>
        </is>
      </c>
      <c r="G251" t="inlineStr">
        <is>
          <t>VÄSTERÅS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22370-2026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46154</v>
      </c>
      <c r="E252" s="1" t="n">
        <v>46232</v>
      </c>
      <c r="F252" t="inlineStr">
        <is>
          <t>VÄSTMANLANDS LÄN</t>
        </is>
      </c>
      <c r="G252" t="inlineStr">
        <is>
          <t>VÄSTERÅS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15273-2024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45400</v>
      </c>
      <c r="E253" s="1" t="n">
        <v>46232</v>
      </c>
      <c r="F253" t="inlineStr">
        <is>
          <t>VÄSTMANLANDS LÄN</t>
        </is>
      </c>
      <c r="G253" t="inlineStr">
        <is>
          <t>VÄSTERÅS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44606</v>
      </c>
      <c r="E254" s="1" t="n">
        <v>46232</v>
      </c>
      <c r="F254" t="inlineStr">
        <is>
          <t>VÄSTMANLANDS LÄN</t>
        </is>
      </c>
      <c r="G254" t="inlineStr">
        <is>
          <t>VÄSTERÅS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46232</v>
      </c>
      <c r="F255" t="inlineStr">
        <is>
          <t>VÄSTMANLANDS LÄN</t>
        </is>
      </c>
      <c r="G255" t="inlineStr">
        <is>
          <t>VÄSTERÅS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46154</v>
      </c>
      <c r="E256" s="1" t="n">
        <v>46232</v>
      </c>
      <c r="F256" t="inlineStr">
        <is>
          <t>VÄSTMANLANDS LÄN</t>
        </is>
      </c>
      <c r="G256" t="inlineStr">
        <is>
          <t>VÄSTERÅS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22294-2026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46154</v>
      </c>
      <c r="E257" s="1" t="n">
        <v>46232</v>
      </c>
      <c r="F257" t="inlineStr">
        <is>
          <t>VÄSTMANLANDS LÄN</t>
        </is>
      </c>
      <c r="G257" t="inlineStr">
        <is>
          <t>VÄSTERÅS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28341-2026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46196</v>
      </c>
      <c r="E258" s="1" t="n">
        <v>46232</v>
      </c>
      <c r="F258" t="inlineStr">
        <is>
          <t>VÄSTMANLANDS LÄN</t>
        </is>
      </c>
      <c r="G258" t="inlineStr">
        <is>
          <t>VÄSTERÅS</t>
        </is>
      </c>
      <c r="I258" t="n">
        <v>14.1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46232</v>
      </c>
      <c r="F259" t="inlineStr">
        <is>
          <t>VÄSTMANLANDS LÄN</t>
        </is>
      </c>
      <c r="G259" t="inlineStr">
        <is>
          <t>VÄSTERÅS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13388-2025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46232</v>
      </c>
      <c r="F260" t="inlineStr">
        <is>
          <t>VÄSTMANLANDS LÄN</t>
        </is>
      </c>
      <c r="G260" t="inlineStr">
        <is>
          <t>VÄSTERÅS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8800-2023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44978</v>
      </c>
      <c r="E261" s="1" t="n">
        <v>46232</v>
      </c>
      <c r="F261" t="inlineStr">
        <is>
          <t>VÄSTMANLANDS LÄN</t>
        </is>
      </c>
      <c r="G261" t="inlineStr">
        <is>
          <t>VÄSTERÅS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67352-2021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44523</v>
      </c>
      <c r="E262" s="1" t="n">
        <v>46232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Övriga Aktiebolag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35700-2024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45532</v>
      </c>
      <c r="E263" s="1" t="n">
        <v>46232</v>
      </c>
      <c r="F263" t="inlineStr">
        <is>
          <t>VÄSTMANLANDS LÄN</t>
        </is>
      </c>
      <c r="G263" t="inlineStr">
        <is>
          <t>VÄSTERÅS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45579</v>
      </c>
      <c r="E264" s="1" t="n">
        <v>46232</v>
      </c>
      <c r="F264" t="inlineStr">
        <is>
          <t>VÄSTMANLANDS LÄN</t>
        </is>
      </c>
      <c r="G264" t="inlineStr">
        <is>
          <t>VÄSTERÅS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52396-2022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44874</v>
      </c>
      <c r="E265" s="1" t="n">
        <v>46232</v>
      </c>
      <c r="F265" t="inlineStr">
        <is>
          <t>VÄSTMANLANDS LÄN</t>
        </is>
      </c>
      <c r="G265" t="inlineStr">
        <is>
          <t>VÄSTERÅS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44901</v>
      </c>
      <c r="E266" s="1" t="n">
        <v>46232</v>
      </c>
      <c r="F266" t="inlineStr">
        <is>
          <t>VÄSTMANLANDS LÄN</t>
        </is>
      </c>
      <c r="G266" t="inlineStr">
        <is>
          <t>VÄSTERÅS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50948-2023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46232</v>
      </c>
      <c r="F267" t="inlineStr">
        <is>
          <t>VÄSTMANLANDS LÄN</t>
        </is>
      </c>
      <c r="G267" t="inlineStr">
        <is>
          <t>VÄSTERÅS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45761</v>
      </c>
      <c r="E268" s="1" t="n">
        <v>46232</v>
      </c>
      <c r="F268" t="inlineStr">
        <is>
          <t>VÄSTMANLANDS LÄN</t>
        </is>
      </c>
      <c r="G268" t="inlineStr">
        <is>
          <t>VÄSTERÅS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46232</v>
      </c>
      <c r="F269" t="inlineStr">
        <is>
          <t>VÄSTMANLANDS LÄN</t>
        </is>
      </c>
      <c r="G269" t="inlineStr">
        <is>
          <t>VÄSTERÅS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18467-2023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45042</v>
      </c>
      <c r="E270" s="1" t="n">
        <v>46232</v>
      </c>
      <c r="F270" t="inlineStr">
        <is>
          <t>VÄSTMANLANDS LÄN</t>
        </is>
      </c>
      <c r="G270" t="inlineStr">
        <is>
          <t>VÄSTERÅS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24402-2024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45457</v>
      </c>
      <c r="E271" s="1" t="n">
        <v>46232</v>
      </c>
      <c r="F271" t="inlineStr">
        <is>
          <t>VÄSTMANLANDS LÄN</t>
        </is>
      </c>
      <c r="G271" t="inlineStr">
        <is>
          <t>VÄSTERÅS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23347-2026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46162</v>
      </c>
      <c r="E272" s="1" t="n">
        <v>46232</v>
      </c>
      <c r="F272" t="inlineStr">
        <is>
          <t>VÄSTMANLANDS LÄN</t>
        </is>
      </c>
      <c r="G272" t="inlineStr">
        <is>
          <t>VÄSTERÅS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45553</v>
      </c>
      <c r="E273" s="1" t="n">
        <v>46232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Kyrkan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46232</v>
      </c>
      <c r="F274" t="inlineStr">
        <is>
          <t>VÄSTMANLANDS LÄN</t>
        </is>
      </c>
      <c r="G274" t="inlineStr">
        <is>
          <t>VÄSTERÅS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67350-2021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44523</v>
      </c>
      <c r="E275" s="1" t="n">
        <v>46232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Övriga Aktiebolag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10496-2022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44623</v>
      </c>
      <c r="E276" s="1" t="n">
        <v>46232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45033</v>
      </c>
      <c r="E277" s="1" t="n">
        <v>46232</v>
      </c>
      <c r="F277" t="inlineStr">
        <is>
          <t>VÄSTMANLANDS LÄN</t>
        </is>
      </c>
      <c r="G277" t="inlineStr">
        <is>
          <t>VÄSTERÅS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73994-2021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44556</v>
      </c>
      <c r="E278" s="1" t="n">
        <v>46232</v>
      </c>
      <c r="F278" t="inlineStr">
        <is>
          <t>VÄSTMANLANDS LÄN</t>
        </is>
      </c>
      <c r="G278" t="inlineStr">
        <is>
          <t>VÄSTERÅS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46169</v>
      </c>
      <c r="E279" s="1" t="n">
        <v>46232</v>
      </c>
      <c r="F279" t="inlineStr">
        <is>
          <t>VÄSTMANLANDS LÄN</t>
        </is>
      </c>
      <c r="G279" t="inlineStr">
        <is>
          <t>VÄSTERÅS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61249-2021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44498</v>
      </c>
      <c r="E280" s="1" t="n">
        <v>46232</v>
      </c>
      <c r="F280" t="inlineStr">
        <is>
          <t>VÄSTMANLANDS LÄN</t>
        </is>
      </c>
      <c r="G280" t="inlineStr">
        <is>
          <t>VÄSTERÅS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46169</v>
      </c>
      <c r="E281" s="1" t="n">
        <v>46232</v>
      </c>
      <c r="F281" t="inlineStr">
        <is>
          <t>VÄSTMANLANDS LÄN</t>
        </is>
      </c>
      <c r="G281" t="inlineStr">
        <is>
          <t>VÄSTERÅS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50987-2024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45603</v>
      </c>
      <c r="E282" s="1" t="n">
        <v>46232</v>
      </c>
      <c r="F282" t="inlineStr">
        <is>
          <t>VÄSTMANLANDS LÄN</t>
        </is>
      </c>
      <c r="G282" t="inlineStr">
        <is>
          <t>VÄSTERÅS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24317-2026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46169</v>
      </c>
      <c r="E283" s="1" t="n">
        <v>46232</v>
      </c>
      <c r="F283" t="inlineStr">
        <is>
          <t>VÄSTMANLANDS LÄN</t>
        </is>
      </c>
      <c r="G283" t="inlineStr">
        <is>
          <t>VÄSTERÅS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63483-2023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45274</v>
      </c>
      <c r="E284" s="1" t="n">
        <v>46232</v>
      </c>
      <c r="F284" t="inlineStr">
        <is>
          <t>VÄSTMANLANDS LÄN</t>
        </is>
      </c>
      <c r="G284" t="inlineStr">
        <is>
          <t>VÄSTERÅS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46169</v>
      </c>
      <c r="E285" s="1" t="n">
        <v>46232</v>
      </c>
      <c r="F285" t="inlineStr">
        <is>
          <t>VÄSTMANLANDS LÄN</t>
        </is>
      </c>
      <c r="G285" t="inlineStr">
        <is>
          <t>VÄSTERÅS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34461-2022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44792</v>
      </c>
      <c r="E286" s="1" t="n">
        <v>46232</v>
      </c>
      <c r="F286" t="inlineStr">
        <is>
          <t>VÄSTMANLANDS LÄN</t>
        </is>
      </c>
      <c r="G286" t="inlineStr">
        <is>
          <t>VÄSTERÅS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51572-2023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45222</v>
      </c>
      <c r="E287" s="1" t="n">
        <v>46232</v>
      </c>
      <c r="F287" t="inlineStr">
        <is>
          <t>VÄSTMANLANDS LÄN</t>
        </is>
      </c>
      <c r="G287" t="inlineStr">
        <is>
          <t>VÄSTERÅS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52569-2022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44874</v>
      </c>
      <c r="E288" s="1" t="n">
        <v>46232</v>
      </c>
      <c r="F288" t="inlineStr">
        <is>
          <t>VÄSTMANLANDS LÄN</t>
        </is>
      </c>
      <c r="G288" t="inlineStr">
        <is>
          <t>VÄSTERÅS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21761-2022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44708</v>
      </c>
      <c r="E289" s="1" t="n">
        <v>46232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Sveaskog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24540-2026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46232</v>
      </c>
      <c r="F290" t="inlineStr">
        <is>
          <t>VÄSTMANLANDS LÄN</t>
        </is>
      </c>
      <c r="G290" t="inlineStr">
        <is>
          <t>VÄSTERÅS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29746-2022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44755</v>
      </c>
      <c r="E291" s="1" t="n">
        <v>46232</v>
      </c>
      <c r="F291" t="inlineStr">
        <is>
          <t>VÄSTMANLANDS LÄN</t>
        </is>
      </c>
      <c r="G291" t="inlineStr">
        <is>
          <t>VÄSTERÅS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30970-2026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46213</v>
      </c>
      <c r="E292" s="1" t="n">
        <v>46232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67353-2021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44523</v>
      </c>
      <c r="E293" s="1" t="n">
        <v>46232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Övriga Aktiebolag</t>
        </is>
      </c>
      <c r="I293" t="n">
        <v>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46232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31052-2026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46215</v>
      </c>
      <c r="E295" s="1" t="n">
        <v>46232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46215</v>
      </c>
      <c r="E296" s="1" t="n">
        <v>46232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31058-2026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46215</v>
      </c>
      <c r="E297" s="1" t="n">
        <v>46232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46217</v>
      </c>
      <c r="E298" s="1" t="n">
        <v>46232</v>
      </c>
      <c r="F298" t="inlineStr">
        <is>
          <t>VÄSTMANLANDS LÄN</t>
        </is>
      </c>
      <c r="G298" t="inlineStr">
        <is>
          <t>VÄSTERÅS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46215</v>
      </c>
      <c r="E299" s="1" t="n">
        <v>46232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31062-2026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46215</v>
      </c>
      <c r="E300" s="1" t="n">
        <v>46232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31055-2026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46215</v>
      </c>
      <c r="E301" s="1" t="n">
        <v>46232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56980-2021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44482</v>
      </c>
      <c r="E302" s="1" t="n">
        <v>46232</v>
      </c>
      <c r="F302" t="inlineStr">
        <is>
          <t>VÄSTMANLANDS LÄN</t>
        </is>
      </c>
      <c r="G302" t="inlineStr">
        <is>
          <t>VÄSTERÅS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45705</v>
      </c>
      <c r="E303" s="1" t="n">
        <v>46232</v>
      </c>
      <c r="F303" t="inlineStr">
        <is>
          <t>VÄSTMANLANDS LÄN</t>
        </is>
      </c>
      <c r="G303" t="inlineStr">
        <is>
          <t>VÄSTERÅS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45713</v>
      </c>
      <c r="E304" s="1" t="n">
        <v>46232</v>
      </c>
      <c r="F304" t="inlineStr">
        <is>
          <t>VÄSTMANLANDS LÄN</t>
        </is>
      </c>
      <c r="G304" t="inlineStr">
        <is>
          <t>VÄSTERÅS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15201-2022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44658</v>
      </c>
      <c r="E305" s="1" t="n">
        <v>46232</v>
      </c>
      <c r="F305" t="inlineStr">
        <is>
          <t>VÄSTMANLANDS LÄN</t>
        </is>
      </c>
      <c r="G305" t="inlineStr">
        <is>
          <t>VÄSTERÅS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58960-2022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44903</v>
      </c>
      <c r="E306" s="1" t="n">
        <v>46232</v>
      </c>
      <c r="F306" t="inlineStr">
        <is>
          <t>VÄSTMANLANDS LÄN</t>
        </is>
      </c>
      <c r="G306" t="inlineStr">
        <is>
          <t>VÄSTERÅS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64714-2023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45281</v>
      </c>
      <c r="E307" s="1" t="n">
        <v>46232</v>
      </c>
      <c r="F307" t="inlineStr">
        <is>
          <t>VÄSTMANLANDS LÄN</t>
        </is>
      </c>
      <c r="G307" t="inlineStr">
        <is>
          <t>VÄSTERÅS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8727-2023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44978</v>
      </c>
      <c r="E308" s="1" t="n">
        <v>46232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Kyrkan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16214-2023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45028</v>
      </c>
      <c r="E309" s="1" t="n">
        <v>46232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14851-2024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45398</v>
      </c>
      <c r="E310" s="1" t="n">
        <v>46232</v>
      </c>
      <c r="F310" t="inlineStr">
        <is>
          <t>VÄSTMANLANDS LÄN</t>
        </is>
      </c>
      <c r="G310" t="inlineStr">
        <is>
          <t>VÄSTERÅS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51004-2024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45603</v>
      </c>
      <c r="E311" s="1" t="n">
        <v>46232</v>
      </c>
      <c r="F311" t="inlineStr">
        <is>
          <t>VÄSTMANLANDS LÄN</t>
        </is>
      </c>
      <c r="G311" t="inlineStr">
        <is>
          <t>VÄSTERÅS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10546-2024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45366</v>
      </c>
      <c r="E312" s="1" t="n">
        <v>46232</v>
      </c>
      <c r="F312" t="inlineStr">
        <is>
          <t>VÄSTMANLANDS LÄN</t>
        </is>
      </c>
      <c r="G312" t="inlineStr">
        <is>
          <t>VÄSTERÅS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46232</v>
      </c>
      <c r="F313" t="inlineStr">
        <is>
          <t>VÄSTMANLANDS LÄN</t>
        </is>
      </c>
      <c r="G313" t="inlineStr">
        <is>
          <t>VÄSTERÅS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44994</v>
      </c>
      <c r="E314" s="1" t="n">
        <v>46232</v>
      </c>
      <c r="F314" t="inlineStr">
        <is>
          <t>VÄSTMANLANDS LÄN</t>
        </is>
      </c>
      <c r="G314" t="inlineStr">
        <is>
          <t>VÄSTERÅS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70642-2021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44537</v>
      </c>
      <c r="E315" s="1" t="n">
        <v>46232</v>
      </c>
      <c r="F315" t="inlineStr">
        <is>
          <t>VÄSTMANLANDS LÄN</t>
        </is>
      </c>
      <c r="G315" t="inlineStr">
        <is>
          <t>VÄSTERÅS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26584-2026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46183</v>
      </c>
      <c r="E316" s="1" t="n">
        <v>46232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Allmännings- och besparingsskogar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23765-2022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44722</v>
      </c>
      <c r="E317" s="1" t="n">
        <v>46232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46232</v>
      </c>
      <c r="F318" t="inlineStr">
        <is>
          <t>VÄSTMANLANDS LÄN</t>
        </is>
      </c>
      <c r="G318" t="inlineStr">
        <is>
          <t>VÄSTERÅS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46184</v>
      </c>
      <c r="E319" s="1" t="n">
        <v>46232</v>
      </c>
      <c r="F319" t="inlineStr">
        <is>
          <t>VÄSTMANLANDS LÄN</t>
        </is>
      </c>
      <c r="G319" t="inlineStr">
        <is>
          <t>VÄSTERÅS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64793-2023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46232</v>
      </c>
      <c r="F320" t="inlineStr">
        <is>
          <t>VÄSTMANLANDS LÄN</t>
        </is>
      </c>
      <c r="G320" t="inlineStr">
        <is>
          <t>VÄSTERÅS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45296</v>
      </c>
      <c r="E321" s="1" t="n">
        <v>46232</v>
      </c>
      <c r="F321" t="inlineStr">
        <is>
          <t>VÄSTMANLANDS LÄN</t>
        </is>
      </c>
      <c r="G321" t="inlineStr">
        <is>
          <t>VÄSTERÅS</t>
        </is>
      </c>
      <c r="I321" t="n">
        <v>6.1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17808-2023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45037</v>
      </c>
      <c r="E322" s="1" t="n">
        <v>46232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27271-2026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46232</v>
      </c>
      <c r="F323" t="inlineStr">
        <is>
          <t>VÄSTMANLANDS LÄN</t>
        </is>
      </c>
      <c r="G323" t="inlineStr">
        <is>
          <t>VÄSTERÅS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51933-2023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45223</v>
      </c>
      <c r="E324" s="1" t="n">
        <v>46232</v>
      </c>
      <c r="F324" t="inlineStr">
        <is>
          <t>VÄSTMANLANDS LÄN</t>
        </is>
      </c>
      <c r="G324" t="inlineStr">
        <is>
          <t>VÄSTERÅS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73597-2021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44552</v>
      </c>
      <c r="E325" s="1" t="n">
        <v>46232</v>
      </c>
      <c r="F325" t="inlineStr">
        <is>
          <t>VÄSTMANLANDS LÄN</t>
        </is>
      </c>
      <c r="G325" t="inlineStr">
        <is>
          <t>VÄSTERÅS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27301-2026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46188</v>
      </c>
      <c r="E326" s="1" t="n">
        <v>46232</v>
      </c>
      <c r="F326" t="inlineStr">
        <is>
          <t>VÄSTMANLANDS LÄN</t>
        </is>
      </c>
      <c r="G326" t="inlineStr">
        <is>
          <t>VÄSTERÅS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36641-2023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45153</v>
      </c>
      <c r="E327" s="1" t="n">
        <v>46232</v>
      </c>
      <c r="F327" t="inlineStr">
        <is>
          <t>VÄSTMANLANDS LÄN</t>
        </is>
      </c>
      <c r="G327" t="inlineStr">
        <is>
          <t>VÄSTERÅS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22700-2024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45448</v>
      </c>
      <c r="E328" s="1" t="n">
        <v>46232</v>
      </c>
      <c r="F328" t="inlineStr">
        <is>
          <t>VÄSTMANLANDS LÄN</t>
        </is>
      </c>
      <c r="G328" t="inlineStr">
        <is>
          <t>VÄSTERÅS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14926-2022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44657</v>
      </c>
      <c r="E329" s="1" t="n">
        <v>46232</v>
      </c>
      <c r="F329" t="inlineStr">
        <is>
          <t>VÄSTMANLANDS LÄN</t>
        </is>
      </c>
      <c r="G329" t="inlineStr">
        <is>
          <t>VÄSTERÅS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45378</v>
      </c>
      <c r="E330" s="1" t="n">
        <v>46232</v>
      </c>
      <c r="F330" t="inlineStr">
        <is>
          <t>VÄSTMANLANDS LÄN</t>
        </is>
      </c>
      <c r="G330" t="inlineStr">
        <is>
          <t>VÄSTERÅS</t>
        </is>
      </c>
      <c r="I330" t="n">
        <v>15.4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31623-2024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45506</v>
      </c>
      <c r="E331" s="1" t="n">
        <v>46232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Kommuner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38345-2024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45545</v>
      </c>
      <c r="E332" s="1" t="n">
        <v>46232</v>
      </c>
      <c r="F332" t="inlineStr">
        <is>
          <t>VÄSTMANLANDS LÄN</t>
        </is>
      </c>
      <c r="G332" t="inlineStr">
        <is>
          <t>VÄSTERÅS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951-2020</t>
        </is>
      </c>
      <c r="B333" t="inlineStr">
        <is>
          <t>samrådsanmälan</t>
        </is>
      </c>
      <c r="C333" t="inlineStr">
        <is>
          <t>Åtgärd i nyckelbiotop</t>
        </is>
      </c>
      <c r="D333" s="1" t="n">
        <v>43948</v>
      </c>
      <c r="E333" s="1" t="n">
        <v>46232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Kommuner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3639-2022</t>
        </is>
      </c>
      <c r="B334" t="inlineStr">
        <is>
          <t>samrådsanmälan</t>
        </is>
      </c>
      <c r="C334" t="inlineStr">
        <is>
          <t>Skogsbilväg</t>
        </is>
      </c>
      <c r="D334" s="1" t="n">
        <v>44740</v>
      </c>
      <c r="E334" s="1" t="n">
        <v>46232</v>
      </c>
      <c r="F334" t="inlineStr">
        <is>
          <t>VÄSTMANLANDS LÄN</t>
        </is>
      </c>
      <c r="G334" t="inlineStr">
        <is>
          <t>VÄSTERÅS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953-2023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45005</v>
      </c>
      <c r="E335" s="1" t="n">
        <v>46232</v>
      </c>
      <c r="F335" t="inlineStr">
        <is>
          <t>VÄSTMANLANDS LÄN</t>
        </is>
      </c>
      <c r="G335" t="inlineStr">
        <is>
          <t>VÄSTERÅS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1415-2022</t>
        </is>
      </c>
      <c r="B336" t="inlineStr">
        <is>
          <t>samrådsanmälan</t>
        </is>
      </c>
      <c r="C336" t="inlineStr">
        <is>
          <t>Skogsbilväg</t>
        </is>
      </c>
      <c r="D336" s="1" t="n">
        <v>44634</v>
      </c>
      <c r="E336" s="1" t="n">
        <v>46232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Kyrkan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696-2026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46091</v>
      </c>
      <c r="E337" s="1" t="n">
        <v>46232</v>
      </c>
      <c r="F337" t="inlineStr">
        <is>
          <t>VÄSTMANLANDS LÄN</t>
        </is>
      </c>
      <c r="G337" t="inlineStr">
        <is>
          <t>VÄSTERÅS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949-2026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46113</v>
      </c>
      <c r="E338" s="1" t="n">
        <v>46232</v>
      </c>
      <c r="F338" t="inlineStr">
        <is>
          <t>VÄSTMANLANDS LÄN</t>
        </is>
      </c>
      <c r="G338" t="inlineStr">
        <is>
          <t>VÄSTERÅS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1468-2026</t>
        </is>
      </c>
      <c r="B339" t="inlineStr">
        <is>
          <t>samrådsanmälan</t>
        </is>
      </c>
      <c r="C339" t="inlineStr">
        <is>
          <t>Dikesrensning</t>
        </is>
      </c>
      <c r="D339" s="1" t="n">
        <v>46134</v>
      </c>
      <c r="E339" s="1" t="n">
        <v>46232</v>
      </c>
      <c r="F339" t="inlineStr">
        <is>
          <t>VÄSTMANLANDS LÄN</t>
        </is>
      </c>
      <c r="G339" t="inlineStr">
        <is>
          <t>VÄSTERÅS</t>
        </is>
      </c>
      <c r="H339" t="inlineStr">
        <is>
          <t>Sveaskog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2026-07-29T01:50:17Z</dcterms:created>
  <dcterms:modified xmlns:dcterms="http://purl.org/dc/terms/" xmlns:xsi="http://www.w3.org/2001/XMLSchema-instance" xsi:type="dcterms:W3CDTF">2026-07-29T01:50:17Z</dcterms:modified>
</cp:coreProperties>
</file>