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46198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12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22</v>
      </c>
      <c r="R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17195-2026</t>
        </is>
      </c>
      <c r="B3" s="1" t="n">
        <v>46118</v>
      </c>
      <c r="C3" s="1" t="n">
        <v>46198</v>
      </c>
      <c r="D3" t="inlineStr">
        <is>
          <t>VÄSTMANLANDS LÄN</t>
        </is>
      </c>
      <c r="E3" t="inlineStr">
        <is>
          <t>VÄSTERÅS</t>
        </is>
      </c>
      <c r="G3" t="n">
        <v>42.8</v>
      </c>
      <c r="H3" t="n">
        <v>6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18</v>
      </c>
      <c r="R3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S3">
        <f>HYPERLINK("https://klasma.github.io/Logging_1980/artfynd/A 17195-2026 artfynd.xlsx", "A 17195-2026")</f>
        <v/>
      </c>
      <c r="T3">
        <f>HYPERLINK("https://klasma.github.io/Logging_1980/kartor/A 17195-2026 karta.png", "A 17195-2026")</f>
        <v/>
      </c>
      <c r="V3">
        <f>HYPERLINK("https://klasma.github.io/Logging_1980/klagomål/A 17195-2026 FSC-klagomål.docx", "A 17195-2026")</f>
        <v/>
      </c>
      <c r="W3">
        <f>HYPERLINK("https://klasma.github.io/Logging_1980/klagomålsmail/A 17195-2026 FSC-klagomål mail.docx", "A 17195-2026")</f>
        <v/>
      </c>
      <c r="X3">
        <f>HYPERLINK("https://klasma.github.io/Logging_1980/tillsyn/A 17195-2026 tillsynsbegäran.docx", "A 17195-2026")</f>
        <v/>
      </c>
      <c r="Y3">
        <f>HYPERLINK("https://klasma.github.io/Logging_1980/tillsynsmail/A 17195-2026 tillsynsbegäran mail.docx", "A 17195-2026")</f>
        <v/>
      </c>
      <c r="Z3">
        <f>HYPERLINK("https://klasma.github.io/Logging_1980/fåglar/A 17195-2026 prioriterade fågelarter.docx", "A 17195-2026")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46198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6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46198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8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Dropptaggsvamp
Orange taggsvamp
Tallticka
Ullticka
Blodticka
Blåmossa
Bronshjon
Grovticka
Grönpyrola
Smal svampklubba
Trådticka
Vedticka
Spillkråka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s="1" t="n">
        <v>44523</v>
      </c>
      <c r="C6" s="1" t="n">
        <v>46198</v>
      </c>
      <c r="D6" t="inlineStr">
        <is>
          <t>VÄSTMANLANDS LÄN</t>
        </is>
      </c>
      <c r="E6" t="inlineStr">
        <is>
          <t>VÄSTERÅS</t>
        </is>
      </c>
      <c r="G6" t="n">
        <v>4.6</v>
      </c>
      <c r="H6" t="n">
        <v>6</v>
      </c>
      <c r="I6" t="n">
        <v>6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15</v>
      </c>
      <c r="R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S6">
        <f>HYPERLINK("https://klasma.github.io/Logging_1980/artfynd/A 67268-2021 artfynd.xlsx", "A 67268-2021")</f>
        <v/>
      </c>
      <c r="T6">
        <f>HYPERLINK("https://klasma.github.io/Logging_1980/kartor/A 67268-2021 karta.png", "A 67268-2021")</f>
        <v/>
      </c>
      <c r="U6">
        <f>HYPERLINK("https://klasma.github.io/Logging_1980/knärot/A 67268-2021 karta knärot.png", "A 67268-2021")</f>
        <v/>
      </c>
      <c r="V6">
        <f>HYPERLINK("https://klasma.github.io/Logging_1980/klagomål/A 67268-2021 FSC-klagomål.docx", "A 67268-2021")</f>
        <v/>
      </c>
      <c r="W6">
        <f>HYPERLINK("https://klasma.github.io/Logging_1980/klagomålsmail/A 67268-2021 FSC-klagomål mail.docx", "A 67268-2021")</f>
        <v/>
      </c>
      <c r="X6">
        <f>HYPERLINK("https://klasma.github.io/Logging_1980/tillsyn/A 67268-2021 tillsynsbegäran.docx", "A 67268-2021")</f>
        <v/>
      </c>
      <c r="Y6">
        <f>HYPERLINK("https://klasma.github.io/Logging_1980/tillsynsmail/A 67268-2021 tillsynsbegäran mail.docx", "A 67268-2021")</f>
        <v/>
      </c>
      <c r="Z6">
        <f>HYPERLINK("https://klasma.github.io/Logging_1980/fåglar/A 67268-2021 prioriterade fågelarter.docx", "A 67268-2021")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46198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10</v>
      </c>
      <c r="I7" t="n">
        <v>1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12</v>
      </c>
      <c r="R7" s="2" t="inlineStr">
        <is>
          <t>Stare
Ädellav
Duvhök
Entita
Gulsparv
Kungsörn
Scharlakansskål
Fjällvråk
Gröngöling
Havsörn
Skogsduva
Trädlärka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25683-2023</t>
        </is>
      </c>
      <c r="B8" s="1" t="n">
        <v>45089</v>
      </c>
      <c r="C8" s="1" t="n">
        <v>46198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14</v>
      </c>
      <c r="H8" t="n">
        <v>7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Fransfladdermus
Nordfladdermus
Talltita
Ullticka
Brandticka
Bronshjon
Thomsons trägnagare
Spillkråka
Större brunfladdermus
Sävsparv
Vattenfladdermus</t>
        </is>
      </c>
      <c r="S8">
        <f>HYPERLINK("https://klasma.github.io/Logging_1980/artfynd/A 25683-2023 artfynd.xlsx", "A 25683-2023")</f>
        <v/>
      </c>
      <c r="T8">
        <f>HYPERLINK("https://klasma.github.io/Logging_1980/kartor/A 25683-2023 karta.png", "A 25683-2023")</f>
        <v/>
      </c>
      <c r="V8">
        <f>HYPERLINK("https://klasma.github.io/Logging_1980/klagomål/A 25683-2023 FSC-klagomål.docx", "A 25683-2023")</f>
        <v/>
      </c>
      <c r="W8">
        <f>HYPERLINK("https://klasma.github.io/Logging_1980/klagomålsmail/A 25683-2023 FSC-klagomål mail.docx", "A 25683-2023")</f>
        <v/>
      </c>
      <c r="X8">
        <f>HYPERLINK("https://klasma.github.io/Logging_1980/tillsyn/A 25683-2023 tillsynsbegäran.docx", "A 25683-2023")</f>
        <v/>
      </c>
      <c r="Y8">
        <f>HYPERLINK("https://klasma.github.io/Logging_1980/tillsynsmail/A 25683-2023 tillsynsbegäran mail.docx", "A 25683-2023")</f>
        <v/>
      </c>
      <c r="Z8">
        <f>HYPERLINK("https://klasma.github.io/Logging_1980/fåglar/A 25683-2023 prioriterade fågelarter.docx", "A 25683-2023")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46198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Gulsparv
Ullticka
Myskbock
Thomsons trägnagare
Blåsippa
Spillkråka
Gröngöling
Kungsfågel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  <c r="Z9">
        <f>HYPERLINK("https://klasma.github.io/Logging_1980/fåglar/A 51868-2023 prioriterade fågelarter.docx", "A 51868-2023")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46198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5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Grönpyrola
Mattlummer
Tjäder
Vanlig padda
Fläcknycklar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7536-2022</t>
        </is>
      </c>
      <c r="B11" s="1" t="n">
        <v>44607</v>
      </c>
      <c r="C11" s="1" t="n">
        <v>46198</v>
      </c>
      <c r="D11" t="inlineStr">
        <is>
          <t>VÄSTMANLANDS LÄN</t>
        </is>
      </c>
      <c r="E11" t="inlineStr">
        <is>
          <t>VÄSTERÅS</t>
        </is>
      </c>
      <c r="G11" t="n">
        <v>2.3</v>
      </c>
      <c r="H11" t="n">
        <v>5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Grönfink
Stare
Gulsparv
Buskskvätta
Havsörn</t>
        </is>
      </c>
      <c r="S11">
        <f>HYPERLINK("https://klasma.github.io/Logging_1980/artfynd/A 7536-2022 artfynd.xlsx", "A 7536-2022")</f>
        <v/>
      </c>
      <c r="T11">
        <f>HYPERLINK("https://klasma.github.io/Logging_1980/kartor/A 7536-2022 karta.png", "A 7536-2022")</f>
        <v/>
      </c>
      <c r="V11">
        <f>HYPERLINK("https://klasma.github.io/Logging_1980/klagomål/A 7536-2022 FSC-klagomål.docx", "A 7536-2022")</f>
        <v/>
      </c>
      <c r="W11">
        <f>HYPERLINK("https://klasma.github.io/Logging_1980/klagomålsmail/A 7536-2022 FSC-klagomål mail.docx", "A 7536-2022")</f>
        <v/>
      </c>
      <c r="X11">
        <f>HYPERLINK("https://klasma.github.io/Logging_1980/tillsyn/A 7536-2022 tillsynsbegäran.docx", "A 7536-2022")</f>
        <v/>
      </c>
      <c r="Y11">
        <f>HYPERLINK("https://klasma.github.io/Logging_1980/tillsynsmail/A 7536-2022 tillsynsbegäran mail.docx", "A 7536-2022")</f>
        <v/>
      </c>
      <c r="Z11">
        <f>HYPERLINK("https://klasma.github.io/Logging_1980/fåglar/A 7536-2022 prioriterade fågelarter.docx", "A 7536-2022")</f>
        <v/>
      </c>
    </row>
    <row r="12" ht="15" customHeight="1">
      <c r="A12" t="inlineStr">
        <is>
          <t>A 26563-2026</t>
        </is>
      </c>
      <c r="B12" s="1" t="n">
        <v>46183</v>
      </c>
      <c r="C12" s="1" t="n">
        <v>46198</v>
      </c>
      <c r="D12" t="inlineStr">
        <is>
          <t>VÄSTMANLANDS LÄN</t>
        </is>
      </c>
      <c r="E12" t="inlineStr">
        <is>
          <t>VÄSTERÅS</t>
        </is>
      </c>
      <c r="F12" t="inlineStr">
        <is>
          <t>Allmännings- och besparingsskogar</t>
        </is>
      </c>
      <c r="G12" t="n">
        <v>3.1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Blåmossa
Vedticka
Mattlummer
Revlummer</t>
        </is>
      </c>
      <c r="S12">
        <f>HYPERLINK("https://klasma.github.io/Logging_1980/artfynd/A 26563-2026 artfynd.xlsx", "A 26563-2026")</f>
        <v/>
      </c>
      <c r="T12">
        <f>HYPERLINK("https://klasma.github.io/Logging_1980/kartor/A 26563-2026 karta.png", "A 26563-2026")</f>
        <v/>
      </c>
      <c r="U12">
        <f>HYPERLINK("https://klasma.github.io/Logging_1980/knärot/A 26563-2026 karta knärot.png", "A 26563-2026")</f>
        <v/>
      </c>
      <c r="V12">
        <f>HYPERLINK("https://klasma.github.io/Logging_1980/klagomål/A 26563-2026 FSC-klagomål.docx", "A 26563-2026")</f>
        <v/>
      </c>
      <c r="W12">
        <f>HYPERLINK("https://klasma.github.io/Logging_1980/klagomålsmail/A 26563-2026 FSC-klagomål mail.docx", "A 26563-2026")</f>
        <v/>
      </c>
      <c r="X12">
        <f>HYPERLINK("https://klasma.github.io/Logging_1980/tillsyn/A 26563-2026 tillsynsbegäran.docx", "A 26563-2026")</f>
        <v/>
      </c>
      <c r="Y12">
        <f>HYPERLINK("https://klasma.github.io/Logging_1980/tillsynsmail/A 26563-2026 tillsynsbegäran mail.docx", "A 26563-2026")</f>
        <v/>
      </c>
    </row>
    <row r="13" ht="15" customHeight="1">
      <c r="A13" t="inlineStr">
        <is>
          <t>A 22453-2026</t>
        </is>
      </c>
      <c r="B13" s="1" t="n">
        <v>46155</v>
      </c>
      <c r="C13" s="1" t="n">
        <v>46198</v>
      </c>
      <c r="D13" t="inlineStr">
        <is>
          <t>VÄSTMANLANDS LÄN</t>
        </is>
      </c>
      <c r="E13" t="inlineStr">
        <is>
          <t>VÄSTERÅS</t>
        </is>
      </c>
      <c r="G13" t="n">
        <v>3.9</v>
      </c>
      <c r="H13" t="n">
        <v>5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Nordfladdermus
Blåsippa
Dvärgpipistrell
Större brunfladdermus
Vattenfladdermus</t>
        </is>
      </c>
      <c r="S13">
        <f>HYPERLINK("https://klasma.github.io/Logging_1980/artfynd/A 22453-2026 artfynd.xlsx", "A 22453-2026")</f>
        <v/>
      </c>
      <c r="T13">
        <f>HYPERLINK("https://klasma.github.io/Logging_1980/kartor/A 22453-2026 karta.png", "A 22453-2026")</f>
        <v/>
      </c>
      <c r="V13">
        <f>HYPERLINK("https://klasma.github.io/Logging_1980/klagomål/A 22453-2026 FSC-klagomål.docx", "A 22453-2026")</f>
        <v/>
      </c>
      <c r="W13">
        <f>HYPERLINK("https://klasma.github.io/Logging_1980/klagomålsmail/A 22453-2026 FSC-klagomål mail.docx", "A 22453-2026")</f>
        <v/>
      </c>
      <c r="X13">
        <f>HYPERLINK("https://klasma.github.io/Logging_1980/tillsyn/A 22453-2026 tillsynsbegäran.docx", "A 22453-2026")</f>
        <v/>
      </c>
      <c r="Y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s="1" t="n">
        <v>44601</v>
      </c>
      <c r="C14" s="1" t="n">
        <v>46198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Sexfläckig bastardsvärmare
Jungfrulin
Ängsskära
Blåsippa
Gullviva</t>
        </is>
      </c>
      <c r="S14">
        <f>HYPERLINK("https://klasma.github.io/Logging_1980/artfynd/A 6603-2022 artfynd.xlsx", "A 6603-2022")</f>
        <v/>
      </c>
      <c r="T14">
        <f>HYPERLINK("https://klasma.github.io/Logging_1980/kartor/A 6603-2022 karta.png", "A 6603-2022")</f>
        <v/>
      </c>
      <c r="V14">
        <f>HYPERLINK("https://klasma.github.io/Logging_1980/klagomål/A 6603-2022 FSC-klagomål.docx", "A 6603-2022")</f>
        <v/>
      </c>
      <c r="W14">
        <f>HYPERLINK("https://klasma.github.io/Logging_1980/klagomålsmail/A 6603-2022 FSC-klagomål mail.docx", "A 6603-2022")</f>
        <v/>
      </c>
      <c r="X14">
        <f>HYPERLINK("https://klasma.github.io/Logging_1980/tillsyn/A 6603-2022 tillsynsbegäran.docx", "A 6603-2022")</f>
        <v/>
      </c>
      <c r="Y14">
        <f>HYPERLINK("https://klasma.github.io/Logging_1980/tillsynsmail/A 6603-2022 tillsynsbegäran mail.docx", "A 6603-2022")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46198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Grönsångare
Gulsparv
Kungsfågel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40782-2022</t>
        </is>
      </c>
      <c r="B16" s="1" t="n">
        <v>44824</v>
      </c>
      <c r="C16" s="1" t="n">
        <v>46198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Scharlakansvårskål agg.
Blåsippa</t>
        </is>
      </c>
      <c r="S16">
        <f>HYPERLINK("https://klasma.github.io/Logging_1980/artfynd/A 40782-2022 artfynd.xlsx", "A 40782-2022")</f>
        <v/>
      </c>
      <c r="T16">
        <f>HYPERLINK("https://klasma.github.io/Logging_1980/kartor/A 40782-2022 karta.png", "A 40782-2022")</f>
        <v/>
      </c>
      <c r="V16">
        <f>HYPERLINK("https://klasma.github.io/Logging_1980/klagomål/A 40782-2022 FSC-klagomål.docx", "A 40782-2022")</f>
        <v/>
      </c>
      <c r="W16">
        <f>HYPERLINK("https://klasma.github.io/Logging_1980/klagomålsmail/A 40782-2022 FSC-klagomål mail.docx", "A 40782-2022")</f>
        <v/>
      </c>
      <c r="X16">
        <f>HYPERLINK("https://klasma.github.io/Logging_1980/tillsyn/A 40782-2022 tillsynsbegäran.docx", "A 40782-2022")</f>
        <v/>
      </c>
      <c r="Y16">
        <f>HYPERLINK("https://klasma.github.io/Logging_1980/tillsynsmail/A 40782-2022 tillsynsbegäran mail.docx", "A 40782-2022")</f>
        <v/>
      </c>
    </row>
    <row r="17" ht="15" customHeight="1">
      <c r="A17" t="inlineStr">
        <is>
          <t>A 47695-2023</t>
        </is>
      </c>
      <c r="B17" s="1" t="n">
        <v>45203</v>
      </c>
      <c r="C17" s="1" t="n">
        <v>46198</v>
      </c>
      <c r="D17" t="inlineStr">
        <is>
          <t>VÄSTMANLANDS LÄN</t>
        </is>
      </c>
      <c r="E17" t="inlineStr">
        <is>
          <t>VÄSTERÅS</t>
        </is>
      </c>
      <c r="G17" t="n">
        <v>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Gullklöver
Svinrot
Hasselticka
Kopparödla</t>
        </is>
      </c>
      <c r="S17">
        <f>HYPERLINK("https://klasma.github.io/Logging_1980/artfynd/A 47695-2023 artfynd.xlsx", "A 47695-2023")</f>
        <v/>
      </c>
      <c r="T17">
        <f>HYPERLINK("https://klasma.github.io/Logging_1980/kartor/A 47695-2023 karta.png", "A 47695-2023")</f>
        <v/>
      </c>
      <c r="V17">
        <f>HYPERLINK("https://klasma.github.io/Logging_1980/klagomål/A 47695-2023 FSC-klagomål.docx", "A 47695-2023")</f>
        <v/>
      </c>
      <c r="W17">
        <f>HYPERLINK("https://klasma.github.io/Logging_1980/klagomålsmail/A 47695-2023 FSC-klagomål mail.docx", "A 47695-2023")</f>
        <v/>
      </c>
      <c r="X17">
        <f>HYPERLINK("https://klasma.github.io/Logging_1980/tillsyn/A 47695-2023 tillsynsbegäran.docx", "A 47695-2023")</f>
        <v/>
      </c>
      <c r="Y17">
        <f>HYPERLINK("https://klasma.github.io/Logging_1980/tillsynsmail/A 47695-2023 tillsynsbegäran mail.docx", "A 47695-2023")</f>
        <v/>
      </c>
    </row>
    <row r="18" ht="15" customHeight="1">
      <c r="A18" t="inlineStr">
        <is>
          <t>A 22449-2026</t>
        </is>
      </c>
      <c r="B18" s="1" t="n">
        <v>46155</v>
      </c>
      <c r="C18" s="1" t="n">
        <v>46198</v>
      </c>
      <c r="D18" t="inlineStr">
        <is>
          <t>VÄSTMANLANDS LÄN</t>
        </is>
      </c>
      <c r="E18" t="inlineStr">
        <is>
          <t>VÄSTERÅS</t>
        </is>
      </c>
      <c r="G18" t="n">
        <v>1.5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Gråskimlig fladdermus
Större brunfladdermus
Vattenfladdermus</t>
        </is>
      </c>
      <c r="S18">
        <f>HYPERLINK("https://klasma.github.io/Logging_1980/artfynd/A 22449-2026 artfynd.xlsx", "A 22449-2026")</f>
        <v/>
      </c>
      <c r="T18">
        <f>HYPERLINK("https://klasma.github.io/Logging_1980/kartor/A 22449-2026 karta.png", "A 22449-2026")</f>
        <v/>
      </c>
      <c r="V18">
        <f>HYPERLINK("https://klasma.github.io/Logging_1980/klagomål/A 22449-2026 FSC-klagomål.docx", "A 22449-2026")</f>
        <v/>
      </c>
      <c r="W18">
        <f>HYPERLINK("https://klasma.github.io/Logging_1980/klagomålsmail/A 22449-2026 FSC-klagomål mail.docx", "A 22449-2026")</f>
        <v/>
      </c>
      <c r="X18">
        <f>HYPERLINK("https://klasma.github.io/Logging_1980/tillsyn/A 22449-2026 tillsynsbegäran.docx", "A 22449-2026")</f>
        <v/>
      </c>
      <c r="Y18">
        <f>HYPERLINK("https://klasma.github.io/Logging_1980/tillsynsmail/A 22449-2026 tillsynsbegäran mail.docx", "A 22449-2026")</f>
        <v/>
      </c>
    </row>
    <row r="19" ht="15" customHeight="1">
      <c r="A19" t="inlineStr">
        <is>
          <t>A 16686-2026</t>
        </is>
      </c>
      <c r="B19" s="1" t="n">
        <v>46112</v>
      </c>
      <c r="C19" s="1" t="n">
        <v>46198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Motaggsvamp
Blomkålssvamp
Grönpyrola</t>
        </is>
      </c>
      <c r="S19">
        <f>HYPERLINK("https://klasma.github.io/Logging_1980/artfynd/A 16686-2026 artfynd.xlsx", "A 16686-2026")</f>
        <v/>
      </c>
      <c r="T19">
        <f>HYPERLINK("https://klasma.github.io/Logging_1980/kartor/A 16686-2026 karta.png", "A 16686-2026")</f>
        <v/>
      </c>
      <c r="U19">
        <f>HYPERLINK("https://klasma.github.io/Logging_1980/knärot/A 16686-2026 karta knärot.png", "A 16686-2026")</f>
        <v/>
      </c>
      <c r="V19">
        <f>HYPERLINK("https://klasma.github.io/Logging_1980/klagomål/A 16686-2026 FSC-klagomål.docx", "A 16686-2026")</f>
        <v/>
      </c>
      <c r="W19">
        <f>HYPERLINK("https://klasma.github.io/Logging_1980/klagomålsmail/A 16686-2026 FSC-klagomål mail.docx", "A 16686-2026")</f>
        <v/>
      </c>
      <c r="X19">
        <f>HYPERLINK("https://klasma.github.io/Logging_1980/tillsyn/A 16686-2026 tillsynsbegäran.docx", "A 16686-2026")</f>
        <v/>
      </c>
      <c r="Y19">
        <f>HYPERLINK("https://klasma.github.io/Logging_1980/tillsynsmail/A 16686-2026 tillsynsbegäran mail.docx", "A 16686-2026")</f>
        <v/>
      </c>
    </row>
    <row r="20" ht="15" customHeight="1">
      <c r="A20" t="inlineStr">
        <is>
          <t>A 16581-2026</t>
        </is>
      </c>
      <c r="B20" s="1" t="n">
        <v>46112</v>
      </c>
      <c r="C20" s="1" t="n">
        <v>46198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17.5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Grönpyrola
Spillkråka
Tjäder
Revlummer</t>
        </is>
      </c>
      <c r="S20">
        <f>HYPERLINK("https://klasma.github.io/Logging_1980/artfynd/A 16581-2026 artfynd.xlsx", "A 16581-2026")</f>
        <v/>
      </c>
      <c r="T20">
        <f>HYPERLINK("https://klasma.github.io/Logging_1980/kartor/A 16581-2026 karta.png", "A 16581-2026")</f>
        <v/>
      </c>
      <c r="V20">
        <f>HYPERLINK("https://klasma.github.io/Logging_1980/klagomål/A 16581-2026 FSC-klagomål.docx", "A 16581-2026")</f>
        <v/>
      </c>
      <c r="W20">
        <f>HYPERLINK("https://klasma.github.io/Logging_1980/klagomålsmail/A 16581-2026 FSC-klagomål mail.docx", "A 16581-2026")</f>
        <v/>
      </c>
      <c r="X20">
        <f>HYPERLINK("https://klasma.github.io/Logging_1980/tillsyn/A 16581-2026 tillsynsbegäran.docx", "A 16581-2026")</f>
        <v/>
      </c>
      <c r="Y20">
        <f>HYPERLINK("https://klasma.github.io/Logging_1980/tillsynsmail/A 16581-2026 tillsynsbegäran mail.docx", "A 16581-2026")</f>
        <v/>
      </c>
      <c r="Z20">
        <f>HYPERLINK("https://klasma.github.io/Logging_1980/fåglar/A 16581-2026 prioriterade fågelarter.docx", "A 16581-2026")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46198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Vithornad barkskinnbagge
Xyletinus ater
Mindre märgborre
Fiskgjuse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  <c r="Z21">
        <f>HYPERLINK("https://klasma.github.io/Logging_1980/fåglar/A 47228-2022 prioriterade fågelarter.docx", "A 47228-2022")</f>
        <v/>
      </c>
    </row>
    <row r="22" ht="15" customHeight="1">
      <c r="A22" t="inlineStr">
        <is>
          <t>A 25672-2024</t>
        </is>
      </c>
      <c r="B22" s="1" t="n">
        <v>45463</v>
      </c>
      <c r="C22" s="1" t="n">
        <v>46198</v>
      </c>
      <c r="D22" t="inlineStr">
        <is>
          <t>VÄSTMANLANDS LÄN</t>
        </is>
      </c>
      <c r="E22" t="inlineStr">
        <is>
          <t>VÄSTERÅS</t>
        </is>
      </c>
      <c r="G22" t="n">
        <v>11.3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Backsippa
Flentimotej
Jungfrulin
Solvända</t>
        </is>
      </c>
      <c r="S22">
        <f>HYPERLINK("https://klasma.github.io/Logging_1980/artfynd/A 25672-2024 artfynd.xlsx", "A 25672-2024")</f>
        <v/>
      </c>
      <c r="T22">
        <f>HYPERLINK("https://klasma.github.io/Logging_1980/kartor/A 25672-2024 karta.png", "A 25672-2024")</f>
        <v/>
      </c>
      <c r="V22">
        <f>HYPERLINK("https://klasma.github.io/Logging_1980/klagomål/A 25672-2024 FSC-klagomål.docx", "A 25672-2024")</f>
        <v/>
      </c>
      <c r="W22">
        <f>HYPERLINK("https://klasma.github.io/Logging_1980/klagomålsmail/A 25672-2024 FSC-klagomål mail.docx", "A 25672-2024")</f>
        <v/>
      </c>
      <c r="X22">
        <f>HYPERLINK("https://klasma.github.io/Logging_1980/tillsyn/A 25672-2024 tillsynsbegäran.docx", "A 25672-2024")</f>
        <v/>
      </c>
      <c r="Y22">
        <f>HYPERLINK("https://klasma.github.io/Logging_1980/tillsynsmail/A 25672-2024 tillsynsbegäran mail.docx", "A 25672-2024")</f>
        <v/>
      </c>
    </row>
    <row r="23" ht="15" customHeight="1">
      <c r="A23" t="inlineStr">
        <is>
          <t>A 64201-2023</t>
        </is>
      </c>
      <c r="B23" s="1" t="n">
        <v>45279</v>
      </c>
      <c r="C23" s="1" t="n">
        <v>46198</v>
      </c>
      <c r="D23" t="inlineStr">
        <is>
          <t>VÄSTMANLANDS LÄN</t>
        </is>
      </c>
      <c r="E23" t="inlineStr">
        <is>
          <t>VÄSTERÅS</t>
        </is>
      </c>
      <c r="G23" t="n">
        <v>13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Stubbspretmossa
Vanlig rörsvepemossa</t>
        </is>
      </c>
      <c r="S23">
        <f>HYPERLINK("https://klasma.github.io/Logging_1980/artfynd/A 64201-2023 artfynd.xlsx", "A 64201-2023")</f>
        <v/>
      </c>
      <c r="T23">
        <f>HYPERLINK("https://klasma.github.io/Logging_1980/kartor/A 64201-2023 karta.png", "A 64201-2023")</f>
        <v/>
      </c>
      <c r="V23">
        <f>HYPERLINK("https://klasma.github.io/Logging_1980/klagomål/A 64201-2023 FSC-klagomål.docx", "A 64201-2023")</f>
        <v/>
      </c>
      <c r="W23">
        <f>HYPERLINK("https://klasma.github.io/Logging_1980/klagomålsmail/A 64201-2023 FSC-klagomål mail.docx", "A 64201-2023")</f>
        <v/>
      </c>
      <c r="X23">
        <f>HYPERLINK("https://klasma.github.io/Logging_1980/tillsyn/A 64201-2023 tillsynsbegäran.docx", "A 64201-2023")</f>
        <v/>
      </c>
      <c r="Y23">
        <f>HYPERLINK("https://klasma.github.io/Logging_1980/tillsynsmail/A 64201-2023 tillsynsbegäran mail.docx", "A 64201-2023")</f>
        <v/>
      </c>
    </row>
    <row r="24" ht="15" customHeight="1">
      <c r="A24" t="inlineStr">
        <is>
          <t>A 64735-2023</t>
        </is>
      </c>
      <c r="B24" s="1" t="n">
        <v>45281</v>
      </c>
      <c r="C24" s="1" t="n">
        <v>46198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Backsippa
Vårstarr
Gullviva</t>
        </is>
      </c>
      <c r="S24">
        <f>HYPERLINK("https://klasma.github.io/Logging_1980/artfynd/A 64735-2023 artfynd.xlsx", "A 64735-2023")</f>
        <v/>
      </c>
      <c r="T24">
        <f>HYPERLINK("https://klasma.github.io/Logging_1980/kartor/A 64735-2023 karta.png", "A 64735-2023")</f>
        <v/>
      </c>
      <c r="V24">
        <f>HYPERLINK("https://klasma.github.io/Logging_1980/klagomål/A 64735-2023 FSC-klagomål.docx", "A 64735-2023")</f>
        <v/>
      </c>
      <c r="W24">
        <f>HYPERLINK("https://klasma.github.io/Logging_1980/klagomålsmail/A 64735-2023 FSC-klagomål mail.docx", "A 64735-2023")</f>
        <v/>
      </c>
      <c r="X24">
        <f>HYPERLINK("https://klasma.github.io/Logging_1980/tillsyn/A 64735-2023 tillsynsbegäran.docx", "A 64735-2023")</f>
        <v/>
      </c>
      <c r="Y24">
        <f>HYPERLINK("https://klasma.github.io/Logging_1980/tillsynsmail/A 64735-2023 tillsynsbegäran mail.docx", "A 64735-2023")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46198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Grönfink
Blåsippa
Kungsfågel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14265-2025</t>
        </is>
      </c>
      <c r="B26" s="1" t="n">
        <v>45740</v>
      </c>
      <c r="C26" s="1" t="n">
        <v>46198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Tallticka
Blåsippa</t>
        </is>
      </c>
      <c r="S26">
        <f>HYPERLINK("https://klasma.github.io/Logging_1980/artfynd/A 14265-2025 artfynd.xlsx", "A 14265-2025")</f>
        <v/>
      </c>
      <c r="T26">
        <f>HYPERLINK("https://klasma.github.io/Logging_1980/kartor/A 14265-2025 karta.png", "A 14265-2025")</f>
        <v/>
      </c>
      <c r="U26">
        <f>HYPERLINK("https://klasma.github.io/Logging_1980/knärot/A 14265-2025 karta knärot.png", "A 14265-2025")</f>
        <v/>
      </c>
      <c r="V26">
        <f>HYPERLINK("https://klasma.github.io/Logging_1980/klagomål/A 14265-2025 FSC-klagomål.docx", "A 14265-2025")</f>
        <v/>
      </c>
      <c r="W26">
        <f>HYPERLINK("https://klasma.github.io/Logging_1980/klagomålsmail/A 14265-2025 FSC-klagomål mail.docx", "A 14265-2025")</f>
        <v/>
      </c>
      <c r="X26">
        <f>HYPERLINK("https://klasma.github.io/Logging_1980/tillsyn/A 14265-2025 tillsynsbegäran.docx", "A 14265-2025")</f>
        <v/>
      </c>
      <c r="Y26">
        <f>HYPERLINK("https://klasma.github.io/Logging_1980/tillsynsmail/A 14265-2025 tillsynsbegäran mail.docx", "A 14265-2025")</f>
        <v/>
      </c>
    </row>
    <row r="27" ht="15" customHeight="1">
      <c r="A27" t="inlineStr">
        <is>
          <t>A 16684-2026</t>
        </is>
      </c>
      <c r="B27" s="1" t="n">
        <v>46112</v>
      </c>
      <c r="C27" s="1" t="n">
        <v>46198</v>
      </c>
      <c r="D27" t="inlineStr">
        <is>
          <t>VÄSTMANLANDS LÄN</t>
        </is>
      </c>
      <c r="E27" t="inlineStr">
        <is>
          <t>VÄSTERÅS</t>
        </is>
      </c>
      <c r="G27" t="n">
        <v>7.9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Motaggsvamp
Ullticka</t>
        </is>
      </c>
      <c r="S27">
        <f>HYPERLINK("https://klasma.github.io/Logging_1980/artfynd/A 16684-2026 artfynd.xlsx", "A 16684-2026")</f>
        <v/>
      </c>
      <c r="T27">
        <f>HYPERLINK("https://klasma.github.io/Logging_1980/kartor/A 16684-2026 karta.png", "A 16684-2026")</f>
        <v/>
      </c>
      <c r="U27">
        <f>HYPERLINK("https://klasma.github.io/Logging_1980/knärot/A 16684-2026 karta knärot.png", "A 16684-2026")</f>
        <v/>
      </c>
      <c r="V27">
        <f>HYPERLINK("https://klasma.github.io/Logging_1980/klagomål/A 16684-2026 FSC-klagomål.docx", "A 16684-2026")</f>
        <v/>
      </c>
      <c r="W27">
        <f>HYPERLINK("https://klasma.github.io/Logging_1980/klagomålsmail/A 16684-2026 FSC-klagomål mail.docx", "A 16684-2026")</f>
        <v/>
      </c>
      <c r="X27">
        <f>HYPERLINK("https://klasma.github.io/Logging_1980/tillsyn/A 16684-2026 tillsynsbegäran.docx", "A 16684-2026")</f>
        <v/>
      </c>
      <c r="Y27">
        <f>HYPERLINK("https://klasma.github.io/Logging_1980/tillsynsmail/A 16684-2026 tillsynsbegäran mail.docx", "A 16684-2026")</f>
        <v/>
      </c>
    </row>
    <row r="28" ht="15" customHeight="1">
      <c r="A28" t="inlineStr">
        <is>
          <t>A 11804-2022</t>
        </is>
      </c>
      <c r="B28" s="1" t="n">
        <v>44634</v>
      </c>
      <c r="C28" s="1" t="n">
        <v>46198</v>
      </c>
      <c r="D28" t="inlineStr">
        <is>
          <t>VÄSTMANLANDS LÄN</t>
        </is>
      </c>
      <c r="E28" t="inlineStr">
        <is>
          <t>VÄSTERÅS</t>
        </is>
      </c>
      <c r="G28" t="n">
        <v>10.6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Nattviol</t>
        </is>
      </c>
      <c r="S28">
        <f>HYPERLINK("https://klasma.github.io/Logging_1980/artfynd/A 11804-2022 artfynd.xlsx", "A 11804-2022")</f>
        <v/>
      </c>
      <c r="T28">
        <f>HYPERLINK("https://klasma.github.io/Logging_1980/kartor/A 11804-2022 karta.png", "A 11804-2022")</f>
        <v/>
      </c>
      <c r="V28">
        <f>HYPERLINK("https://klasma.github.io/Logging_1980/klagomål/A 11804-2022 FSC-klagomål.docx", "A 11804-2022")</f>
        <v/>
      </c>
      <c r="W28">
        <f>HYPERLINK("https://klasma.github.io/Logging_1980/klagomålsmail/A 11804-2022 FSC-klagomål mail.docx", "A 11804-2022")</f>
        <v/>
      </c>
      <c r="X28">
        <f>HYPERLINK("https://klasma.github.io/Logging_1980/tillsyn/A 11804-2022 tillsynsbegäran.docx", "A 11804-2022")</f>
        <v/>
      </c>
      <c r="Y28">
        <f>HYPERLINK("https://klasma.github.io/Logging_1980/tillsynsmail/A 11804-2022 tillsynsbegäran mail.docx", "A 11804-2022")</f>
        <v/>
      </c>
    </row>
    <row r="29" ht="15" customHeight="1">
      <c r="A29" t="inlineStr">
        <is>
          <t>A 17261-2022</t>
        </is>
      </c>
      <c r="B29" s="1" t="n">
        <v>44678</v>
      </c>
      <c r="C29" s="1" t="n">
        <v>46198</v>
      </c>
      <c r="D29" t="inlineStr">
        <is>
          <t>VÄSTMANLANDS LÄN</t>
        </is>
      </c>
      <c r="E29" t="inlineStr">
        <is>
          <t>VÄSTERÅS</t>
        </is>
      </c>
      <c r="G29" t="n">
        <v>1.1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Skumticka
Svartöra</t>
        </is>
      </c>
      <c r="S29">
        <f>HYPERLINK("https://klasma.github.io/Logging_1980/artfynd/A 17261-2022 artfynd.xlsx", "A 17261-2022")</f>
        <v/>
      </c>
      <c r="T29">
        <f>HYPERLINK("https://klasma.github.io/Logging_1980/kartor/A 17261-2022 karta.png", "A 17261-2022")</f>
        <v/>
      </c>
      <c r="V29">
        <f>HYPERLINK("https://klasma.github.io/Logging_1980/klagomål/A 17261-2022 FSC-klagomål.docx", "A 17261-2022")</f>
        <v/>
      </c>
      <c r="W29">
        <f>HYPERLINK("https://klasma.github.io/Logging_1980/klagomålsmail/A 17261-2022 FSC-klagomål mail.docx", "A 17261-2022")</f>
        <v/>
      </c>
      <c r="X29">
        <f>HYPERLINK("https://klasma.github.io/Logging_1980/tillsyn/A 17261-2022 tillsynsbegäran.docx", "A 17261-2022")</f>
        <v/>
      </c>
      <c r="Y29">
        <f>HYPERLINK("https://klasma.github.io/Logging_1980/tillsynsmail/A 17261-2022 tillsynsbegäran mail.docx", "A 17261-2022")</f>
        <v/>
      </c>
    </row>
    <row r="30" ht="15" customHeight="1">
      <c r="A30" t="inlineStr">
        <is>
          <t>A 30759-2022</t>
        </is>
      </c>
      <c r="B30" s="1" t="n">
        <v>44764</v>
      </c>
      <c r="C30" s="1" t="n">
        <v>46198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Gullklöver
Blåsippa</t>
        </is>
      </c>
      <c r="S30">
        <f>HYPERLINK("https://klasma.github.io/Logging_1980/artfynd/A 30759-2022 artfynd.xlsx", "A 30759-2022")</f>
        <v/>
      </c>
      <c r="T30">
        <f>HYPERLINK("https://klasma.github.io/Logging_1980/kartor/A 30759-2022 karta.png", "A 30759-2022")</f>
        <v/>
      </c>
      <c r="V30">
        <f>HYPERLINK("https://klasma.github.io/Logging_1980/klagomål/A 30759-2022 FSC-klagomål.docx", "A 30759-2022")</f>
        <v/>
      </c>
      <c r="W30">
        <f>HYPERLINK("https://klasma.github.io/Logging_1980/klagomålsmail/A 30759-2022 FSC-klagomål mail.docx", "A 30759-2022")</f>
        <v/>
      </c>
      <c r="X30">
        <f>HYPERLINK("https://klasma.github.io/Logging_1980/tillsyn/A 30759-2022 tillsynsbegäran.docx", "A 30759-2022")</f>
        <v/>
      </c>
      <c r="Y30">
        <f>HYPERLINK("https://klasma.github.io/Logging_1980/tillsynsmail/A 30759-2022 tillsynsbegäran mail.docx", "A 30759-2022")</f>
        <v/>
      </c>
    </row>
    <row r="31" ht="15" customHeight="1">
      <c r="A31" t="inlineStr">
        <is>
          <t>A 43119-2025</t>
        </is>
      </c>
      <c r="B31" s="1" t="n">
        <v>45909</v>
      </c>
      <c r="C31" s="1" t="n">
        <v>46198</v>
      </c>
      <c r="D31" t="inlineStr">
        <is>
          <t>VÄSTMANLANDS LÄN</t>
        </is>
      </c>
      <c r="E31" t="inlineStr">
        <is>
          <t>VÄSTERÅS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Sädesärla</t>
        </is>
      </c>
      <c r="S31">
        <f>HYPERLINK("https://klasma.github.io/Logging_1980/artfynd/A 43119-2025 artfynd.xlsx", "A 43119-2025")</f>
        <v/>
      </c>
      <c r="T31">
        <f>HYPERLINK("https://klasma.github.io/Logging_1980/kartor/A 43119-2025 karta.png", "A 43119-2025")</f>
        <v/>
      </c>
      <c r="V31">
        <f>HYPERLINK("https://klasma.github.io/Logging_1980/klagomål/A 43119-2025 FSC-klagomål.docx", "A 43119-2025")</f>
        <v/>
      </c>
      <c r="W31">
        <f>HYPERLINK("https://klasma.github.io/Logging_1980/klagomålsmail/A 43119-2025 FSC-klagomål mail.docx", "A 43119-2025")</f>
        <v/>
      </c>
      <c r="X31">
        <f>HYPERLINK("https://klasma.github.io/Logging_1980/tillsyn/A 43119-2025 tillsynsbegäran.docx", "A 43119-2025")</f>
        <v/>
      </c>
      <c r="Y31">
        <f>HYPERLINK("https://klasma.github.io/Logging_1980/tillsynsmail/A 43119-2025 tillsynsbegäran mail.docx", "A 43119-2025")</f>
        <v/>
      </c>
      <c r="Z31">
        <f>HYPERLINK("https://klasma.github.io/Logging_1980/fåglar/A 43119-2025 prioriterade fågelarter.docx", "A 43119-2025")</f>
        <v/>
      </c>
    </row>
    <row r="32" ht="15" customHeight="1">
      <c r="A32" t="inlineStr">
        <is>
          <t>A 9327-2026</t>
        </is>
      </c>
      <c r="B32" s="1" t="n">
        <v>46070</v>
      </c>
      <c r="C32" s="1" t="n">
        <v>46198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Tibast</t>
        </is>
      </c>
      <c r="S32">
        <f>HYPERLINK("https://klasma.github.io/Logging_1980/artfynd/A 9327-2026 artfynd.xlsx", "A 9327-2026")</f>
        <v/>
      </c>
      <c r="T32">
        <f>HYPERLINK("https://klasma.github.io/Logging_1980/kartor/A 9327-2026 karta.png", "A 9327-2026")</f>
        <v/>
      </c>
      <c r="V32">
        <f>HYPERLINK("https://klasma.github.io/Logging_1980/klagomål/A 9327-2026 FSC-klagomål.docx", "A 9327-2026")</f>
        <v/>
      </c>
      <c r="W32">
        <f>HYPERLINK("https://klasma.github.io/Logging_1980/klagomålsmail/A 9327-2026 FSC-klagomål mail.docx", "A 9327-2026")</f>
        <v/>
      </c>
      <c r="X32">
        <f>HYPERLINK("https://klasma.github.io/Logging_1980/tillsyn/A 9327-2026 tillsynsbegäran.docx", "A 9327-2026")</f>
        <v/>
      </c>
      <c r="Y32">
        <f>HYPERLINK("https://klasma.github.io/Logging_1980/tillsynsmail/A 9327-2026 tillsynsbegäran mail.docx", "A 9327-2026")</f>
        <v/>
      </c>
    </row>
    <row r="33" ht="15" customHeight="1">
      <c r="A33" t="inlineStr">
        <is>
          <t>A 59143-2025</t>
        </is>
      </c>
      <c r="B33" s="1" t="n">
        <v>45988</v>
      </c>
      <c r="C33" s="1" t="n">
        <v>46198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Fiskgjuse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  <c r="Z33">
        <f>HYPERLINK("https://klasma.github.io/Logging_1980/fåglar/A 59143-2025 prioriterade fågelarter.docx", "A 59143-2025")</f>
        <v/>
      </c>
    </row>
    <row r="34" ht="15" customHeight="1">
      <c r="A34" t="inlineStr">
        <is>
          <t>A 22452-2026</t>
        </is>
      </c>
      <c r="B34" s="1" t="n">
        <v>46155</v>
      </c>
      <c r="C34" s="1" t="n">
        <v>46198</v>
      </c>
      <c r="D34" t="inlineStr">
        <is>
          <t>VÄSTMANLANDS LÄN</t>
        </is>
      </c>
      <c r="E34" t="inlineStr">
        <is>
          <t>VÄSTERÅS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Kopparödla</t>
        </is>
      </c>
      <c r="S34">
        <f>HYPERLINK("https://klasma.github.io/Logging_1980/artfynd/A 22452-2026 artfynd.xlsx", "A 22452-2026")</f>
        <v/>
      </c>
      <c r="T34">
        <f>HYPERLINK("https://klasma.github.io/Logging_1980/kartor/A 22452-2026 karta.png", "A 22452-2026")</f>
        <v/>
      </c>
      <c r="V34">
        <f>HYPERLINK("https://klasma.github.io/Logging_1980/klagomål/A 22452-2026 FSC-klagomål.docx", "A 22452-2026")</f>
        <v/>
      </c>
      <c r="W34">
        <f>HYPERLINK("https://klasma.github.io/Logging_1980/klagomålsmail/A 22452-2026 FSC-klagomål mail.docx", "A 22452-2026")</f>
        <v/>
      </c>
      <c r="X34">
        <f>HYPERLINK("https://klasma.github.io/Logging_1980/tillsyn/A 22452-2026 tillsynsbegäran.docx", "A 22452-2026")</f>
        <v/>
      </c>
      <c r="Y34">
        <f>HYPERLINK("https://klasma.github.io/Logging_1980/tillsynsmail/A 22452-2026 tillsynsbegäran mail.docx", "A 22452-2026")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46198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54536-2024</t>
        </is>
      </c>
      <c r="B36" s="1" t="n">
        <v>45617</v>
      </c>
      <c r="C36" s="1" t="n">
        <v>46198</v>
      </c>
      <c r="D36" t="inlineStr">
        <is>
          <t>VÄSTMANLANDS LÄN</t>
        </is>
      </c>
      <c r="E36" t="inlineStr">
        <is>
          <t>VÄSTERÅS</t>
        </is>
      </c>
      <c r="F36" t="inlineStr">
        <is>
          <t>Sveaskog</t>
        </is>
      </c>
      <c r="G36" t="n">
        <v>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Jungfrulin
Svinrot</t>
        </is>
      </c>
      <c r="S36">
        <f>HYPERLINK("https://klasma.github.io/Logging_1980/artfynd/A 54536-2024 artfynd.xlsx", "A 54536-2024")</f>
        <v/>
      </c>
      <c r="T36">
        <f>HYPERLINK("https://klasma.github.io/Logging_1980/kartor/A 54536-2024 karta.png", "A 54536-2024")</f>
        <v/>
      </c>
      <c r="V36">
        <f>HYPERLINK("https://klasma.github.io/Logging_1980/klagomål/A 54536-2024 FSC-klagomål.docx", "A 54536-2024")</f>
        <v/>
      </c>
      <c r="W36">
        <f>HYPERLINK("https://klasma.github.io/Logging_1980/klagomålsmail/A 54536-2024 FSC-klagomål mail.docx", "A 54536-2024")</f>
        <v/>
      </c>
      <c r="X36">
        <f>HYPERLINK("https://klasma.github.io/Logging_1980/tillsyn/A 54536-2024 tillsynsbegäran.docx", "A 54536-2024")</f>
        <v/>
      </c>
      <c r="Y36">
        <f>HYPERLINK("https://klasma.github.io/Logging_1980/tillsynsmail/A 54536-2024 tillsynsbegäran mail.docx", "A 54536-2024")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46198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7534-2022</t>
        </is>
      </c>
      <c r="B38" s="1" t="n">
        <v>44607</v>
      </c>
      <c r="C38" s="1" t="n">
        <v>46198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HYPERLINK("https://klasma.github.io/Logging_1980/artfynd/A 7534-2022 artfynd.xlsx", "A 7534-2022")</f>
        <v/>
      </c>
      <c r="T38">
        <f>HYPERLINK("https://klasma.github.io/Logging_1980/kartor/A 7534-2022 karta.png", "A 7534-2022")</f>
        <v/>
      </c>
      <c r="V38">
        <f>HYPERLINK("https://klasma.github.io/Logging_1980/klagomål/A 7534-2022 FSC-klagomål.docx", "A 7534-2022")</f>
        <v/>
      </c>
      <c r="W38">
        <f>HYPERLINK("https://klasma.github.io/Logging_1980/klagomålsmail/A 7534-2022 FSC-klagomål mail.docx", "A 7534-2022")</f>
        <v/>
      </c>
      <c r="X38">
        <f>HYPERLINK("https://klasma.github.io/Logging_1980/tillsyn/A 7534-2022 tillsynsbegäran.docx", "A 7534-2022")</f>
        <v/>
      </c>
      <c r="Y38">
        <f>HYPERLINK("https://klasma.github.io/Logging_1980/tillsynsmail/A 7534-2022 tillsynsbegäran mail.docx", "A 7534-2022")</f>
        <v/>
      </c>
    </row>
    <row r="39" ht="15" customHeight="1">
      <c r="A39" t="inlineStr">
        <is>
          <t>A 50193-2022</t>
        </is>
      </c>
      <c r="B39" s="1" t="n">
        <v>44865</v>
      </c>
      <c r="C39" s="1" t="n">
        <v>46198</v>
      </c>
      <c r="D39" t="inlineStr">
        <is>
          <t>VÄSTMANLANDS LÄN</t>
        </is>
      </c>
      <c r="E39" t="inlineStr">
        <is>
          <t>VÄSTERÅS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HYPERLINK("https://klasma.github.io/Logging_1980/artfynd/A 50193-2022 artfynd.xlsx", "A 50193-2022")</f>
        <v/>
      </c>
      <c r="T39">
        <f>HYPERLINK("https://klasma.github.io/Logging_1980/kartor/A 50193-2022 karta.png", "A 50193-2022")</f>
        <v/>
      </c>
      <c r="V39">
        <f>HYPERLINK("https://klasma.github.io/Logging_1980/klagomål/A 50193-2022 FSC-klagomål.docx", "A 50193-2022")</f>
        <v/>
      </c>
      <c r="W39">
        <f>HYPERLINK("https://klasma.github.io/Logging_1980/klagomålsmail/A 50193-2022 FSC-klagomål mail.docx", "A 50193-2022")</f>
        <v/>
      </c>
      <c r="X39">
        <f>HYPERLINK("https://klasma.github.io/Logging_1980/tillsyn/A 50193-2022 tillsynsbegäran.docx", "A 50193-2022")</f>
        <v/>
      </c>
      <c r="Y39">
        <f>HYPERLINK("https://klasma.github.io/Logging_1980/tillsynsmail/A 50193-2022 tillsynsbegäran mail.docx", "A 50193-2022")</f>
        <v/>
      </c>
    </row>
    <row r="40" ht="15" customHeight="1">
      <c r="A40" t="inlineStr">
        <is>
          <t>A 26568-2022</t>
        </is>
      </c>
      <c r="B40" s="1" t="n">
        <v>44739</v>
      </c>
      <c r="C40" s="1" t="n">
        <v>46198</v>
      </c>
      <c r="D40" t="inlineStr">
        <is>
          <t>VÄSTMANLANDS LÄN</t>
        </is>
      </c>
      <c r="E40" t="inlineStr">
        <is>
          <t>VÄSTERÅS</t>
        </is>
      </c>
      <c r="G40" t="n">
        <v>2.6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26568-2022 artfynd.xlsx", "A 26568-2022")</f>
        <v/>
      </c>
      <c r="T40">
        <f>HYPERLINK("https://klasma.github.io/Logging_1980/kartor/A 26568-2022 karta.png", "A 26568-2022")</f>
        <v/>
      </c>
      <c r="V40">
        <f>HYPERLINK("https://klasma.github.io/Logging_1980/klagomål/A 26568-2022 FSC-klagomål.docx", "A 26568-2022")</f>
        <v/>
      </c>
      <c r="W40">
        <f>HYPERLINK("https://klasma.github.io/Logging_1980/klagomålsmail/A 26568-2022 FSC-klagomål mail.docx", "A 26568-2022")</f>
        <v/>
      </c>
      <c r="X40">
        <f>HYPERLINK("https://klasma.github.io/Logging_1980/tillsyn/A 26568-2022 tillsynsbegäran.docx", "A 26568-2022")</f>
        <v/>
      </c>
      <c r="Y40">
        <f>HYPERLINK("https://klasma.github.io/Logging_1980/tillsynsmail/A 26568-2022 tillsynsbegäran mail.docx", "A 26568-2022")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46198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8362-2022</t>
        </is>
      </c>
      <c r="B42" s="1" t="n">
        <v>44610</v>
      </c>
      <c r="C42" s="1" t="n">
        <v>46198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Köpingfibbla</t>
        </is>
      </c>
      <c r="S42">
        <f>HYPERLINK("https://klasma.github.io/Logging_1980/artfynd/A 8362-2022 artfynd.xlsx", "A 8362-2022")</f>
        <v/>
      </c>
      <c r="T42">
        <f>HYPERLINK("https://klasma.github.io/Logging_1980/kartor/A 8362-2022 karta.png", "A 8362-2022")</f>
        <v/>
      </c>
      <c r="V42">
        <f>HYPERLINK("https://klasma.github.io/Logging_1980/klagomål/A 8362-2022 FSC-klagomål.docx", "A 8362-2022")</f>
        <v/>
      </c>
      <c r="W42">
        <f>HYPERLINK("https://klasma.github.io/Logging_1980/klagomålsmail/A 8362-2022 FSC-klagomål mail.docx", "A 8362-2022")</f>
        <v/>
      </c>
      <c r="X42">
        <f>HYPERLINK("https://klasma.github.io/Logging_1980/tillsyn/A 8362-2022 tillsynsbegäran.docx", "A 8362-2022")</f>
        <v/>
      </c>
      <c r="Y42">
        <f>HYPERLINK("https://klasma.github.io/Logging_1980/tillsynsmail/A 8362-2022 tillsynsbegäran mail.docx", "A 8362-2022")</f>
        <v/>
      </c>
    </row>
    <row r="43" ht="15" customHeight="1">
      <c r="A43" t="inlineStr">
        <is>
          <t>A 51147-2023</t>
        </is>
      </c>
      <c r="B43" s="1" t="n">
        <v>45219</v>
      </c>
      <c r="C43" s="1" t="n">
        <v>46198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HYPERLINK("https://klasma.github.io/Logging_1980/artfynd/A 51147-2023 artfynd.xlsx", "A 51147-2023")</f>
        <v/>
      </c>
      <c r="T43">
        <f>HYPERLINK("https://klasma.github.io/Logging_1980/kartor/A 51147-2023 karta.png", "A 51147-2023")</f>
        <v/>
      </c>
      <c r="V43">
        <f>HYPERLINK("https://klasma.github.io/Logging_1980/klagomål/A 51147-2023 FSC-klagomål.docx", "A 51147-2023")</f>
        <v/>
      </c>
      <c r="W43">
        <f>HYPERLINK("https://klasma.github.io/Logging_1980/klagomålsmail/A 51147-2023 FSC-klagomål mail.docx", "A 51147-2023")</f>
        <v/>
      </c>
      <c r="X43">
        <f>HYPERLINK("https://klasma.github.io/Logging_1980/tillsyn/A 51147-2023 tillsynsbegäran.docx", "A 51147-2023")</f>
        <v/>
      </c>
      <c r="Y43">
        <f>HYPERLINK("https://klasma.github.io/Logging_1980/tillsynsmail/A 51147-2023 tillsynsbegäran mail.docx", "A 51147-2023")</f>
        <v/>
      </c>
    </row>
    <row r="44" ht="15" customHeight="1">
      <c r="A44" t="inlineStr">
        <is>
          <t>A 12950-2023</t>
        </is>
      </c>
      <c r="B44" s="1" t="n">
        <v>45001</v>
      </c>
      <c r="C44" s="1" t="n">
        <v>46198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HYPERLINK("https://klasma.github.io/Logging_1980/artfynd/A 12950-2023 artfynd.xlsx", "A 12950-2023")</f>
        <v/>
      </c>
      <c r="T44">
        <f>HYPERLINK("https://klasma.github.io/Logging_1980/kartor/A 12950-2023 karta.png", "A 12950-2023")</f>
        <v/>
      </c>
      <c r="V44">
        <f>HYPERLINK("https://klasma.github.io/Logging_1980/klagomål/A 12950-2023 FSC-klagomål.docx", "A 12950-2023")</f>
        <v/>
      </c>
      <c r="W44">
        <f>HYPERLINK("https://klasma.github.io/Logging_1980/klagomålsmail/A 12950-2023 FSC-klagomål mail.docx", "A 12950-2023")</f>
        <v/>
      </c>
      <c r="X44">
        <f>HYPERLINK("https://klasma.github.io/Logging_1980/tillsyn/A 12950-2023 tillsynsbegäran.docx", "A 12950-2023")</f>
        <v/>
      </c>
      <c r="Y44">
        <f>HYPERLINK("https://klasma.github.io/Logging_1980/tillsynsmail/A 12950-2023 tillsynsbegäran mail.docx", "A 12950-2023")</f>
        <v/>
      </c>
    </row>
    <row r="45" ht="15" customHeight="1">
      <c r="A45" t="inlineStr">
        <is>
          <t>A 5363-2025</t>
        </is>
      </c>
      <c r="B45" s="1" t="n">
        <v>45692</v>
      </c>
      <c r="C45" s="1" t="n">
        <v>46198</v>
      </c>
      <c r="D45" t="inlineStr">
        <is>
          <t>VÄSTMANLANDS LÄN</t>
        </is>
      </c>
      <c r="E45" t="inlineStr">
        <is>
          <t>VÄSTERÅS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HYPERLINK("https://klasma.github.io/Logging_1980/artfynd/A 5363-2025 artfynd.xlsx", "A 5363-2025")</f>
        <v/>
      </c>
      <c r="T45">
        <f>HYPERLINK("https://klasma.github.io/Logging_1980/kartor/A 5363-2025 karta.png", "A 5363-2025")</f>
        <v/>
      </c>
      <c r="V45">
        <f>HYPERLINK("https://klasma.github.io/Logging_1980/klagomål/A 5363-2025 FSC-klagomål.docx", "A 5363-2025")</f>
        <v/>
      </c>
      <c r="W45">
        <f>HYPERLINK("https://klasma.github.io/Logging_1980/klagomålsmail/A 5363-2025 FSC-klagomål mail.docx", "A 5363-2025")</f>
        <v/>
      </c>
      <c r="X45">
        <f>HYPERLINK("https://klasma.github.io/Logging_1980/tillsyn/A 5363-2025 tillsynsbegäran.docx", "A 5363-2025")</f>
        <v/>
      </c>
      <c r="Y45">
        <f>HYPERLINK("https://klasma.github.io/Logging_1980/tillsynsmail/A 5363-2025 tillsynsbegäran mail.docx", "A 5363-2025")</f>
        <v/>
      </c>
    </row>
    <row r="46" ht="15" customHeight="1">
      <c r="A46" t="inlineStr">
        <is>
          <t>A 61059-2024</t>
        </is>
      </c>
      <c r="B46" s="1" t="n">
        <v>45645</v>
      </c>
      <c r="C46" s="1" t="n">
        <v>46198</v>
      </c>
      <c r="D46" t="inlineStr">
        <is>
          <t>VÄSTMANLANDS LÄN</t>
        </is>
      </c>
      <c r="E46" t="inlineStr">
        <is>
          <t>VÄSTERÅS</t>
        </is>
      </c>
      <c r="G46" t="n">
        <v>4.7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Bandad skulderbock</t>
        </is>
      </c>
      <c r="S46">
        <f>HYPERLINK("https://klasma.github.io/Logging_1980/artfynd/A 61059-2024 artfynd.xlsx", "A 61059-2024")</f>
        <v/>
      </c>
      <c r="T46">
        <f>HYPERLINK("https://klasma.github.io/Logging_1980/kartor/A 61059-2024 karta.png", "A 61059-2024")</f>
        <v/>
      </c>
      <c r="V46">
        <f>HYPERLINK("https://klasma.github.io/Logging_1980/klagomål/A 61059-2024 FSC-klagomål.docx", "A 61059-2024")</f>
        <v/>
      </c>
      <c r="W46">
        <f>HYPERLINK("https://klasma.github.io/Logging_1980/klagomålsmail/A 61059-2024 FSC-klagomål mail.docx", "A 61059-2024")</f>
        <v/>
      </c>
      <c r="X46">
        <f>HYPERLINK("https://klasma.github.io/Logging_1980/tillsyn/A 61059-2024 tillsynsbegäran.docx", "A 61059-2024")</f>
        <v/>
      </c>
      <c r="Y46">
        <f>HYPERLINK("https://klasma.github.io/Logging_1980/tillsynsmail/A 61059-2024 tillsynsbegäran mail.docx", "A 61059-2024")</f>
        <v/>
      </c>
    </row>
    <row r="47" ht="15" customHeight="1">
      <c r="A47" t="inlineStr">
        <is>
          <t>A 40886-2025</t>
        </is>
      </c>
      <c r="B47" s="1" t="n">
        <v>45897</v>
      </c>
      <c r="C47" s="1" t="n">
        <v>46198</v>
      </c>
      <c r="D47" t="inlineStr">
        <is>
          <t>VÄSTMANLANDS LÄN</t>
        </is>
      </c>
      <c r="E47" t="inlineStr">
        <is>
          <t>VÄSTERÅS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HYPERLINK("https://klasma.github.io/Logging_1980/artfynd/A 40886-2025 artfynd.xlsx", "A 40886-2025")</f>
        <v/>
      </c>
      <c r="T47">
        <f>HYPERLINK("https://klasma.github.io/Logging_1980/kartor/A 40886-2025 karta.png", "A 40886-2025")</f>
        <v/>
      </c>
      <c r="V47">
        <f>HYPERLINK("https://klasma.github.io/Logging_1980/klagomål/A 40886-2025 FSC-klagomål.docx", "A 40886-2025")</f>
        <v/>
      </c>
      <c r="W47">
        <f>HYPERLINK("https://klasma.github.io/Logging_1980/klagomålsmail/A 40886-2025 FSC-klagomål mail.docx", "A 40886-2025")</f>
        <v/>
      </c>
      <c r="X47">
        <f>HYPERLINK("https://klasma.github.io/Logging_1980/tillsyn/A 40886-2025 tillsynsbegäran.docx", "A 40886-2025")</f>
        <v/>
      </c>
      <c r="Y47">
        <f>HYPERLINK("https://klasma.github.io/Logging_1980/tillsynsmail/A 40886-2025 tillsynsbegäran mail.docx", "A 40886-2025")</f>
        <v/>
      </c>
    </row>
    <row r="48" ht="15" customHeight="1">
      <c r="A48" t="inlineStr">
        <is>
          <t>A 1594-2023</t>
        </is>
      </c>
      <c r="B48" s="1" t="n">
        <v>44935</v>
      </c>
      <c r="C48" s="1" t="n">
        <v>46198</v>
      </c>
      <c r="D48" t="inlineStr">
        <is>
          <t>VÄSTMANLANDS LÄN</t>
        </is>
      </c>
      <c r="E48" t="inlineStr">
        <is>
          <t>VÄSTERÅS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HYPERLINK("https://klasma.github.io/Logging_1980/artfynd/A 1594-2023 artfynd.xlsx", "A 1594-2023")</f>
        <v/>
      </c>
      <c r="T48">
        <f>HYPERLINK("https://klasma.github.io/Logging_1980/kartor/A 1594-2023 karta.png", "A 1594-2023")</f>
        <v/>
      </c>
      <c r="V48">
        <f>HYPERLINK("https://klasma.github.io/Logging_1980/klagomål/A 1594-2023 FSC-klagomål.docx", "A 1594-2023")</f>
        <v/>
      </c>
      <c r="W48">
        <f>HYPERLINK("https://klasma.github.io/Logging_1980/klagomålsmail/A 1594-2023 FSC-klagomål mail.docx", "A 1594-2023")</f>
        <v/>
      </c>
      <c r="X48">
        <f>HYPERLINK("https://klasma.github.io/Logging_1980/tillsyn/A 1594-2023 tillsynsbegäran.docx", "A 1594-2023")</f>
        <v/>
      </c>
      <c r="Y48">
        <f>HYPERLINK("https://klasma.github.io/Logging_1980/tillsynsmail/A 1594-2023 tillsynsbegäran mail.docx", "A 1594-2023")</f>
        <v/>
      </c>
      <c r="Z48">
        <f>HYPERLINK("https://klasma.github.io/Logging_1980/fåglar/A 1594-2023 prioriterade fågelarter.docx", "A 1594-2023")</f>
        <v/>
      </c>
    </row>
    <row r="49" ht="15" customHeight="1">
      <c r="A49" t="inlineStr">
        <is>
          <t>A 16374-2025</t>
        </is>
      </c>
      <c r="B49" s="1" t="n">
        <v>45751</v>
      </c>
      <c r="C49" s="1" t="n">
        <v>46198</v>
      </c>
      <c r="D49" t="inlineStr">
        <is>
          <t>VÄSTMANLANDS LÄN</t>
        </is>
      </c>
      <c r="E49" t="inlineStr">
        <is>
          <t>VÄSTERÅS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Lönnlav</t>
        </is>
      </c>
      <c r="S49">
        <f>HYPERLINK("https://klasma.github.io/Logging_1980/artfynd/A 16374-2025 artfynd.xlsx", "A 16374-2025")</f>
        <v/>
      </c>
      <c r="T49">
        <f>HYPERLINK("https://klasma.github.io/Logging_1980/kartor/A 16374-2025 karta.png", "A 16374-2025")</f>
        <v/>
      </c>
      <c r="V49">
        <f>HYPERLINK("https://klasma.github.io/Logging_1980/klagomål/A 16374-2025 FSC-klagomål.docx", "A 16374-2025")</f>
        <v/>
      </c>
      <c r="W49">
        <f>HYPERLINK("https://klasma.github.io/Logging_1980/klagomålsmail/A 16374-2025 FSC-klagomål mail.docx", "A 16374-2025")</f>
        <v/>
      </c>
      <c r="X49">
        <f>HYPERLINK("https://klasma.github.io/Logging_1980/tillsyn/A 16374-2025 tillsynsbegäran.docx", "A 16374-2025")</f>
        <v/>
      </c>
      <c r="Y49">
        <f>HYPERLINK("https://klasma.github.io/Logging_1980/tillsynsmail/A 16374-2025 tillsynsbegäran mail.docx", "A 16374-2025")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46198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58395-2022</t>
        </is>
      </c>
      <c r="B51" s="1" t="n">
        <v>44901</v>
      </c>
      <c r="C51" s="1" t="n">
        <v>46198</v>
      </c>
      <c r="D51" t="inlineStr">
        <is>
          <t>VÄSTMANLANDS LÄN</t>
        </is>
      </c>
      <c r="E51" t="inlineStr">
        <is>
          <t>VÄSTERÅS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HYPERLINK("https://klasma.github.io/Logging_1980/artfynd/A 58395-2022 artfynd.xlsx", "A 58395-2022")</f>
        <v/>
      </c>
      <c r="T51">
        <f>HYPERLINK("https://klasma.github.io/Logging_1980/kartor/A 58395-2022 karta.png", "A 58395-2022")</f>
        <v/>
      </c>
      <c r="V51">
        <f>HYPERLINK("https://klasma.github.io/Logging_1980/klagomål/A 58395-2022 FSC-klagomål.docx", "A 58395-2022")</f>
        <v/>
      </c>
      <c r="W51">
        <f>HYPERLINK("https://klasma.github.io/Logging_1980/klagomålsmail/A 58395-2022 FSC-klagomål mail.docx", "A 58395-2022")</f>
        <v/>
      </c>
      <c r="X51">
        <f>HYPERLINK("https://klasma.github.io/Logging_1980/tillsyn/A 58395-2022 tillsynsbegäran.docx", "A 58395-2022")</f>
        <v/>
      </c>
      <c r="Y51">
        <f>HYPERLINK("https://klasma.github.io/Logging_1980/tillsynsmail/A 58395-2022 tillsynsbegäran mail.docx", "A 58395-2022")</f>
        <v/>
      </c>
    </row>
    <row r="52" ht="15" customHeight="1">
      <c r="A52" t="inlineStr">
        <is>
          <t>A 59140-2025</t>
        </is>
      </c>
      <c r="B52" s="1" t="n">
        <v>45988</v>
      </c>
      <c r="C52" s="1" t="n">
        <v>46198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HYPERLINK("https://klasma.github.io/Logging_1980/artfynd/A 59140-2025 artfynd.xlsx", "A 59140-2025")</f>
        <v/>
      </c>
      <c r="T52">
        <f>HYPERLINK("https://klasma.github.io/Logging_1980/kartor/A 59140-2025 karta.png", "A 59140-2025")</f>
        <v/>
      </c>
      <c r="V52">
        <f>HYPERLINK("https://klasma.github.io/Logging_1980/klagomål/A 59140-2025 FSC-klagomål.docx", "A 59140-2025")</f>
        <v/>
      </c>
      <c r="W52">
        <f>HYPERLINK("https://klasma.github.io/Logging_1980/klagomålsmail/A 59140-2025 FSC-klagomål mail.docx", "A 59140-2025")</f>
        <v/>
      </c>
      <c r="X52">
        <f>HYPERLINK("https://klasma.github.io/Logging_1980/tillsyn/A 59140-2025 tillsynsbegäran.docx", "A 59140-2025")</f>
        <v/>
      </c>
      <c r="Y52">
        <f>HYPERLINK("https://klasma.github.io/Logging_1980/tillsynsmail/A 59140-2025 tillsynsbegäran mail.docx", "A 59140-2025")</f>
        <v/>
      </c>
      <c r="Z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s="1" t="n">
        <v>45988</v>
      </c>
      <c r="C53" s="1" t="n">
        <v>46198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HYPERLINK("https://klasma.github.io/Logging_1980/artfynd/A 59144-2025 artfynd.xlsx", "A 59144-2025")</f>
        <v/>
      </c>
      <c r="T53">
        <f>HYPERLINK("https://klasma.github.io/Logging_1980/kartor/A 59144-2025 karta.png", "A 59144-2025")</f>
        <v/>
      </c>
      <c r="V53">
        <f>HYPERLINK("https://klasma.github.io/Logging_1980/klagomål/A 59144-2025 FSC-klagomål.docx", "A 59144-2025")</f>
        <v/>
      </c>
      <c r="W53">
        <f>HYPERLINK("https://klasma.github.io/Logging_1980/klagomålsmail/A 59144-2025 FSC-klagomål mail.docx", "A 59144-2025")</f>
        <v/>
      </c>
      <c r="X53">
        <f>HYPERLINK("https://klasma.github.io/Logging_1980/tillsyn/A 59144-2025 tillsynsbegäran.docx", "A 59144-2025")</f>
        <v/>
      </c>
      <c r="Y53">
        <f>HYPERLINK("https://klasma.github.io/Logging_1980/tillsynsmail/A 59144-2025 tillsynsbegäran mail.docx", "A 59144-2025")</f>
        <v/>
      </c>
    </row>
    <row r="54" ht="15" customHeight="1">
      <c r="A54" t="inlineStr">
        <is>
          <t>A 22378-2026</t>
        </is>
      </c>
      <c r="B54" s="1" t="n">
        <v>46154</v>
      </c>
      <c r="C54" s="1" t="n">
        <v>46198</v>
      </c>
      <c r="D54" t="inlineStr">
        <is>
          <t>VÄSTMANLANDS LÄN</t>
        </is>
      </c>
      <c r="E54" t="inlineStr">
        <is>
          <t>VÄSTERÅS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Igelkott</t>
        </is>
      </c>
      <c r="S54">
        <f>HYPERLINK("https://klasma.github.io/Logging_1980/artfynd/A 22378-2026 artfynd.xlsx", "A 22378-2026")</f>
        <v/>
      </c>
      <c r="T54">
        <f>HYPERLINK("https://klasma.github.io/Logging_1980/kartor/A 22378-2026 karta.png", "A 22378-2026")</f>
        <v/>
      </c>
      <c r="V54">
        <f>HYPERLINK("https://klasma.github.io/Logging_1980/klagomål/A 22378-2026 FSC-klagomål.docx", "A 22378-2026")</f>
        <v/>
      </c>
      <c r="W54">
        <f>HYPERLINK("https://klasma.github.io/Logging_1980/klagomålsmail/A 22378-2026 FSC-klagomål mail.docx", "A 22378-2026")</f>
        <v/>
      </c>
      <c r="X54">
        <f>HYPERLINK("https://klasma.github.io/Logging_1980/tillsyn/A 22378-2026 tillsynsbegäran.docx", "A 22378-2026")</f>
        <v/>
      </c>
      <c r="Y54">
        <f>HYPERLINK("https://klasma.github.io/Logging_1980/tillsynsmail/A 22378-2026 tillsynsbegäran mail.docx", "A 22378-2026")</f>
        <v/>
      </c>
    </row>
    <row r="55" ht="15" customHeight="1">
      <c r="A55" t="inlineStr">
        <is>
          <t>A 12058-2026</t>
        </is>
      </c>
      <c r="B55" s="1" t="n">
        <v>46086</v>
      </c>
      <c r="C55" s="1" t="n">
        <v>46198</v>
      </c>
      <c r="D55" t="inlineStr">
        <is>
          <t>VÄSTMANLANDS LÄN</t>
        </is>
      </c>
      <c r="E55" t="inlineStr">
        <is>
          <t>VÄSTERÅS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Törnskata</t>
        </is>
      </c>
      <c r="S55">
        <f>HYPERLINK("https://klasma.github.io/Logging_1980/artfynd/A 12058-2026 artfynd.xlsx", "A 12058-2026")</f>
        <v/>
      </c>
      <c r="T55">
        <f>HYPERLINK("https://klasma.github.io/Logging_1980/kartor/A 12058-2026 karta.png", "A 12058-2026")</f>
        <v/>
      </c>
      <c r="V55">
        <f>HYPERLINK("https://klasma.github.io/Logging_1980/klagomål/A 12058-2026 FSC-klagomål.docx", "A 12058-2026")</f>
        <v/>
      </c>
      <c r="W55">
        <f>HYPERLINK("https://klasma.github.io/Logging_1980/klagomålsmail/A 12058-2026 FSC-klagomål mail.docx", "A 12058-2026")</f>
        <v/>
      </c>
      <c r="X55">
        <f>HYPERLINK("https://klasma.github.io/Logging_1980/tillsyn/A 12058-2026 tillsynsbegäran.docx", "A 12058-2026")</f>
        <v/>
      </c>
      <c r="Y55">
        <f>HYPERLINK("https://klasma.github.io/Logging_1980/tillsynsmail/A 12058-2026 tillsynsbegäran mail.docx", "A 12058-2026")</f>
        <v/>
      </c>
      <c r="Z55">
        <f>HYPERLINK("https://klasma.github.io/Logging_1980/fåglar/A 12058-2026 prioriterade fågelarter.docx", "A 12058-2026")</f>
        <v/>
      </c>
    </row>
    <row r="56" ht="15" customHeight="1">
      <c r="A56" t="inlineStr">
        <is>
          <t>A 46189-2023</t>
        </is>
      </c>
      <c r="B56" s="1" t="n">
        <v>45196</v>
      </c>
      <c r="C56" s="1" t="n">
        <v>46198</v>
      </c>
      <c r="D56" t="inlineStr">
        <is>
          <t>VÄSTMANLANDS LÄN</t>
        </is>
      </c>
      <c r="E56" t="inlineStr">
        <is>
          <t>VÄSTERÅS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HYPERLINK("https://klasma.github.io/Logging_1980/artfynd/A 46189-2023 artfynd.xlsx", "A 46189-2023")</f>
        <v/>
      </c>
      <c r="T56">
        <f>HYPERLINK("https://klasma.github.io/Logging_1980/kartor/A 46189-2023 karta.png", "A 46189-2023")</f>
        <v/>
      </c>
      <c r="V56">
        <f>HYPERLINK("https://klasma.github.io/Logging_1980/klagomål/A 46189-2023 FSC-klagomål.docx", "A 46189-2023")</f>
        <v/>
      </c>
      <c r="W56">
        <f>HYPERLINK("https://klasma.github.io/Logging_1980/klagomålsmail/A 46189-2023 FSC-klagomål mail.docx", "A 46189-2023")</f>
        <v/>
      </c>
      <c r="X56">
        <f>HYPERLINK("https://klasma.github.io/Logging_1980/tillsyn/A 46189-2023 tillsynsbegäran.docx", "A 46189-2023")</f>
        <v/>
      </c>
      <c r="Y56">
        <f>HYPERLINK("https://klasma.github.io/Logging_1980/tillsynsmail/A 46189-2023 tillsynsbegäran mail.docx", "A 46189-2023")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46198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59520-2024</t>
        </is>
      </c>
      <c r="B58" s="1" t="n">
        <v>45638</v>
      </c>
      <c r="C58" s="1" t="n">
        <v>46198</v>
      </c>
      <c r="D58" t="inlineStr">
        <is>
          <t>VÄSTMANLANDS LÄN</t>
        </is>
      </c>
      <c r="E58" t="inlineStr">
        <is>
          <t>VÄSTERÅS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HYPERLINK("https://klasma.github.io/Logging_1980/artfynd/A 59520-2024 artfynd.xlsx", "A 59520-2024")</f>
        <v/>
      </c>
      <c r="T58">
        <f>HYPERLINK("https://klasma.github.io/Logging_1980/kartor/A 59520-2024 karta.png", "A 59520-2024")</f>
        <v/>
      </c>
      <c r="V58">
        <f>HYPERLINK("https://klasma.github.io/Logging_1980/klagomål/A 59520-2024 FSC-klagomål.docx", "A 59520-2024")</f>
        <v/>
      </c>
      <c r="W58">
        <f>HYPERLINK("https://klasma.github.io/Logging_1980/klagomålsmail/A 59520-2024 FSC-klagomål mail.docx", "A 59520-2024")</f>
        <v/>
      </c>
      <c r="X58">
        <f>HYPERLINK("https://klasma.github.io/Logging_1980/tillsyn/A 59520-2024 tillsynsbegäran.docx", "A 59520-2024")</f>
        <v/>
      </c>
      <c r="Y58">
        <f>HYPERLINK("https://klasma.github.io/Logging_1980/tillsynsmail/A 59520-2024 tillsynsbegäran mail.docx", "A 59520-2024")</f>
        <v/>
      </c>
    </row>
    <row r="59" ht="15" customHeight="1">
      <c r="A59" t="inlineStr">
        <is>
          <t>A 11077-2022</t>
        </is>
      </c>
      <c r="B59" s="1" t="n">
        <v>44628</v>
      </c>
      <c r="C59" s="1" t="n">
        <v>46198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21857-2022</t>
        </is>
      </c>
      <c r="B60" s="1" t="n">
        <v>44711</v>
      </c>
      <c r="C60" s="1" t="n">
        <v>46198</v>
      </c>
      <c r="D60" t="inlineStr">
        <is>
          <t>VÄSTMANLANDS LÄN</t>
        </is>
      </c>
      <c r="E60" t="inlineStr">
        <is>
          <t>VÄSTERÅS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67943-2021</t>
        </is>
      </c>
      <c r="B61" s="1" t="n">
        <v>44525</v>
      </c>
      <c r="C61" s="1" t="n">
        <v>46198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17479-2022</t>
        </is>
      </c>
      <c r="B62" s="1" t="n">
        <v>44679</v>
      </c>
      <c r="C62" s="1" t="n">
        <v>46198</v>
      </c>
      <c r="D62" t="inlineStr">
        <is>
          <t>VÄSTMANLANDS LÄN</t>
        </is>
      </c>
      <c r="E62" t="inlineStr">
        <is>
          <t>VÄSTERÅS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6585-2022</t>
        </is>
      </c>
      <c r="B63" s="1" t="n">
        <v>44601</v>
      </c>
      <c r="C63" s="1" t="n">
        <v>46198</v>
      </c>
      <c r="D63" t="inlineStr">
        <is>
          <t>VÄSTMANLANDS LÄN</t>
        </is>
      </c>
      <c r="E63" t="inlineStr">
        <is>
          <t>VÄSTERÅS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25878-2022</t>
        </is>
      </c>
      <c r="B64" s="1" t="n">
        <v>44733</v>
      </c>
      <c r="C64" s="1" t="n">
        <v>46198</v>
      </c>
      <c r="D64" t="inlineStr">
        <is>
          <t>VÄSTMANLANDS LÄN</t>
        </is>
      </c>
      <c r="E64" t="inlineStr">
        <is>
          <t>VÄSTERÅS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36507-2021</t>
        </is>
      </c>
      <c r="B65" s="1" t="n">
        <v>44391</v>
      </c>
      <c r="C65" s="1" t="n">
        <v>46198</v>
      </c>
      <c r="D65" t="inlineStr">
        <is>
          <t>VÄSTMANLANDS LÄN</t>
        </is>
      </c>
      <c r="E65" t="inlineStr">
        <is>
          <t>VÄSTERÅS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65678-2021</t>
        </is>
      </c>
      <c r="B66" s="1" t="n">
        <v>44516</v>
      </c>
      <c r="C66" s="1" t="n">
        <v>46198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43355-2021</t>
        </is>
      </c>
      <c r="B67" s="1" t="n">
        <v>44432</v>
      </c>
      <c r="C67" s="1" t="n">
        <v>46198</v>
      </c>
      <c r="D67" t="inlineStr">
        <is>
          <t>VÄSTMANLANDS LÄN</t>
        </is>
      </c>
      <c r="E67" t="inlineStr">
        <is>
          <t>VÄSTERÅS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7738-2022</t>
        </is>
      </c>
      <c r="B68" s="1" t="n">
        <v>44594</v>
      </c>
      <c r="C68" s="1" t="n">
        <v>46198</v>
      </c>
      <c r="D68" t="inlineStr">
        <is>
          <t>VÄSTMANLANDS LÄN</t>
        </is>
      </c>
      <c r="E68" t="inlineStr">
        <is>
          <t>VÄSTERÅS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19164-2022</t>
        </is>
      </c>
      <c r="B69" s="1" t="n">
        <v>44691</v>
      </c>
      <c r="C69" s="1" t="n">
        <v>46198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55693-2021</t>
        </is>
      </c>
      <c r="B70" s="1" t="n">
        <v>44476</v>
      </c>
      <c r="C70" s="1" t="n">
        <v>46198</v>
      </c>
      <c r="D70" t="inlineStr">
        <is>
          <t>VÄSTMANLANDS LÄN</t>
        </is>
      </c>
      <c r="E70" t="inlineStr">
        <is>
          <t>VÄSTERÅS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43354-2021</t>
        </is>
      </c>
      <c r="B71" s="1" t="n">
        <v>44432</v>
      </c>
      <c r="C71" s="1" t="n">
        <v>46198</v>
      </c>
      <c r="D71" t="inlineStr">
        <is>
          <t>VÄSTMANLANDS LÄN</t>
        </is>
      </c>
      <c r="E71" t="inlineStr">
        <is>
          <t>VÄSTERÅS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48055-2021</t>
        </is>
      </c>
      <c r="B72" s="1" t="n">
        <v>44449</v>
      </c>
      <c r="C72" s="1" t="n">
        <v>46198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20134-2022</t>
        </is>
      </c>
      <c r="B73" s="1" t="n">
        <v>44698</v>
      </c>
      <c r="C73" s="1" t="n">
        <v>46198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72019-2021</t>
        </is>
      </c>
      <c r="B74" s="1" t="n">
        <v>44540</v>
      </c>
      <c r="C74" s="1" t="n">
        <v>46198</v>
      </c>
      <c r="D74" t="inlineStr">
        <is>
          <t>VÄSTMANLANDS LÄN</t>
        </is>
      </c>
      <c r="E74" t="inlineStr">
        <is>
          <t>VÄSTERÅS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12138-2022</t>
        </is>
      </c>
      <c r="B75" s="1" t="n">
        <v>44636</v>
      </c>
      <c r="C75" s="1" t="n">
        <v>46198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19336-2022</t>
        </is>
      </c>
      <c r="B76" s="1" t="n">
        <v>44692</v>
      </c>
      <c r="C76" s="1" t="n">
        <v>46198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53858-2022</t>
        </is>
      </c>
      <c r="B77" s="1" t="n">
        <v>44880</v>
      </c>
      <c r="C77" s="1" t="n">
        <v>46198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46198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</v>
      </c>
      <c r="C79" s="1" t="n">
        <v>46198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836-2022</t>
        </is>
      </c>
      <c r="B80" s="1" t="n">
        <v>44571</v>
      </c>
      <c r="C80" s="1" t="n">
        <v>46198</v>
      </c>
      <c r="D80" t="inlineStr">
        <is>
          <t>VÄSTMANLANDS LÄN</t>
        </is>
      </c>
      <c r="E80" t="inlineStr">
        <is>
          <t>VÄSTERÅS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7719-2022</t>
        </is>
      </c>
      <c r="B81" s="1" t="n">
        <v>44608</v>
      </c>
      <c r="C81" s="1" t="n">
        <v>46198</v>
      </c>
      <c r="D81" t="inlineStr">
        <is>
          <t>VÄSTMANLANDS LÄN</t>
        </is>
      </c>
      <c r="E81" t="inlineStr">
        <is>
          <t>VÄSTERÅS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</v>
      </c>
      <c r="C82" s="1" t="n">
        <v>46198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15640-2022</t>
        </is>
      </c>
      <c r="B83" s="1" t="n">
        <v>44662</v>
      </c>
      <c r="C83" s="1" t="n">
        <v>46198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39206-2021</t>
        </is>
      </c>
      <c r="B84" s="1" t="n">
        <v>44413</v>
      </c>
      <c r="C84" s="1" t="n">
        <v>46198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1186-2022</t>
        </is>
      </c>
      <c r="B85" s="1" t="n">
        <v>44572</v>
      </c>
      <c r="C85" s="1" t="n">
        <v>46198</v>
      </c>
      <c r="D85" t="inlineStr">
        <is>
          <t>VÄSTMANLANDS LÄN</t>
        </is>
      </c>
      <c r="E85" t="inlineStr">
        <is>
          <t>VÄSTERÅS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22602-2022</t>
        </is>
      </c>
      <c r="B86" s="1" t="n">
        <v>44714</v>
      </c>
      <c r="C86" s="1" t="n">
        <v>46198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13367-2022</t>
        </is>
      </c>
      <c r="B87" s="1" t="n">
        <v>44645</v>
      </c>
      <c r="C87" s="1" t="n">
        <v>46198</v>
      </c>
      <c r="D87" t="inlineStr">
        <is>
          <t>VÄSTMANLANDS LÄN</t>
        </is>
      </c>
      <c r="E87" t="inlineStr">
        <is>
          <t>VÄSTERÅS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20492-2022</t>
        </is>
      </c>
      <c r="B88" s="1" t="n">
        <v>44699</v>
      </c>
      <c r="C88" s="1" t="n">
        <v>46198</v>
      </c>
      <c r="D88" t="inlineStr">
        <is>
          <t>VÄSTMANLANDS LÄN</t>
        </is>
      </c>
      <c r="E88" t="inlineStr">
        <is>
          <t>VÄSTERÅS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30761-2022</t>
        </is>
      </c>
      <c r="B89" s="1" t="n">
        <v>44764</v>
      </c>
      <c r="C89" s="1" t="n">
        <v>46198</v>
      </c>
      <c r="D89" t="inlineStr">
        <is>
          <t>VÄSTMANLANDS LÄN</t>
        </is>
      </c>
      <c r="E89" t="inlineStr">
        <is>
          <t>VÄSTERÅS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10499-2022</t>
        </is>
      </c>
      <c r="B90" s="1" t="n">
        <v>44623</v>
      </c>
      <c r="C90" s="1" t="n">
        <v>46198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30468-2022</t>
        </is>
      </c>
      <c r="B91" s="1" t="n">
        <v>44761</v>
      </c>
      <c r="C91" s="1" t="n">
        <v>46198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34073-2022</t>
        </is>
      </c>
      <c r="B92" s="1" t="n">
        <v>44791</v>
      </c>
      <c r="C92" s="1" t="n">
        <v>46198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63481-2023</t>
        </is>
      </c>
      <c r="B93" s="1" t="n">
        <v>45274</v>
      </c>
      <c r="C93" s="1" t="n">
        <v>46198</v>
      </c>
      <c r="D93" t="inlineStr">
        <is>
          <t>VÄSTMANLANDS LÄN</t>
        </is>
      </c>
      <c r="E93" t="inlineStr">
        <is>
          <t>VÄSTERÅS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46116-2022</t>
        </is>
      </c>
      <c r="B94" s="1" t="n">
        <v>44847</v>
      </c>
      <c r="C94" s="1" t="n">
        <v>46198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16497-2022</t>
        </is>
      </c>
      <c r="B95" s="1" t="n">
        <v>44671</v>
      </c>
      <c r="C95" s="1" t="n">
        <v>46198</v>
      </c>
      <c r="D95" t="inlineStr">
        <is>
          <t>VÄSTMANLANDS LÄN</t>
        </is>
      </c>
      <c r="E95" t="inlineStr">
        <is>
          <t>VÄSTERÅS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41219-2022</t>
        </is>
      </c>
      <c r="B96" s="1" t="n">
        <v>44826</v>
      </c>
      <c r="C96" s="1" t="n">
        <v>46198</v>
      </c>
      <c r="D96" t="inlineStr">
        <is>
          <t>VÄSTMANLANDS LÄN</t>
        </is>
      </c>
      <c r="E96" t="inlineStr">
        <is>
          <t>VÄSTERÅS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73601-2021</t>
        </is>
      </c>
      <c r="B97" s="1" t="n">
        <v>44552</v>
      </c>
      <c r="C97" s="1" t="n">
        <v>46198</v>
      </c>
      <c r="D97" t="inlineStr">
        <is>
          <t>VÄSTMANLANDS LÄN</t>
        </is>
      </c>
      <c r="E97" t="inlineStr">
        <is>
          <t>VÄSTERÅS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55676-2023</t>
        </is>
      </c>
      <c r="B98" s="1" t="n">
        <v>45232</v>
      </c>
      <c r="C98" s="1" t="n">
        <v>46198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37.9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46156-2022</t>
        </is>
      </c>
      <c r="B99" s="1" t="n">
        <v>44847</v>
      </c>
      <c r="C99" s="1" t="n">
        <v>46198</v>
      </c>
      <c r="D99" t="inlineStr">
        <is>
          <t>VÄSTMANLANDS LÄN</t>
        </is>
      </c>
      <c r="E99" t="inlineStr">
        <is>
          <t>VÄSTERÅS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42257-2023</t>
        </is>
      </c>
      <c r="B100" s="1" t="n">
        <v>45180</v>
      </c>
      <c r="C100" s="1" t="n">
        <v>46198</v>
      </c>
      <c r="D100" t="inlineStr">
        <is>
          <t>VÄSTMANLANDS LÄN</t>
        </is>
      </c>
      <c r="E100" t="inlineStr">
        <is>
          <t>VÄSTERÅS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55684-2023</t>
        </is>
      </c>
      <c r="B101" s="1" t="n">
        <v>45232</v>
      </c>
      <c r="C101" s="1" t="n">
        <v>46198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Övriga Aktiebolag</t>
        </is>
      </c>
      <c r="G101" t="n">
        <v>29.4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12258-2022</t>
        </is>
      </c>
      <c r="B102" s="1" t="n">
        <v>44637</v>
      </c>
      <c r="C102" s="1" t="n">
        <v>46198</v>
      </c>
      <c r="D102" t="inlineStr">
        <is>
          <t>VÄSTMANLANDS LÄN</t>
        </is>
      </c>
      <c r="E102" t="inlineStr">
        <is>
          <t>VÄSTERÅS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26556-2022</t>
        </is>
      </c>
      <c r="B103" s="1" t="n">
        <v>44739</v>
      </c>
      <c r="C103" s="1" t="n">
        <v>46198</v>
      </c>
      <c r="D103" t="inlineStr">
        <is>
          <t>VÄSTMANLANDS LÄN</t>
        </is>
      </c>
      <c r="E103" t="inlineStr">
        <is>
          <t>VÄSTERÅS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30096-2023</t>
        </is>
      </c>
      <c r="B104" s="1" t="n">
        <v>45110</v>
      </c>
      <c r="C104" s="1" t="n">
        <v>46198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74314-2021</t>
        </is>
      </c>
      <c r="B105" s="1" t="n">
        <v>44559</v>
      </c>
      <c r="C105" s="1" t="n">
        <v>46198</v>
      </c>
      <c r="D105" t="inlineStr">
        <is>
          <t>VÄSTMANLANDS LÄN</t>
        </is>
      </c>
      <c r="E105" t="inlineStr">
        <is>
          <t>VÄSTERÅS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8357-2022</t>
        </is>
      </c>
      <c r="B106" s="1" t="n">
        <v>44610</v>
      </c>
      <c r="C106" s="1" t="n">
        <v>46198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8346-2022</t>
        </is>
      </c>
      <c r="B107" s="1" t="n">
        <v>44610</v>
      </c>
      <c r="C107" s="1" t="n">
        <v>46198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15355-2023</t>
        </is>
      </c>
      <c r="B108" s="1" t="n">
        <v>45019</v>
      </c>
      <c r="C108" s="1" t="n">
        <v>46198</v>
      </c>
      <c r="D108" t="inlineStr">
        <is>
          <t>VÄSTMANLANDS LÄN</t>
        </is>
      </c>
      <c r="E108" t="inlineStr">
        <is>
          <t>VÄSTERÅS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</v>
      </c>
      <c r="C109" s="1" t="n">
        <v>46198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15622-2022</t>
        </is>
      </c>
      <c r="B110" s="1" t="n">
        <v>44662</v>
      </c>
      <c r="C110" s="1" t="n">
        <v>46198</v>
      </c>
      <c r="D110" t="inlineStr">
        <is>
          <t>VÄSTMANLANDS LÄN</t>
        </is>
      </c>
      <c r="E110" t="inlineStr">
        <is>
          <t>VÄSTERÅS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5724-2023</t>
        </is>
      </c>
      <c r="B111" s="1" t="n">
        <v>44961</v>
      </c>
      <c r="C111" s="1" t="n">
        <v>46198</v>
      </c>
      <c r="D111" t="inlineStr">
        <is>
          <t>VÄSTMANLANDS LÄN</t>
        </is>
      </c>
      <c r="E111" t="inlineStr">
        <is>
          <t>VÄSTERÅS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46198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22832-2023</t>
        </is>
      </c>
      <c r="B113" s="1" t="n">
        <v>45072</v>
      </c>
      <c r="C113" s="1" t="n">
        <v>46198</v>
      </c>
      <c r="D113" t="inlineStr">
        <is>
          <t>VÄSTMANLANDS LÄN</t>
        </is>
      </c>
      <c r="E113" t="inlineStr">
        <is>
          <t>VÄSTERÅS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38538-2023</t>
        </is>
      </c>
      <c r="B114" s="1" t="n">
        <v>45162</v>
      </c>
      <c r="C114" s="1" t="n">
        <v>46198</v>
      </c>
      <c r="D114" t="inlineStr">
        <is>
          <t>VÄSTMANLANDS LÄN</t>
        </is>
      </c>
      <c r="E114" t="inlineStr">
        <is>
          <t>VÄSTERÅS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7437-2025</t>
        </is>
      </c>
      <c r="B115" s="1" t="n">
        <v>45705</v>
      </c>
      <c r="C115" s="1" t="n">
        <v>46198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10912-2024</t>
        </is>
      </c>
      <c r="B116" s="1" t="n">
        <v>45370</v>
      </c>
      <c r="C116" s="1" t="n">
        <v>46198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51951-2023</t>
        </is>
      </c>
      <c r="B117" s="1" t="n">
        <v>45223</v>
      </c>
      <c r="C117" s="1" t="n">
        <v>46198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56945-2024</t>
        </is>
      </c>
      <c r="B118" s="1" t="n">
        <v>45628</v>
      </c>
      <c r="C118" s="1" t="n">
        <v>46198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59536-2024</t>
        </is>
      </c>
      <c r="B119" s="1" t="n">
        <v>45638</v>
      </c>
      <c r="C119" s="1" t="n">
        <v>46198</v>
      </c>
      <c r="D119" t="inlineStr">
        <is>
          <t>VÄSTMANLANDS LÄN</t>
        </is>
      </c>
      <c r="E119" t="inlineStr">
        <is>
          <t>VÄSTERÅS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52764-2022</t>
        </is>
      </c>
      <c r="B120" s="1" t="n">
        <v>44875</v>
      </c>
      <c r="C120" s="1" t="n">
        <v>46198</v>
      </c>
      <c r="D120" t="inlineStr">
        <is>
          <t>VÄSTMANLANDS LÄN</t>
        </is>
      </c>
      <c r="E120" t="inlineStr">
        <is>
          <t>VÄSTERÅS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1700-2023</t>
        </is>
      </c>
      <c r="B121" s="1" t="n">
        <v>44936</v>
      </c>
      <c r="C121" s="1" t="n">
        <v>46198</v>
      </c>
      <c r="D121" t="inlineStr">
        <is>
          <t>VÄSTMANLANDS LÄN</t>
        </is>
      </c>
      <c r="E121" t="inlineStr">
        <is>
          <t>VÄSTERÅS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23455-2024</t>
        </is>
      </c>
      <c r="B122" s="1" t="n">
        <v>45453</v>
      </c>
      <c r="C122" s="1" t="n">
        <v>46198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31618-2024</t>
        </is>
      </c>
      <c r="B123" s="1" t="n">
        <v>45506</v>
      </c>
      <c r="C123" s="1" t="n">
        <v>46198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8541-2023</t>
        </is>
      </c>
      <c r="B124" s="1" t="n">
        <v>44977</v>
      </c>
      <c r="C124" s="1" t="n">
        <v>46198</v>
      </c>
      <c r="D124" t="inlineStr">
        <is>
          <t>VÄSTMANLANDS LÄN</t>
        </is>
      </c>
      <c r="E124" t="inlineStr">
        <is>
          <t>VÄSTERÅS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15329-2023</t>
        </is>
      </c>
      <c r="B125" s="1" t="n">
        <v>45019</v>
      </c>
      <c r="C125" s="1" t="n">
        <v>46198</v>
      </c>
      <c r="D125" t="inlineStr">
        <is>
          <t>VÄSTMANLANDS LÄN</t>
        </is>
      </c>
      <c r="E125" t="inlineStr">
        <is>
          <t>VÄSTERÅS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11137-2023</t>
        </is>
      </c>
      <c r="B126" s="1" t="n">
        <v>44987</v>
      </c>
      <c r="C126" s="1" t="n">
        <v>46198</v>
      </c>
      <c r="D126" t="inlineStr">
        <is>
          <t>VÄSTMANLANDS LÄN</t>
        </is>
      </c>
      <c r="E126" t="inlineStr">
        <is>
          <t>VÄSTERÅS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12612-2023</t>
        </is>
      </c>
      <c r="B127" s="1" t="n">
        <v>44999</v>
      </c>
      <c r="C127" s="1" t="n">
        <v>46198</v>
      </c>
      <c r="D127" t="inlineStr">
        <is>
          <t>VÄSTMANLANDS LÄN</t>
        </is>
      </c>
      <c r="E127" t="inlineStr">
        <is>
          <t>VÄSTERÅS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64207-2023</t>
        </is>
      </c>
      <c r="B128" s="1" t="n">
        <v>45279</v>
      </c>
      <c r="C128" s="1" t="n">
        <v>46198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63483-2023</t>
        </is>
      </c>
      <c r="B129" s="1" t="n">
        <v>45274</v>
      </c>
      <c r="C129" s="1" t="n">
        <v>46198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24121-2024</t>
        </is>
      </c>
      <c r="B130" s="1" t="n">
        <v>45456</v>
      </c>
      <c r="C130" s="1" t="n">
        <v>46198</v>
      </c>
      <c r="D130" t="inlineStr">
        <is>
          <t>VÄSTMANLANDS LÄN</t>
        </is>
      </c>
      <c r="E130" t="inlineStr">
        <is>
          <t>VÄSTERÅS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11950-2022</t>
        </is>
      </c>
      <c r="B131" s="1" t="n">
        <v>44635</v>
      </c>
      <c r="C131" s="1" t="n">
        <v>46198</v>
      </c>
      <c r="D131" t="inlineStr">
        <is>
          <t>VÄSTMANLANDS LÄN</t>
        </is>
      </c>
      <c r="E131" t="inlineStr">
        <is>
          <t>VÄSTERÅS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58577-2023</t>
        </is>
      </c>
      <c r="B132" s="1" t="n">
        <v>45251</v>
      </c>
      <c r="C132" s="1" t="n">
        <v>46198</v>
      </c>
      <c r="D132" t="inlineStr">
        <is>
          <t>VÄSTMANLANDS LÄN</t>
        </is>
      </c>
      <c r="E132" t="inlineStr">
        <is>
          <t>VÄSTERÅS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27722-2022</t>
        </is>
      </c>
      <c r="B133" s="1" t="n">
        <v>44743</v>
      </c>
      <c r="C133" s="1" t="n">
        <v>46198</v>
      </c>
      <c r="D133" t="inlineStr">
        <is>
          <t>VÄSTMANLANDS LÄN</t>
        </is>
      </c>
      <c r="E133" t="inlineStr">
        <is>
          <t>VÄSTERÅS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32998-2023</t>
        </is>
      </c>
      <c r="B134" s="1" t="n">
        <v>45125</v>
      </c>
      <c r="C134" s="1" t="n">
        <v>46198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64208-2023</t>
        </is>
      </c>
      <c r="B135" s="1" t="n">
        <v>45279</v>
      </c>
      <c r="C135" s="1" t="n">
        <v>46198</v>
      </c>
      <c r="D135" t="inlineStr">
        <is>
          <t>VÄSTMANLANDS LÄN</t>
        </is>
      </c>
      <c r="E135" t="inlineStr">
        <is>
          <t>VÄSTERÅS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38823-2025</t>
        </is>
      </c>
      <c r="B136" s="1" t="n">
        <v>45887</v>
      </c>
      <c r="C136" s="1" t="n">
        <v>46198</v>
      </c>
      <c r="D136" t="inlineStr">
        <is>
          <t>VÄSTMANLANDS LÄN</t>
        </is>
      </c>
      <c r="E136" t="inlineStr">
        <is>
          <t>VÄSTERÅS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39127-2022</t>
        </is>
      </c>
      <c r="B137" s="1" t="n">
        <v>44816</v>
      </c>
      <c r="C137" s="1" t="n">
        <v>46198</v>
      </c>
      <c r="D137" t="inlineStr">
        <is>
          <t>VÄSTMANLANDS LÄN</t>
        </is>
      </c>
      <c r="E137" t="inlineStr">
        <is>
          <t>VÄSTERÅS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38822-2025</t>
        </is>
      </c>
      <c r="B138" s="1" t="n">
        <v>45887</v>
      </c>
      <c r="C138" s="1" t="n">
        <v>46198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49232-2024</t>
        </is>
      </c>
      <c r="B139" s="1" t="n">
        <v>45595</v>
      </c>
      <c r="C139" s="1" t="n">
        <v>46198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32053-2023</t>
        </is>
      </c>
      <c r="B140" s="1" t="n">
        <v>45119</v>
      </c>
      <c r="C140" s="1" t="n">
        <v>46198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13376-2022</t>
        </is>
      </c>
      <c r="B141" s="1" t="n">
        <v>44645</v>
      </c>
      <c r="C141" s="1" t="n">
        <v>46198</v>
      </c>
      <c r="D141" t="inlineStr">
        <is>
          <t>VÄSTMANLANDS LÄN</t>
        </is>
      </c>
      <c r="E141" t="inlineStr">
        <is>
          <t>VÄSTERÅS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31106-2025</t>
        </is>
      </c>
      <c r="B142" s="1" t="n">
        <v>45832</v>
      </c>
      <c r="C142" s="1" t="n">
        <v>46198</v>
      </c>
      <c r="D142" t="inlineStr">
        <is>
          <t>VÄSTMANLANDS LÄN</t>
        </is>
      </c>
      <c r="E142" t="inlineStr">
        <is>
          <t>VÄSTERÅS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13614-2022</t>
        </is>
      </c>
      <c r="B143" s="1" t="n">
        <v>44648</v>
      </c>
      <c r="C143" s="1" t="n">
        <v>46198</v>
      </c>
      <c r="D143" t="inlineStr">
        <is>
          <t>VÄSTMANLANDS LÄN</t>
        </is>
      </c>
      <c r="E143" t="inlineStr">
        <is>
          <t>VÄSTERÅS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51223-2023</t>
        </is>
      </c>
      <c r="B144" s="1" t="n">
        <v>45219</v>
      </c>
      <c r="C144" s="1" t="n">
        <v>46198</v>
      </c>
      <c r="D144" t="inlineStr">
        <is>
          <t>VÄSTMANLANDS LÄN</t>
        </is>
      </c>
      <c r="E144" t="inlineStr">
        <is>
          <t>VÄSTERÅS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11983-2022</t>
        </is>
      </c>
      <c r="B145" s="1" t="n">
        <v>44635</v>
      </c>
      <c r="C145" s="1" t="n">
        <v>46198</v>
      </c>
      <c r="D145" t="inlineStr">
        <is>
          <t>VÄSTMANLANDS LÄN</t>
        </is>
      </c>
      <c r="E145" t="inlineStr">
        <is>
          <t>VÄSTERÅS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11989-2022</t>
        </is>
      </c>
      <c r="B146" s="1" t="n">
        <v>44635</v>
      </c>
      <c r="C146" s="1" t="n">
        <v>46198</v>
      </c>
      <c r="D146" t="inlineStr">
        <is>
          <t>VÄSTMANLANDS LÄN</t>
        </is>
      </c>
      <c r="E146" t="inlineStr">
        <is>
          <t>VÄSTERÅS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42894-2025</t>
        </is>
      </c>
      <c r="B147" s="1" t="n">
        <v>45908</v>
      </c>
      <c r="C147" s="1" t="n">
        <v>46198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42899-2025</t>
        </is>
      </c>
      <c r="B148" s="1" t="n">
        <v>45908</v>
      </c>
      <c r="C148" s="1" t="n">
        <v>46198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42898-2025</t>
        </is>
      </c>
      <c r="B149" s="1" t="n">
        <v>45908</v>
      </c>
      <c r="C149" s="1" t="n">
        <v>46198</v>
      </c>
      <c r="D149" t="inlineStr">
        <is>
          <t>VÄSTMANLANDS LÄN</t>
        </is>
      </c>
      <c r="E149" t="inlineStr">
        <is>
          <t>VÄSTERÅS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59765-2023</t>
        </is>
      </c>
      <c r="B150" s="1" t="n">
        <v>45257</v>
      </c>
      <c r="C150" s="1" t="n">
        <v>46198</v>
      </c>
      <c r="D150" t="inlineStr">
        <is>
          <t>VÄSTMANLANDS LÄN</t>
        </is>
      </c>
      <c r="E150" t="inlineStr">
        <is>
          <t>VÄSTERÅS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61069-2022</t>
        </is>
      </c>
      <c r="B151" s="1" t="n">
        <v>44908</v>
      </c>
      <c r="C151" s="1" t="n">
        <v>46198</v>
      </c>
      <c r="D151" t="inlineStr">
        <is>
          <t>VÄSTMANLANDS LÄN</t>
        </is>
      </c>
      <c r="E151" t="inlineStr">
        <is>
          <t>VÄSTERÅS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41344-2023</t>
        </is>
      </c>
      <c r="B152" s="1" t="n">
        <v>45174</v>
      </c>
      <c r="C152" s="1" t="n">
        <v>46198</v>
      </c>
      <c r="D152" t="inlineStr">
        <is>
          <t>VÄSTMANLANDS LÄN</t>
        </is>
      </c>
      <c r="E152" t="inlineStr">
        <is>
          <t>VÄSTERÅS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16035-2023</t>
        </is>
      </c>
      <c r="B153" s="1" t="n">
        <v>45027</v>
      </c>
      <c r="C153" s="1" t="n">
        <v>46198</v>
      </c>
      <c r="D153" t="inlineStr">
        <is>
          <t>VÄSTMANLANDS LÄN</t>
        </is>
      </c>
      <c r="E153" t="inlineStr">
        <is>
          <t>VÄSTERÅS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16037-2023</t>
        </is>
      </c>
      <c r="B154" s="1" t="n">
        <v>45027</v>
      </c>
      <c r="C154" s="1" t="n">
        <v>46198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41114-2022</t>
        </is>
      </c>
      <c r="B155" s="1" t="n">
        <v>44825</v>
      </c>
      <c r="C155" s="1" t="n">
        <v>46198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52015-2024</t>
        </is>
      </c>
      <c r="B156" s="1" t="n">
        <v>45607</v>
      </c>
      <c r="C156" s="1" t="n">
        <v>46198</v>
      </c>
      <c r="D156" t="inlineStr">
        <is>
          <t>VÄSTMANLANDS LÄN</t>
        </is>
      </c>
      <c r="E156" t="inlineStr">
        <is>
          <t>VÄSTERÅS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46799-2025</t>
        </is>
      </c>
      <c r="B157" s="1" t="n">
        <v>45926</v>
      </c>
      <c r="C157" s="1" t="n">
        <v>46198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Övriga statliga verk och myndigheter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12649-2023</t>
        </is>
      </c>
      <c r="B158" s="1" t="n">
        <v>44999</v>
      </c>
      <c r="C158" s="1" t="n">
        <v>46198</v>
      </c>
      <c r="D158" t="inlineStr">
        <is>
          <t>VÄSTMANLANDS LÄN</t>
        </is>
      </c>
      <c r="E158" t="inlineStr">
        <is>
          <t>VÄSTERÅS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47101-2025</t>
        </is>
      </c>
      <c r="B159" s="1" t="n">
        <v>45929</v>
      </c>
      <c r="C159" s="1" t="n">
        <v>46198</v>
      </c>
      <c r="D159" t="inlineStr">
        <is>
          <t>VÄSTMANLANDS LÄN</t>
        </is>
      </c>
      <c r="E159" t="inlineStr">
        <is>
          <t>VÄSTERÅS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49240-2025</t>
        </is>
      </c>
      <c r="B160" s="1" t="n">
        <v>45938</v>
      </c>
      <c r="C160" s="1" t="n">
        <v>46198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19927-2026</t>
        </is>
      </c>
      <c r="B161" s="1" t="n">
        <v>46136</v>
      </c>
      <c r="C161" s="1" t="n">
        <v>46198</v>
      </c>
      <c r="D161" t="inlineStr">
        <is>
          <t>VÄSTMANLANDS LÄN</t>
        </is>
      </c>
      <c r="E161" t="inlineStr">
        <is>
          <t>VÄSTERÅS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51230-2023</t>
        </is>
      </c>
      <c r="B162" s="1" t="n">
        <v>45219</v>
      </c>
      <c r="C162" s="1" t="n">
        <v>46198</v>
      </c>
      <c r="D162" t="inlineStr">
        <is>
          <t>VÄSTMANLANDS LÄN</t>
        </is>
      </c>
      <c r="E162" t="inlineStr">
        <is>
          <t>VÄSTERÅS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18119-2025</t>
        </is>
      </c>
      <c r="B163" s="1" t="n">
        <v>45761</v>
      </c>
      <c r="C163" s="1" t="n">
        <v>46198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18126-2025</t>
        </is>
      </c>
      <c r="B164" s="1" t="n">
        <v>45761</v>
      </c>
      <c r="C164" s="1" t="n">
        <v>46198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5123-2023</t>
        </is>
      </c>
      <c r="B165" s="1" t="n">
        <v>44958</v>
      </c>
      <c r="C165" s="1" t="n">
        <v>46198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3118-2022</t>
        </is>
      </c>
      <c r="B166" s="1" t="n">
        <v>44582</v>
      </c>
      <c r="C166" s="1" t="n">
        <v>46198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38381-2022</t>
        </is>
      </c>
      <c r="B167" s="1" t="n">
        <v>44812</v>
      </c>
      <c r="C167" s="1" t="n">
        <v>46198</v>
      </c>
      <c r="D167" t="inlineStr">
        <is>
          <t>VÄSTMANLANDS LÄN</t>
        </is>
      </c>
      <c r="E167" t="inlineStr">
        <is>
          <t>VÄSTERÅS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50565-2025</t>
        </is>
      </c>
      <c r="B168" s="1" t="n">
        <v>45945</v>
      </c>
      <c r="C168" s="1" t="n">
        <v>46198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6277-2022</t>
        </is>
      </c>
      <c r="B169" s="1" t="n">
        <v>44600</v>
      </c>
      <c r="C169" s="1" t="n">
        <v>46198</v>
      </c>
      <c r="D169" t="inlineStr">
        <is>
          <t>VÄSTMANLANDS LÄN</t>
        </is>
      </c>
      <c r="E169" t="inlineStr">
        <is>
          <t>VÄSTERÅS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50564-2025</t>
        </is>
      </c>
      <c r="B170" s="1" t="n">
        <v>45945</v>
      </c>
      <c r="C170" s="1" t="n">
        <v>46198</v>
      </c>
      <c r="D170" t="inlineStr">
        <is>
          <t>VÄSTMANLANDS LÄN</t>
        </is>
      </c>
      <c r="E170" t="inlineStr">
        <is>
          <t>VÄSTERÅS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51200-2025</t>
        </is>
      </c>
      <c r="B171" s="1" t="n">
        <v>45947</v>
      </c>
      <c r="C171" s="1" t="n">
        <v>46198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statliga verk och myndigheter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52270-2025</t>
        </is>
      </c>
      <c r="B172" s="1" t="n">
        <v>45953</v>
      </c>
      <c r="C172" s="1" t="n">
        <v>46198</v>
      </c>
      <c r="D172" t="inlineStr">
        <is>
          <t>VÄSTMANLANDS LÄN</t>
        </is>
      </c>
      <c r="E172" t="inlineStr">
        <is>
          <t>VÄSTERÅS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17258-2024</t>
        </is>
      </c>
      <c r="B173" s="1" t="n">
        <v>45414</v>
      </c>
      <c r="C173" s="1" t="n">
        <v>46198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26584-2026</t>
        </is>
      </c>
      <c r="B174" s="1" t="n">
        <v>46183</v>
      </c>
      <c r="C174" s="1" t="n">
        <v>46198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Allmännings- och besparingsskogar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52263-2025</t>
        </is>
      </c>
      <c r="B175" s="1" t="n">
        <v>45953</v>
      </c>
      <c r="C175" s="1" t="n">
        <v>46198</v>
      </c>
      <c r="D175" t="inlineStr">
        <is>
          <t>VÄSTMANLANDS LÄN</t>
        </is>
      </c>
      <c r="E175" t="inlineStr">
        <is>
          <t>VÄSTERÅS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52268-2025</t>
        </is>
      </c>
      <c r="B176" s="1" t="n">
        <v>45953</v>
      </c>
      <c r="C176" s="1" t="n">
        <v>46198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52272-2025</t>
        </is>
      </c>
      <c r="B177" s="1" t="n">
        <v>45953</v>
      </c>
      <c r="C177" s="1" t="n">
        <v>46198</v>
      </c>
      <c r="D177" t="inlineStr">
        <is>
          <t>VÄSTMANLANDS LÄN</t>
        </is>
      </c>
      <c r="E177" t="inlineStr">
        <is>
          <t>VÄSTERÅS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18465-2023</t>
        </is>
      </c>
      <c r="B178" s="1" t="n">
        <v>45042</v>
      </c>
      <c r="C178" s="1" t="n">
        <v>46198</v>
      </c>
      <c r="D178" t="inlineStr">
        <is>
          <t>VÄSTMANLANDS LÄN</t>
        </is>
      </c>
      <c r="E178" t="inlineStr">
        <is>
          <t>VÄSTERÅS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64202-2023</t>
        </is>
      </c>
      <c r="B179" s="1" t="n">
        <v>45279</v>
      </c>
      <c r="C179" s="1" t="n">
        <v>46198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26751-2026</t>
        </is>
      </c>
      <c r="B180" s="1" t="n">
        <v>46184</v>
      </c>
      <c r="C180" s="1" t="n">
        <v>46198</v>
      </c>
      <c r="D180" t="inlineStr">
        <is>
          <t>VÄSTMANLANDS LÄN</t>
        </is>
      </c>
      <c r="E180" t="inlineStr">
        <is>
          <t>VÄSTERÅS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26743-2026</t>
        </is>
      </c>
      <c r="B181" s="1" t="n">
        <v>46184</v>
      </c>
      <c r="C181" s="1" t="n">
        <v>46198</v>
      </c>
      <c r="D181" t="inlineStr">
        <is>
          <t>VÄSTMANLANDS LÄN</t>
        </is>
      </c>
      <c r="E181" t="inlineStr">
        <is>
          <t>VÄSTERÅS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26745-2026</t>
        </is>
      </c>
      <c r="B182" s="1" t="n">
        <v>46184</v>
      </c>
      <c r="C182" s="1" t="n">
        <v>46198</v>
      </c>
      <c r="D182" t="inlineStr">
        <is>
          <t>VÄSTMANLANDS LÄN</t>
        </is>
      </c>
      <c r="E182" t="inlineStr">
        <is>
          <t>VÄSTERÅS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24317-2026</t>
        </is>
      </c>
      <c r="B183" s="1" t="n">
        <v>46169</v>
      </c>
      <c r="C183" s="1" t="n">
        <v>46198</v>
      </c>
      <c r="D183" t="inlineStr">
        <is>
          <t>VÄSTMANLANDS LÄN</t>
        </is>
      </c>
      <c r="E183" t="inlineStr">
        <is>
          <t>VÄSTERÅS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39810-2024</t>
        </is>
      </c>
      <c r="B184" s="1" t="n">
        <v>45553</v>
      </c>
      <c r="C184" s="1" t="n">
        <v>46198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38436-2023</t>
        </is>
      </c>
      <c r="B185" s="1" t="n">
        <v>45160</v>
      </c>
      <c r="C185" s="1" t="n">
        <v>46198</v>
      </c>
      <c r="D185" t="inlineStr">
        <is>
          <t>VÄSTMANLANDS LÄN</t>
        </is>
      </c>
      <c r="E185" t="inlineStr">
        <is>
          <t>VÄSTERÅS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15316-2022</t>
        </is>
      </c>
      <c r="B186" s="1" t="n">
        <v>44659</v>
      </c>
      <c r="C186" s="1" t="n">
        <v>46198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27301-2026</t>
        </is>
      </c>
      <c r="B187" s="1" t="n">
        <v>46188</v>
      </c>
      <c r="C187" s="1" t="n">
        <v>46198</v>
      </c>
      <c r="D187" t="inlineStr">
        <is>
          <t>VÄSTMANLANDS LÄN</t>
        </is>
      </c>
      <c r="E187" t="inlineStr">
        <is>
          <t>VÄSTERÅS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5604-2022</t>
        </is>
      </c>
      <c r="B188" s="1" t="n">
        <v>44595</v>
      </c>
      <c r="C188" s="1" t="n">
        <v>46198</v>
      </c>
      <c r="D188" t="inlineStr">
        <is>
          <t>VÄSTMANLANDS LÄN</t>
        </is>
      </c>
      <c r="E188" t="inlineStr">
        <is>
          <t>VÄSTERÅS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56016-2025</t>
        </is>
      </c>
      <c r="B189" s="1" t="n">
        <v>45973</v>
      </c>
      <c r="C189" s="1" t="n">
        <v>46198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55980-2025</t>
        </is>
      </c>
      <c r="B190" s="1" t="n">
        <v>45973</v>
      </c>
      <c r="C190" s="1" t="n">
        <v>46198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56300-2025</t>
        </is>
      </c>
      <c r="B191" s="1" t="n">
        <v>45974</v>
      </c>
      <c r="C191" s="1" t="n">
        <v>46198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57102-2025</t>
        </is>
      </c>
      <c r="B192" s="1" t="n">
        <v>45979</v>
      </c>
      <c r="C192" s="1" t="n">
        <v>46198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27551-2026</t>
        </is>
      </c>
      <c r="B193" s="1" t="n">
        <v>46190</v>
      </c>
      <c r="C193" s="1" t="n">
        <v>46198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57114-2025</t>
        </is>
      </c>
      <c r="B194" s="1" t="n">
        <v>45979</v>
      </c>
      <c r="C194" s="1" t="n">
        <v>46198</v>
      </c>
      <c r="D194" t="inlineStr">
        <is>
          <t>VÄSTMANLANDS LÄN</t>
        </is>
      </c>
      <c r="E194" t="inlineStr">
        <is>
          <t>VÄSTERÅS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21758-2026</t>
        </is>
      </c>
      <c r="B195" s="1" t="n">
        <v>46149</v>
      </c>
      <c r="C195" s="1" t="n">
        <v>46198</v>
      </c>
      <c r="D195" t="inlineStr">
        <is>
          <t>VÄSTMANLANDS LÄN</t>
        </is>
      </c>
      <c r="E195" t="inlineStr">
        <is>
          <t>VÄSTERÅS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59142-2025</t>
        </is>
      </c>
      <c r="B196" s="1" t="n">
        <v>45988</v>
      </c>
      <c r="C196" s="1" t="n">
        <v>46198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28126-2026</t>
        </is>
      </c>
      <c r="B197" s="1" t="n">
        <v>46195</v>
      </c>
      <c r="C197" s="1" t="n">
        <v>46198</v>
      </c>
      <c r="D197" t="inlineStr">
        <is>
          <t>VÄSTMANLANDS LÄN</t>
        </is>
      </c>
      <c r="E197" t="inlineStr">
        <is>
          <t>VÄSTERÅS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63851-2021</t>
        </is>
      </c>
      <c r="B198" s="1" t="n">
        <v>44509</v>
      </c>
      <c r="C198" s="1" t="n">
        <v>46198</v>
      </c>
      <c r="D198" t="inlineStr">
        <is>
          <t>VÄSTMANLANDS LÄN</t>
        </is>
      </c>
      <c r="E198" t="inlineStr">
        <is>
          <t>VÄSTERÅS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23641-2023</t>
        </is>
      </c>
      <c r="B199" s="1" t="n">
        <v>45077</v>
      </c>
      <c r="C199" s="1" t="n">
        <v>46198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60797-2022</t>
        </is>
      </c>
      <c r="B200" s="1" t="n">
        <v>44914</v>
      </c>
      <c r="C200" s="1" t="n">
        <v>46198</v>
      </c>
      <c r="D200" t="inlineStr">
        <is>
          <t>VÄSTMANLANDS LÄN</t>
        </is>
      </c>
      <c r="E200" t="inlineStr">
        <is>
          <t>VÄSTERÅS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22370-2026</t>
        </is>
      </c>
      <c r="B201" s="1" t="n">
        <v>46154</v>
      </c>
      <c r="C201" s="1" t="n">
        <v>46198</v>
      </c>
      <c r="D201" t="inlineStr">
        <is>
          <t>VÄSTMANLANDS LÄN</t>
        </is>
      </c>
      <c r="E201" t="inlineStr">
        <is>
          <t>VÄSTERÅS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18457-2023</t>
        </is>
      </c>
      <c r="B202" s="1" t="n">
        <v>45042</v>
      </c>
      <c r="C202" s="1" t="n">
        <v>46198</v>
      </c>
      <c r="D202" t="inlineStr">
        <is>
          <t>VÄSTMANLANDS LÄN</t>
        </is>
      </c>
      <c r="E202" t="inlineStr">
        <is>
          <t>VÄSTERÅS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22978-2022</t>
        </is>
      </c>
      <c r="B203" s="1" t="n">
        <v>44717</v>
      </c>
      <c r="C203" s="1" t="n">
        <v>46198</v>
      </c>
      <c r="D203" t="inlineStr">
        <is>
          <t>VÄSTMANLANDS LÄN</t>
        </is>
      </c>
      <c r="E203" t="inlineStr">
        <is>
          <t>VÄSTERÅS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22287-2026</t>
        </is>
      </c>
      <c r="B204" s="1" t="n">
        <v>46154</v>
      </c>
      <c r="C204" s="1" t="n">
        <v>46198</v>
      </c>
      <c r="D204" t="inlineStr">
        <is>
          <t>VÄSTMANLANDS LÄN</t>
        </is>
      </c>
      <c r="E204" t="inlineStr">
        <is>
          <t>VÄSTERÅS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22291-2026</t>
        </is>
      </c>
      <c r="B205" s="1" t="n">
        <v>46154</v>
      </c>
      <c r="C205" s="1" t="n">
        <v>46198</v>
      </c>
      <c r="D205" t="inlineStr">
        <is>
          <t>VÄSTMANLANDS LÄN</t>
        </is>
      </c>
      <c r="E205" t="inlineStr">
        <is>
          <t>VÄSTERÅS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22294-2026</t>
        </is>
      </c>
      <c r="B206" s="1" t="n">
        <v>46154</v>
      </c>
      <c r="C206" s="1" t="n">
        <v>46198</v>
      </c>
      <c r="D206" t="inlineStr">
        <is>
          <t>VÄSTMANLANDS LÄN</t>
        </is>
      </c>
      <c r="E206" t="inlineStr">
        <is>
          <t>VÄSTERÅS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51219-2023</t>
        </is>
      </c>
      <c r="B207" s="1" t="n">
        <v>45219</v>
      </c>
      <c r="C207" s="1" t="n">
        <v>46198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28341-2026</t>
        </is>
      </c>
      <c r="B208" s="1" t="n">
        <v>46196</v>
      </c>
      <c r="C208" s="1" t="n">
        <v>46198</v>
      </c>
      <c r="D208" t="inlineStr">
        <is>
          <t>VÄSTMANLANDS LÄN</t>
        </is>
      </c>
      <c r="E208" t="inlineStr">
        <is>
          <t>VÄSTERÅS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27271-2026</t>
        </is>
      </c>
      <c r="B209" s="1" t="n">
        <v>46188</v>
      </c>
      <c r="C209" s="1" t="n">
        <v>46198</v>
      </c>
      <c r="D209" t="inlineStr">
        <is>
          <t>VÄSTMANLANDS LÄN</t>
        </is>
      </c>
      <c r="E209" t="inlineStr">
        <is>
          <t>VÄSTERÅS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22293-2026</t>
        </is>
      </c>
      <c r="B210" s="1" t="n">
        <v>46154</v>
      </c>
      <c r="C210" s="1" t="n">
        <v>46198</v>
      </c>
      <c r="D210" t="inlineStr">
        <is>
          <t>VÄSTMANLANDS LÄN</t>
        </is>
      </c>
      <c r="E210" t="inlineStr">
        <is>
          <t>VÄSTERÅS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17725-2022</t>
        </is>
      </c>
      <c r="B211" s="1" t="n">
        <v>44680</v>
      </c>
      <c r="C211" s="1" t="n">
        <v>46198</v>
      </c>
      <c r="D211" t="inlineStr">
        <is>
          <t>VÄSTMANLANDS LÄN</t>
        </is>
      </c>
      <c r="E211" t="inlineStr">
        <is>
          <t>VÄSTERÅS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41469-2024</t>
        </is>
      </c>
      <c r="B212" s="1" t="n">
        <v>45560</v>
      </c>
      <c r="C212" s="1" t="n">
        <v>46198</v>
      </c>
      <c r="D212" t="inlineStr">
        <is>
          <t>VÄSTMANLANDS LÄN</t>
        </is>
      </c>
      <c r="E212" t="inlineStr">
        <is>
          <t>VÄSTERÅS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982-2026</t>
        </is>
      </c>
      <c r="B213" s="1" t="n">
        <v>46030</v>
      </c>
      <c r="C213" s="1" t="n">
        <v>46198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Allmännings- och besparingsskogar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32350-2023</t>
        </is>
      </c>
      <c r="B214" s="1" t="n">
        <v>45110</v>
      </c>
      <c r="C214" s="1" t="n">
        <v>46198</v>
      </c>
      <c r="D214" t="inlineStr">
        <is>
          <t>VÄSTMANLANDS LÄN</t>
        </is>
      </c>
      <c r="E214" t="inlineStr">
        <is>
          <t>VÄSTERÅS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12131-2022</t>
        </is>
      </c>
      <c r="B215" s="1" t="n">
        <v>44636</v>
      </c>
      <c r="C215" s="1" t="n">
        <v>46198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56902-2024</t>
        </is>
      </c>
      <c r="B216" s="1" t="n">
        <v>45628</v>
      </c>
      <c r="C216" s="1" t="n">
        <v>46198</v>
      </c>
      <c r="D216" t="inlineStr">
        <is>
          <t>VÄSTMANLANDS LÄN</t>
        </is>
      </c>
      <c r="E216" t="inlineStr">
        <is>
          <t>VÄSTERÅS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21926-2024</t>
        </is>
      </c>
      <c r="B217" s="1" t="n">
        <v>45443</v>
      </c>
      <c r="C217" s="1" t="n">
        <v>46198</v>
      </c>
      <c r="D217" t="inlineStr">
        <is>
          <t>VÄSTMANLANDS LÄN</t>
        </is>
      </c>
      <c r="E217" t="inlineStr">
        <is>
          <t>VÄSTERÅS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10225-2023</t>
        </is>
      </c>
      <c r="B218" s="1" t="n">
        <v>44986</v>
      </c>
      <c r="C218" s="1" t="n">
        <v>46198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57873-2022</t>
        </is>
      </c>
      <c r="B219" s="1" t="n">
        <v>44899</v>
      </c>
      <c r="C219" s="1" t="n">
        <v>46198</v>
      </c>
      <c r="D219" t="inlineStr">
        <is>
          <t>VÄSTMANLANDS LÄN</t>
        </is>
      </c>
      <c r="E219" t="inlineStr">
        <is>
          <t>VÄSTERÅS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38329-2021</t>
        </is>
      </c>
      <c r="B220" s="1" t="n">
        <v>44405</v>
      </c>
      <c r="C220" s="1" t="n">
        <v>46198</v>
      </c>
      <c r="D220" t="inlineStr">
        <is>
          <t>VÄSTMANLANDS LÄN</t>
        </is>
      </c>
      <c r="E220" t="inlineStr">
        <is>
          <t>VÄSTERÅS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15350-2023</t>
        </is>
      </c>
      <c r="B221" s="1" t="n">
        <v>45019</v>
      </c>
      <c r="C221" s="1" t="n">
        <v>46198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12143-2022</t>
        </is>
      </c>
      <c r="B222" s="1" t="n">
        <v>44636</v>
      </c>
      <c r="C222" s="1" t="n">
        <v>46198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12148-2022</t>
        </is>
      </c>
      <c r="B223" s="1" t="n">
        <v>44636</v>
      </c>
      <c r="C223" s="1" t="n">
        <v>46198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Kommuner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44695-2022</t>
        </is>
      </c>
      <c r="B224" s="1" t="n">
        <v>44840</v>
      </c>
      <c r="C224" s="1" t="n">
        <v>46198</v>
      </c>
      <c r="D224" t="inlineStr">
        <is>
          <t>VÄSTMANLANDS LÄN</t>
        </is>
      </c>
      <c r="E224" t="inlineStr">
        <is>
          <t>VÄSTERÅS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1652-2022</t>
        </is>
      </c>
      <c r="B225" s="1" t="n">
        <v>44574</v>
      </c>
      <c r="C225" s="1" t="n">
        <v>46198</v>
      </c>
      <c r="D225" t="inlineStr">
        <is>
          <t>VÄSTMANLANDS LÄN</t>
        </is>
      </c>
      <c r="E225" t="inlineStr">
        <is>
          <t>VÄSTERÅS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56532-2022</t>
        </is>
      </c>
      <c r="B226" s="1" t="n">
        <v>44893</v>
      </c>
      <c r="C226" s="1" t="n">
        <v>46198</v>
      </c>
      <c r="D226" t="inlineStr">
        <is>
          <t>VÄSTMANLANDS LÄN</t>
        </is>
      </c>
      <c r="E226" t="inlineStr">
        <is>
          <t>VÄSTERÅS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15889-2022</t>
        </is>
      </c>
      <c r="B227" s="1" t="n">
        <v>44664</v>
      </c>
      <c r="C227" s="1" t="n">
        <v>46198</v>
      </c>
      <c r="D227" t="inlineStr">
        <is>
          <t>VÄSTMANLANDS LÄN</t>
        </is>
      </c>
      <c r="E227" t="inlineStr">
        <is>
          <t>VÄSTERÅS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7701-2026</t>
        </is>
      </c>
      <c r="B228" s="1" t="n">
        <v>46059</v>
      </c>
      <c r="C228" s="1" t="n">
        <v>46198</v>
      </c>
      <c r="D228" t="inlineStr">
        <is>
          <t>VÄSTMANLANDS LÄN</t>
        </is>
      </c>
      <c r="E228" t="inlineStr">
        <is>
          <t>VÄSTERÅS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7797-2026</t>
        </is>
      </c>
      <c r="B229" s="1" t="n">
        <v>46062</v>
      </c>
      <c r="C229" s="1" t="n">
        <v>46198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32341-2023</t>
        </is>
      </c>
      <c r="B230" s="1" t="n">
        <v>45110</v>
      </c>
      <c r="C230" s="1" t="n">
        <v>46198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8871-2026</t>
        </is>
      </c>
      <c r="B231" s="1" t="n">
        <v>46066</v>
      </c>
      <c r="C231" s="1" t="n">
        <v>46198</v>
      </c>
      <c r="D231" t="inlineStr">
        <is>
          <t>VÄSTMANLANDS LÄN</t>
        </is>
      </c>
      <c r="E231" t="inlineStr">
        <is>
          <t>VÄSTERÅS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15330-2023</t>
        </is>
      </c>
      <c r="B232" s="1" t="n">
        <v>45019</v>
      </c>
      <c r="C232" s="1" t="n">
        <v>46198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15348-2023</t>
        </is>
      </c>
      <c r="B233" s="1" t="n">
        <v>45019</v>
      </c>
      <c r="C233" s="1" t="n">
        <v>46198</v>
      </c>
      <c r="D233" t="inlineStr">
        <is>
          <t>VÄSTMANLANDS LÄN</t>
        </is>
      </c>
      <c r="E233" t="inlineStr">
        <is>
          <t>VÄSTERÅS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8870-2026</t>
        </is>
      </c>
      <c r="B234" s="1" t="n">
        <v>46066</v>
      </c>
      <c r="C234" s="1" t="n">
        <v>46198</v>
      </c>
      <c r="D234" t="inlineStr">
        <is>
          <t>VÄSTMANLANDS LÄN</t>
        </is>
      </c>
      <c r="E234" t="inlineStr">
        <is>
          <t>VÄSTERÅS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18482-2023</t>
        </is>
      </c>
      <c r="B235" s="1" t="n">
        <v>45042</v>
      </c>
      <c r="C235" s="1" t="n">
        <v>46198</v>
      </c>
      <c r="D235" t="inlineStr">
        <is>
          <t>VÄSTMANLANDS LÄN</t>
        </is>
      </c>
      <c r="E235" t="inlineStr">
        <is>
          <t>VÄSTERÅS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</v>
      </c>
      <c r="C236" s="1" t="n">
        <v>46198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18131-2025</t>
        </is>
      </c>
      <c r="B237" s="1" t="n">
        <v>45761</v>
      </c>
      <c r="C237" s="1" t="n">
        <v>46198</v>
      </c>
      <c r="D237" t="inlineStr">
        <is>
          <t>VÄSTMANLANDS LÄN</t>
        </is>
      </c>
      <c r="E237" t="inlineStr">
        <is>
          <t>VÄSTERÅS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52027-2025</t>
        </is>
      </c>
      <c r="B238" s="1" t="n">
        <v>45952</v>
      </c>
      <c r="C238" s="1" t="n">
        <v>46198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statliga verk och myndigheter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11072-2026</t>
        </is>
      </c>
      <c r="B239" s="1" t="n">
        <v>46079</v>
      </c>
      <c r="C239" s="1" t="n">
        <v>46198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24572-2023</t>
        </is>
      </c>
      <c r="B240" s="1" t="n">
        <v>45083</v>
      </c>
      <c r="C240" s="1" t="n">
        <v>46198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11745-2026</t>
        </is>
      </c>
      <c r="B241" s="1" t="n">
        <v>46084</v>
      </c>
      <c r="C241" s="1" t="n">
        <v>46198</v>
      </c>
      <c r="D241" t="inlineStr">
        <is>
          <t>VÄSTMANLANDS LÄN</t>
        </is>
      </c>
      <c r="E241" t="inlineStr">
        <is>
          <t>VÄSTERÅS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5208-2022</t>
        </is>
      </c>
      <c r="B242" s="1" t="n">
        <v>44594</v>
      </c>
      <c r="C242" s="1" t="n">
        <v>46198</v>
      </c>
      <c r="D242" t="inlineStr">
        <is>
          <t>VÄSTMANLANDS LÄN</t>
        </is>
      </c>
      <c r="E242" t="inlineStr">
        <is>
          <t>VÄSTERÅS</t>
        </is>
      </c>
      <c r="G242" t="n">
        <v>20.3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11739-2026</t>
        </is>
      </c>
      <c r="B243" s="1" t="n">
        <v>46084</v>
      </c>
      <c r="C243" s="1" t="n">
        <v>46198</v>
      </c>
      <c r="D243" t="inlineStr">
        <is>
          <t>VÄSTMANLANDS LÄN</t>
        </is>
      </c>
      <c r="E243" t="inlineStr">
        <is>
          <t>VÄSTERÅS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10870-2026</t>
        </is>
      </c>
      <c r="B244" s="1" t="n">
        <v>46078</v>
      </c>
      <c r="C244" s="1" t="n">
        <v>46198</v>
      </c>
      <c r="D244" t="inlineStr">
        <is>
          <t>VÄSTMANLANDS LÄN</t>
        </is>
      </c>
      <c r="E244" t="inlineStr">
        <is>
          <t>VÄSTERÅS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15273-2024</t>
        </is>
      </c>
      <c r="B245" s="1" t="n">
        <v>45400</v>
      </c>
      <c r="C245" s="1" t="n">
        <v>46198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11520-2026</t>
        </is>
      </c>
      <c r="B246" s="1" t="n">
        <v>46083</v>
      </c>
      <c r="C246" s="1" t="n">
        <v>46198</v>
      </c>
      <c r="D246" t="inlineStr">
        <is>
          <t>VÄSTMANLANDS LÄN</t>
        </is>
      </c>
      <c r="E246" t="inlineStr">
        <is>
          <t>VÄSTERÅS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7378-2022</t>
        </is>
      </c>
      <c r="B247" s="1" t="n">
        <v>44606</v>
      </c>
      <c r="C247" s="1" t="n">
        <v>46198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12628-2026</t>
        </is>
      </c>
      <c r="B248" s="1" t="n">
        <v>46091</v>
      </c>
      <c r="C248" s="1" t="n">
        <v>46198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12625-2026</t>
        </is>
      </c>
      <c r="B249" s="1" t="n">
        <v>46091</v>
      </c>
      <c r="C249" s="1" t="n">
        <v>46198</v>
      </c>
      <c r="D249" t="inlineStr">
        <is>
          <t>VÄSTMANLANDS LÄN</t>
        </is>
      </c>
      <c r="E249" t="inlineStr">
        <is>
          <t>VÄSTERÅS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13388-2025</t>
        </is>
      </c>
      <c r="B250" s="1" t="n">
        <v>45735</v>
      </c>
      <c r="C250" s="1" t="n">
        <v>46198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33512-2021</t>
        </is>
      </c>
      <c r="B251" s="1" t="n">
        <v>44377</v>
      </c>
      <c r="C251" s="1" t="n">
        <v>46198</v>
      </c>
      <c r="D251" t="inlineStr">
        <is>
          <t>VÄSTMANLANDS LÄN</t>
        </is>
      </c>
      <c r="E251" t="inlineStr">
        <is>
          <t>VÄSTERÅS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8800-2023</t>
        </is>
      </c>
      <c r="B252" s="1" t="n">
        <v>44978</v>
      </c>
      <c r="C252" s="1" t="n">
        <v>46198</v>
      </c>
      <c r="D252" t="inlineStr">
        <is>
          <t>VÄSTMANLANDS LÄN</t>
        </is>
      </c>
      <c r="E252" t="inlineStr">
        <is>
          <t>VÄSTERÅS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67352-2021</t>
        </is>
      </c>
      <c r="B253" s="1" t="n">
        <v>44523</v>
      </c>
      <c r="C253" s="1" t="n">
        <v>46198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35700-2024</t>
        </is>
      </c>
      <c r="B254" s="1" t="n">
        <v>45532</v>
      </c>
      <c r="C254" s="1" t="n">
        <v>46198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45804-2024</t>
        </is>
      </c>
      <c r="B255" s="1" t="n">
        <v>45579</v>
      </c>
      <c r="C255" s="1" t="n">
        <v>46198</v>
      </c>
      <c r="D255" t="inlineStr">
        <is>
          <t>VÄSTMANLANDS LÄN</t>
        </is>
      </c>
      <c r="E255" t="inlineStr">
        <is>
          <t>VÄSTERÅS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52396-2022</t>
        </is>
      </c>
      <c r="B256" s="1" t="n">
        <v>44874</v>
      </c>
      <c r="C256" s="1" t="n">
        <v>46198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58231-2022</t>
        </is>
      </c>
      <c r="B257" s="1" t="n">
        <v>44901</v>
      </c>
      <c r="C257" s="1" t="n">
        <v>46198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14885-2026</t>
        </is>
      </c>
      <c r="B258" s="1" t="n">
        <v>46104</v>
      </c>
      <c r="C258" s="1" t="n">
        <v>46198</v>
      </c>
      <c r="D258" t="inlineStr">
        <is>
          <t>VÄSTMANLANDS LÄN</t>
        </is>
      </c>
      <c r="E258" t="inlineStr">
        <is>
          <t>VÄSTERÅS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50948-2023</t>
        </is>
      </c>
      <c r="B259" s="1" t="n">
        <v>45218</v>
      </c>
      <c r="C259" s="1" t="n">
        <v>46198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11324-2026</t>
        </is>
      </c>
      <c r="B260" s="1" t="n">
        <v>46080</v>
      </c>
      <c r="C260" s="1" t="n">
        <v>46198</v>
      </c>
      <c r="D260" t="inlineStr">
        <is>
          <t>VÄSTMANLANDS LÄN</t>
        </is>
      </c>
      <c r="E260" t="inlineStr">
        <is>
          <t>VÄSTERÅS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11325-2026</t>
        </is>
      </c>
      <c r="B261" s="1" t="n">
        <v>46080</v>
      </c>
      <c r="C261" s="1" t="n">
        <v>46198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61258-2023</t>
        </is>
      </c>
      <c r="B262" s="1" t="n">
        <v>45264</v>
      </c>
      <c r="C262" s="1" t="n">
        <v>46198</v>
      </c>
      <c r="D262" t="inlineStr">
        <is>
          <t>VÄSTMANLANDS LÄN</t>
        </is>
      </c>
      <c r="E262" t="inlineStr">
        <is>
          <t>VÄSTERÅS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18467-2023</t>
        </is>
      </c>
      <c r="B263" s="1" t="n">
        <v>45042</v>
      </c>
      <c r="C263" s="1" t="n">
        <v>46198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24402-2024</t>
        </is>
      </c>
      <c r="B264" s="1" t="n">
        <v>45457</v>
      </c>
      <c r="C264" s="1" t="n">
        <v>46198</v>
      </c>
      <c r="D264" t="inlineStr">
        <is>
          <t>VÄSTMANLANDS LÄN</t>
        </is>
      </c>
      <c r="E264" t="inlineStr">
        <is>
          <t>VÄSTERÅS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16685-2026</t>
        </is>
      </c>
      <c r="B265" s="1" t="n">
        <v>46112</v>
      </c>
      <c r="C265" s="1" t="n">
        <v>46198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16582-2026</t>
        </is>
      </c>
      <c r="B266" s="1" t="n">
        <v>46112</v>
      </c>
      <c r="C266" s="1" t="n">
        <v>46198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16583-2026</t>
        </is>
      </c>
      <c r="B267" s="1" t="n">
        <v>46112</v>
      </c>
      <c r="C267" s="1" t="n">
        <v>46198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16579-2026</t>
        </is>
      </c>
      <c r="B268" s="1" t="n">
        <v>46112</v>
      </c>
      <c r="C268" s="1" t="n">
        <v>46198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16671-2026</t>
        </is>
      </c>
      <c r="B269" s="1" t="n">
        <v>46112</v>
      </c>
      <c r="C269" s="1" t="n">
        <v>46198</v>
      </c>
      <c r="D269" t="inlineStr">
        <is>
          <t>VÄSTMANLANDS LÄN</t>
        </is>
      </c>
      <c r="E269" t="inlineStr">
        <is>
          <t>VÄSTERÅS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39817-2024</t>
        </is>
      </c>
      <c r="B270" s="1" t="n">
        <v>45553</v>
      </c>
      <c r="C270" s="1" t="n">
        <v>46198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67350-2021</t>
        </is>
      </c>
      <c r="B271" s="1" t="n">
        <v>44523</v>
      </c>
      <c r="C271" s="1" t="n">
        <v>46198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10496-2022</t>
        </is>
      </c>
      <c r="B272" s="1" t="n">
        <v>44623</v>
      </c>
      <c r="C272" s="1" t="n">
        <v>46198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17499-2026</t>
        </is>
      </c>
      <c r="B273" s="1" t="n">
        <v>46120</v>
      </c>
      <c r="C273" s="1" t="n">
        <v>46198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Allmännings- och besparingsskogar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23347-2026</t>
        </is>
      </c>
      <c r="B274" s="1" t="n">
        <v>46162</v>
      </c>
      <c r="C274" s="1" t="n">
        <v>46198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17657-2026</t>
        </is>
      </c>
      <c r="B275" s="1" t="n">
        <v>46121</v>
      </c>
      <c r="C275" s="1" t="n">
        <v>46198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16844-2023</t>
        </is>
      </c>
      <c r="B276" s="1" t="n">
        <v>45033</v>
      </c>
      <c r="C276" s="1" t="n">
        <v>46198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23497-2026</t>
        </is>
      </c>
      <c r="B277" s="1" t="n">
        <v>46163</v>
      </c>
      <c r="C277" s="1" t="n">
        <v>46198</v>
      </c>
      <c r="D277" t="inlineStr">
        <is>
          <t>VÄSTMANLANDS LÄN</t>
        </is>
      </c>
      <c r="E277" t="inlineStr">
        <is>
          <t>VÄSTERÅS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73994-2021</t>
        </is>
      </c>
      <c r="B278" s="1" t="n">
        <v>44556</v>
      </c>
      <c r="C278" s="1" t="n">
        <v>46198</v>
      </c>
      <c r="D278" t="inlineStr">
        <is>
          <t>VÄSTMANLANDS LÄN</t>
        </is>
      </c>
      <c r="E278" t="inlineStr">
        <is>
          <t>VÄSTERÅS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61249-2021</t>
        </is>
      </c>
      <c r="B279" s="1" t="n">
        <v>44498</v>
      </c>
      <c r="C279" s="1" t="n">
        <v>46198</v>
      </c>
      <c r="D279" t="inlineStr">
        <is>
          <t>VÄSTMANLANDS LÄN</t>
        </is>
      </c>
      <c r="E279" t="inlineStr">
        <is>
          <t>VÄSTERÅS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50987-2024</t>
        </is>
      </c>
      <c r="B280" s="1" t="n">
        <v>45603</v>
      </c>
      <c r="C280" s="1" t="n">
        <v>46198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24540-2026</t>
        </is>
      </c>
      <c r="B281" s="1" t="n">
        <v>46170</v>
      </c>
      <c r="C281" s="1" t="n">
        <v>46198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24321-2026</t>
        </is>
      </c>
      <c r="B282" s="1" t="n">
        <v>46169</v>
      </c>
      <c r="C282" s="1" t="n">
        <v>46198</v>
      </c>
      <c r="D282" t="inlineStr">
        <is>
          <t>VÄSTMANLANDS LÄN</t>
        </is>
      </c>
      <c r="E282" t="inlineStr">
        <is>
          <t>VÄSTERÅS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34461-2022</t>
        </is>
      </c>
      <c r="B283" s="1" t="n">
        <v>44792</v>
      </c>
      <c r="C283" s="1" t="n">
        <v>46198</v>
      </c>
      <c r="D283" t="inlineStr">
        <is>
          <t>VÄSTMANLANDS LÄN</t>
        </is>
      </c>
      <c r="E283" t="inlineStr">
        <is>
          <t>VÄSTERÅS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51572-2023</t>
        </is>
      </c>
      <c r="B284" s="1" t="n">
        <v>45222</v>
      </c>
      <c r="C284" s="1" t="n">
        <v>46198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52569-2022</t>
        </is>
      </c>
      <c r="B285" s="1" t="n">
        <v>44874</v>
      </c>
      <c r="C285" s="1" t="n">
        <v>46198</v>
      </c>
      <c r="D285" t="inlineStr">
        <is>
          <t>VÄSTMANLANDS LÄN</t>
        </is>
      </c>
      <c r="E285" t="inlineStr">
        <is>
          <t>VÄSTERÅS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21761-2022</t>
        </is>
      </c>
      <c r="B286" s="1" t="n">
        <v>44708</v>
      </c>
      <c r="C286" s="1" t="n">
        <v>46198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24262-2026</t>
        </is>
      </c>
      <c r="B287" s="1" t="n">
        <v>46169</v>
      </c>
      <c r="C287" s="1" t="n">
        <v>46198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24266-2026</t>
        </is>
      </c>
      <c r="B288" s="1" t="n">
        <v>46169</v>
      </c>
      <c r="C288" s="1" t="n">
        <v>46198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29746-2022</t>
        </is>
      </c>
      <c r="B289" s="1" t="n">
        <v>44755</v>
      </c>
      <c r="C289" s="1" t="n">
        <v>46198</v>
      </c>
      <c r="D289" t="inlineStr">
        <is>
          <t>VÄSTMANLANDS LÄN</t>
        </is>
      </c>
      <c r="E289" t="inlineStr">
        <is>
          <t>VÄSTERÅS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67353-2021</t>
        </is>
      </c>
      <c r="B290" s="1" t="n">
        <v>44523</v>
      </c>
      <c r="C290" s="1" t="n">
        <v>46198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40304-2023</t>
        </is>
      </c>
      <c r="B291" s="1" t="n">
        <v>45169</v>
      </c>
      <c r="C291" s="1" t="n">
        <v>46198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19791-2026</t>
        </is>
      </c>
      <c r="B292" s="1" t="n">
        <v>46135</v>
      </c>
      <c r="C292" s="1" t="n">
        <v>46198</v>
      </c>
      <c r="D292" t="inlineStr">
        <is>
          <t>VÄSTMANLANDS LÄN</t>
        </is>
      </c>
      <c r="E292" t="inlineStr">
        <is>
          <t>VÄSTERÅS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56980-2021</t>
        </is>
      </c>
      <c r="B293" s="1" t="n">
        <v>44482</v>
      </c>
      <c r="C293" s="1" t="n">
        <v>46198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7439-2025</t>
        </is>
      </c>
      <c r="B294" s="1" t="n">
        <v>45705</v>
      </c>
      <c r="C294" s="1" t="n">
        <v>46198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9103-2025</t>
        </is>
      </c>
      <c r="B295" s="1" t="n">
        <v>45713</v>
      </c>
      <c r="C295" s="1" t="n">
        <v>46198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15201-2022</t>
        </is>
      </c>
      <c r="B296" s="1" t="n">
        <v>44658</v>
      </c>
      <c r="C296" s="1" t="n">
        <v>46198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58960-2022</t>
        </is>
      </c>
      <c r="B297" s="1" t="n">
        <v>44903</v>
      </c>
      <c r="C297" s="1" t="n">
        <v>46198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64714-2023</t>
        </is>
      </c>
      <c r="B298" s="1" t="n">
        <v>45281</v>
      </c>
      <c r="C298" s="1" t="n">
        <v>46198</v>
      </c>
      <c r="D298" t="inlineStr">
        <is>
          <t>VÄSTMANLANDS LÄN</t>
        </is>
      </c>
      <c r="E298" t="inlineStr">
        <is>
          <t>VÄSTERÅS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8727-2023</t>
        </is>
      </c>
      <c r="B299" s="1" t="n">
        <v>44978</v>
      </c>
      <c r="C299" s="1" t="n">
        <v>46198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16214-2023</t>
        </is>
      </c>
      <c r="B300" s="1" t="n">
        <v>45028</v>
      </c>
      <c r="C300" s="1" t="n">
        <v>46198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14851-2024</t>
        </is>
      </c>
      <c r="B301" s="1" t="n">
        <v>45398</v>
      </c>
      <c r="C301" s="1" t="n">
        <v>46198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51004-2024</t>
        </is>
      </c>
      <c r="B302" s="1" t="n">
        <v>45603</v>
      </c>
      <c r="C302" s="1" t="n">
        <v>46198</v>
      </c>
      <c r="D302" t="inlineStr">
        <is>
          <t>VÄSTMANLANDS LÄN</t>
        </is>
      </c>
      <c r="E302" t="inlineStr">
        <is>
          <t>VÄSTERÅS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10546-2024</t>
        </is>
      </c>
      <c r="B303" s="1" t="n">
        <v>45366</v>
      </c>
      <c r="C303" s="1" t="n">
        <v>46198</v>
      </c>
      <c r="D303" t="inlineStr">
        <is>
          <t>VÄSTMANLANDS LÄN</t>
        </is>
      </c>
      <c r="E303" t="inlineStr">
        <is>
          <t>VÄSTERÅS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11691-2023</t>
        </is>
      </c>
      <c r="B304" s="1" t="n">
        <v>44994</v>
      </c>
      <c r="C304" s="1" t="n">
        <v>46198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70642-2021</t>
        </is>
      </c>
      <c r="B305" s="1" t="n">
        <v>44537</v>
      </c>
      <c r="C305" s="1" t="n">
        <v>46198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</v>
      </c>
      <c r="C306" s="1" t="n">
        <v>46198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64793-2023</t>
        </is>
      </c>
      <c r="B307" s="1" t="n">
        <v>45282</v>
      </c>
      <c r="C307" s="1" t="n">
        <v>46198</v>
      </c>
      <c r="D307" t="inlineStr">
        <is>
          <t>VÄSTMANLANDS LÄN</t>
        </is>
      </c>
      <c r="E307" t="inlineStr">
        <is>
          <t>VÄSTERÅS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401-2024</t>
        </is>
      </c>
      <c r="B308" s="1" t="n">
        <v>45296</v>
      </c>
      <c r="C308" s="1" t="n">
        <v>46198</v>
      </c>
      <c r="D308" t="inlineStr">
        <is>
          <t>VÄSTMANLANDS LÄN</t>
        </is>
      </c>
      <c r="E308" t="inlineStr">
        <is>
          <t>VÄSTERÅS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17808-2023</t>
        </is>
      </c>
      <c r="B309" s="1" t="n">
        <v>45037</v>
      </c>
      <c r="C309" s="1" t="n">
        <v>46198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51933-2023</t>
        </is>
      </c>
      <c r="B310" s="1" t="n">
        <v>45223</v>
      </c>
      <c r="C310" s="1" t="n">
        <v>46198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46198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36641-2023</t>
        </is>
      </c>
      <c r="B312" s="1" t="n">
        <v>45153</v>
      </c>
      <c r="C312" s="1" t="n">
        <v>46198</v>
      </c>
      <c r="D312" t="inlineStr">
        <is>
          <t>VÄSTMANLANDS LÄN</t>
        </is>
      </c>
      <c r="E312" t="inlineStr">
        <is>
          <t>VÄSTERÅS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22700-2024</t>
        </is>
      </c>
      <c r="B313" s="1" t="n">
        <v>45448</v>
      </c>
      <c r="C313" s="1" t="n">
        <v>46198</v>
      </c>
      <c r="D313" t="inlineStr">
        <is>
          <t>VÄSTMANLANDS LÄN</t>
        </is>
      </c>
      <c r="E313" t="inlineStr">
        <is>
          <t>VÄSTERÅS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14926-2022</t>
        </is>
      </c>
      <c r="B314" s="1" t="n">
        <v>44657</v>
      </c>
      <c r="C314" s="1" t="n">
        <v>46198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12289-2024</t>
        </is>
      </c>
      <c r="B315" s="1" t="n">
        <v>45378</v>
      </c>
      <c r="C315" s="1" t="n">
        <v>46198</v>
      </c>
      <c r="D315" t="inlineStr">
        <is>
          <t>VÄSTMANLANDS LÄN</t>
        </is>
      </c>
      <c r="E315" t="inlineStr">
        <is>
          <t>VÄSTERÅS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31623-2024</t>
        </is>
      </c>
      <c r="B316" s="1" t="n">
        <v>45506</v>
      </c>
      <c r="C316" s="1" t="n">
        <v>46198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Kommuner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38345-2024</t>
        </is>
      </c>
      <c r="B317" s="1" t="n">
        <v>45545</v>
      </c>
      <c r="C317" s="1" t="n">
        <v>46198</v>
      </c>
      <c r="D317" t="inlineStr">
        <is>
          <t>VÄSTMANLANDS LÄN</t>
        </is>
      </c>
      <c r="E317" t="inlineStr">
        <is>
          <t>VÄSTERÅS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24546-2025</t>
        </is>
      </c>
      <c r="B318" s="1" t="n">
        <v>45798</v>
      </c>
      <c r="C318" s="1" t="n">
        <v>46198</v>
      </c>
      <c r="D318" t="inlineStr">
        <is>
          <t>VÄSTMANLANDS LÄN</t>
        </is>
      </c>
      <c r="E318" t="inlineStr">
        <is>
          <t>VÄSTERÅS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56076-2023</t>
        </is>
      </c>
      <c r="B319" s="1" t="n">
        <v>45235</v>
      </c>
      <c r="C319" s="1" t="n">
        <v>46198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37.8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50996-2024</t>
        </is>
      </c>
      <c r="B320" s="1" t="n">
        <v>45603</v>
      </c>
      <c r="C320" s="1" t="n">
        <v>46198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54537-2024</t>
        </is>
      </c>
      <c r="B321" s="1" t="n">
        <v>45617</v>
      </c>
      <c r="C321" s="1" t="n">
        <v>46198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31569-2025</t>
        </is>
      </c>
      <c r="B322" s="1" t="n">
        <v>45833</v>
      </c>
      <c r="C322" s="1" t="n">
        <v>46198</v>
      </c>
      <c r="D322" t="inlineStr">
        <is>
          <t>VÄSTMANLANDS LÄN</t>
        </is>
      </c>
      <c r="E322" t="inlineStr">
        <is>
          <t>VÄSTERÅS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32851-2024</t>
        </is>
      </c>
      <c r="B323" s="1" t="n">
        <v>45516</v>
      </c>
      <c r="C323" s="1" t="n">
        <v>46198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53836-2022</t>
        </is>
      </c>
      <c r="B324" s="1" t="n">
        <v>44880</v>
      </c>
      <c r="C324" s="1" t="n">
        <v>46198</v>
      </c>
      <c r="D324" t="inlineStr">
        <is>
          <t>VÄSTMANLANDS LÄN</t>
        </is>
      </c>
      <c r="E324" t="inlineStr">
        <is>
          <t>VÄSTERÅS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53833-2022</t>
        </is>
      </c>
      <c r="B325" s="1" t="n">
        <v>44880</v>
      </c>
      <c r="C325" s="1" t="n">
        <v>46198</v>
      </c>
      <c r="D325" t="inlineStr">
        <is>
          <t>VÄSTMANLANDS LÄN</t>
        </is>
      </c>
      <c r="E325" t="inlineStr">
        <is>
          <t>VÄSTERÅS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31361-2025</t>
        </is>
      </c>
      <c r="B326" s="1" t="n">
        <v>45833</v>
      </c>
      <c r="C326" s="1" t="n">
        <v>46198</v>
      </c>
      <c r="D326" t="inlineStr">
        <is>
          <t>VÄSTMANLANDS LÄN</t>
        </is>
      </c>
      <c r="E326" t="inlineStr">
        <is>
          <t>VÄSTERÅS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31578-2025</t>
        </is>
      </c>
      <c r="B327" s="1" t="n">
        <v>45833</v>
      </c>
      <c r="C327" s="1" t="n">
        <v>46198</v>
      </c>
      <c r="D327" t="inlineStr">
        <is>
          <t>VÄSTMANLANDS LÄN</t>
        </is>
      </c>
      <c r="E327" t="inlineStr">
        <is>
          <t>VÄSTERÅS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2026-06-25T00:47:41Z</dcterms:created>
  <dcterms:modified xmlns:dcterms="http://purl.org/dc/terms/" xmlns:xsi="http://www.w3.org/2001/XMLSchema-instance" xsi:type="dcterms:W3CDTF">2026-06-25T00:47:41Z</dcterms:modified>
</cp:coreProperties>
</file>