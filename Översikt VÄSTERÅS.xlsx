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46304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46304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46304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46304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46304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46304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46304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46304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46304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46304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46304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46304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46304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46304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46304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46304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46304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46304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46304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46304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45203</v>
      </c>
      <c r="E22" s="1" t="n">
        <v>46304</v>
      </c>
      <c r="F22" t="inlineStr">
        <is>
          <t>VÄSTMANLANDS LÄN</t>
        </is>
      </c>
      <c r="G22" t="inlineStr">
        <is>
          <t>VÄSTERÅS</t>
        </is>
      </c>
      <c r="I22" t="n">
        <v>6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Gullklöver
Svinrot
Hasselticka
Kopparödla</t>
        </is>
      </c>
      <c r="W22">
        <f>HYPERLINK("https://klasma.github.io/Logging_1980/artfynd/A 47695-2023 artfynd.xlsx", "A 47695-2023")</f>
        <v/>
      </c>
      <c r="X22">
        <f>HYPERLINK("https://klasma.github.io/Logging_1980/kartor/A 47695-2023 karta.png", "A 47695-2023")</f>
        <v/>
      </c>
      <c r="Y22">
        <f>HYPERLINK("https://klasma.github.io/Logging_1980/kartor_geotiff/A 47695-2023 georefererad karta.tif", "A 47695-2023")</f>
        <v/>
      </c>
      <c r="AA22">
        <f>HYPERLINK("https://klasma.github.io/Logging_1980/klagomål/A 47695-2023 FSC-klagomål.docx", "A 47695-2023")</f>
        <v/>
      </c>
      <c r="AB22">
        <f>HYPERLINK("https://klasma.github.io/Logging_1980/klagomålsmail/A 47695-2023 FSC-klagomål mail.docx", "A 47695-2023")</f>
        <v/>
      </c>
      <c r="AC22">
        <f>HYPERLINK("https://klasma.github.io/Logging_1980/tillsyn/A 47695-2023 tillsynsbegäran.docx", "A 47695-2023")</f>
        <v/>
      </c>
      <c r="AD22">
        <f>HYPERLINK("https://klasma.github.io/Logging_1980/tillsynsmail/A 47695-2023 tillsynsbegäran mail.docx", "A 47695-2023")</f>
        <v/>
      </c>
    </row>
    <row r="23" ht="15" customHeight="1">
      <c r="A23" t="inlineStr">
        <is>
          <t>A 22449-2026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46155</v>
      </c>
      <c r="E23" s="1" t="n">
        <v>46304</v>
      </c>
      <c r="F23" t="inlineStr">
        <is>
          <t>VÄSTMANLANDS LÄN</t>
        </is>
      </c>
      <c r="G23" t="inlineStr">
        <is>
          <t>VÄSTERÅS</t>
        </is>
      </c>
      <c r="I23" t="n">
        <v>1.5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Nordfladdermus
Gråskimlig fladdermus
Större brunfladdermus
Vattenfladdermus</t>
        </is>
      </c>
      <c r="W23">
        <f>HYPERLINK("https://klasma.github.io/Logging_1980/artfynd/A 22449-2026 artfynd.xlsx", "A 22449-2026")</f>
        <v/>
      </c>
      <c r="X23">
        <f>HYPERLINK("https://klasma.github.io/Logging_1980/kartor/A 22449-2026 karta.png", "A 22449-2026")</f>
        <v/>
      </c>
      <c r="Y23">
        <f>HYPERLINK("https://klasma.github.io/Logging_1980/kartor_geotiff/A 22449-2026 georefererad karta.tif", "A 22449-2026")</f>
        <v/>
      </c>
      <c r="AA23">
        <f>HYPERLINK("https://klasma.github.io/Logging_1980/klagomål/A 22449-2026 FSC-klagomål.docx", "A 22449-2026")</f>
        <v/>
      </c>
      <c r="AB23">
        <f>HYPERLINK("https://klasma.github.io/Logging_1980/klagomålsmail/A 22449-2026 FSC-klagomål mail.docx", "A 22449-2026")</f>
        <v/>
      </c>
      <c r="AC23">
        <f>HYPERLINK("https://klasma.github.io/Logging_1980/tillsyn/A 22449-2026 tillsynsbegäran.docx", "A 22449-2026")</f>
        <v/>
      </c>
      <c r="AD23">
        <f>HYPERLINK("https://klasma.github.io/Logging_1980/tillsynsmail/A 22449-2026 tillsynsbegäran mail.docx", "A 22449-2026")</f>
        <v/>
      </c>
    </row>
    <row r="24" ht="15" customHeight="1">
      <c r="A24" t="inlineStr">
        <is>
          <t>A 47228-2022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44852</v>
      </c>
      <c r="E24" s="1" t="n">
        <v>46304</v>
      </c>
      <c r="F24" t="inlineStr">
        <is>
          <t>VÄSTMANLANDS LÄN</t>
        </is>
      </c>
      <c r="G24" t="inlineStr">
        <is>
          <t>VÄSTERÅS</t>
        </is>
      </c>
      <c r="I24" t="n">
        <v>11.6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2</v>
      </c>
      <c r="V24" s="2" t="inlineStr">
        <is>
          <t>Vithornad barkskinnbagge
Xyletinus ater
Mindre märgborre
Fiskgjuse</t>
        </is>
      </c>
      <c r="W24">
        <f>HYPERLINK("https://klasma.github.io/Logging_1980/artfynd/A 47228-2022 artfynd.xlsx", "A 47228-2022")</f>
        <v/>
      </c>
      <c r="X24">
        <f>HYPERLINK("https://klasma.github.io/Logging_1980/kartor/A 47228-2022 karta.png", "A 47228-2022")</f>
        <v/>
      </c>
      <c r="Y24">
        <f>HYPERLINK("https://klasma.github.io/Logging_1980/kartor_geotiff/A 47228-2022 georefererad karta.tif", "A 47228-2022")</f>
        <v/>
      </c>
      <c r="AA24">
        <f>HYPERLINK("https://klasma.github.io/Logging_1980/klagomål/A 47228-2022 FSC-klagomål.docx", "A 47228-2022")</f>
        <v/>
      </c>
      <c r="AB24">
        <f>HYPERLINK("https://klasma.github.io/Logging_1980/klagomålsmail/A 47228-2022 FSC-klagomål mail.docx", "A 47228-2022")</f>
        <v/>
      </c>
      <c r="AC24">
        <f>HYPERLINK("https://klasma.github.io/Logging_1980/tillsyn/A 47228-2022 tillsynsbegäran.docx", "A 47228-2022")</f>
        <v/>
      </c>
      <c r="AD24">
        <f>HYPERLINK("https://klasma.github.io/Logging_1980/tillsynsmail/A 47228-2022 tillsynsbegäran mail.docx", "A 47228-2022")</f>
        <v/>
      </c>
      <c r="AE24">
        <f>HYPERLINK("https://klasma.github.io/Logging_1980/fåglar/A 47228-2022 prioriterade fågelarter.docx", "A 47228-2022")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46304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46304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46304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46304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46304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14265-2025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46304</v>
      </c>
      <c r="F30" t="inlineStr">
        <is>
          <t>VÄSTMANLANDS LÄN</t>
        </is>
      </c>
      <c r="G30" t="inlineStr">
        <is>
          <t>VÄSTERÅS</t>
        </is>
      </c>
      <c r="I30" t="n">
        <v>2.1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9</v>
      </c>
      <c r="U30" t="n">
        <v>0</v>
      </c>
      <c r="V30" s="2" t="inlineStr">
        <is>
          <t>Knärot
Tallticka
Blåsippa</t>
        </is>
      </c>
      <c r="W30">
        <f>HYPERLINK("https://klasma.github.io/Logging_1980/artfynd/A 14265-2025 artfynd.xlsx", "A 14265-2025")</f>
        <v/>
      </c>
      <c r="X30">
        <f>HYPERLINK("https://klasma.github.io/Logging_1980/kartor/A 14265-2025 karta.png", "A 14265-2025")</f>
        <v/>
      </c>
      <c r="Y30">
        <f>HYPERLINK("https://klasma.github.io/Logging_1980/kartor_geotiff/A 14265-2025 georefererad karta.tif", "A 14265-2025")</f>
        <v/>
      </c>
      <c r="Z30">
        <f>HYPERLINK("https://klasma.github.io/Logging_1980/knärot/A 14265-2025 karta knärot.png", "A 14265-2025")</f>
        <v/>
      </c>
      <c r="AA30">
        <f>HYPERLINK("https://klasma.github.io/Logging_1980/klagomål/A 14265-2025 FSC-klagomål.docx", "A 14265-2025")</f>
        <v/>
      </c>
      <c r="AB30">
        <f>HYPERLINK("https://klasma.github.io/Logging_1980/klagomålsmail/A 14265-2025 FSC-klagomål mail.docx", "A 14265-2025")</f>
        <v/>
      </c>
      <c r="AC30">
        <f>HYPERLINK("https://klasma.github.io/Logging_1980/tillsyn/A 14265-2025 tillsynsbegäran.docx", "A 14265-2025")</f>
        <v/>
      </c>
      <c r="AD30">
        <f>HYPERLINK("https://klasma.github.io/Logging_1980/tillsynsmail/A 14265-2025 tillsynsbegäran mail.docx", "A 14265-2025")</f>
        <v/>
      </c>
    </row>
    <row r="31" ht="15" customHeight="1">
      <c r="A31" t="inlineStr">
        <is>
          <t>A 6249-2024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45337</v>
      </c>
      <c r="E31" s="1" t="n">
        <v>46304</v>
      </c>
      <c r="F31" t="inlineStr">
        <is>
          <t>VÄSTMANLANDS LÄN</t>
        </is>
      </c>
      <c r="G31" t="inlineStr">
        <is>
          <t>VÄSTERÅS</t>
        </is>
      </c>
      <c r="I31" t="n">
        <v>6.5</v>
      </c>
      <c r="J31" t="n">
        <v>3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Grönfink
Blåsippa
Kungsfågel</t>
        </is>
      </c>
      <c r="W31">
        <f>HYPERLINK("https://klasma.github.io/Logging_1980/artfynd/A 6249-2024 artfynd.xlsx", "A 6249-2024")</f>
        <v/>
      </c>
      <c r="X31">
        <f>HYPERLINK("https://klasma.github.io/Logging_1980/kartor/A 6249-2024 karta.png", "A 6249-2024")</f>
        <v/>
      </c>
      <c r="Y31">
        <f>HYPERLINK("https://klasma.github.io/Logging_1980/kartor_geotiff/A 6249-2024 georefererad karta.tif", "A 6249-2024")</f>
        <v/>
      </c>
      <c r="AA31">
        <f>HYPERLINK("https://klasma.github.io/Logging_1980/klagomål/A 6249-2024 FSC-klagomål.docx", "A 6249-2024")</f>
        <v/>
      </c>
      <c r="AB31">
        <f>HYPERLINK("https://klasma.github.io/Logging_1980/klagomålsmail/A 6249-2024 FSC-klagomål mail.docx", "A 6249-2024")</f>
        <v/>
      </c>
      <c r="AC31">
        <f>HYPERLINK("https://klasma.github.io/Logging_1980/tillsyn/A 6249-2024 tillsynsbegäran.docx", "A 6249-2024")</f>
        <v/>
      </c>
      <c r="AD31">
        <f>HYPERLINK("https://klasma.github.io/Logging_1980/tillsynsmail/A 6249-2024 tillsynsbegäran mail.docx", "A 6249-2024")</f>
        <v/>
      </c>
      <c r="AE31">
        <f>HYPERLINK("https://klasma.github.io/Logging_1980/fåglar/A 6249-2024 prioriterade fågelarter.docx", "A 6249-2024")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46304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46304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46304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46304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46304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46304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46304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39917-2026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46290</v>
      </c>
      <c r="E39" s="1" t="n">
        <v>46304</v>
      </c>
      <c r="F39" t="inlineStr">
        <is>
          <t>VÄSTMANLANDS LÄN</t>
        </is>
      </c>
      <c r="G39" t="inlineStr">
        <is>
          <t>VÄSTERÅS</t>
        </is>
      </c>
      <c r="H39" t="inlineStr">
        <is>
          <t>Sveaskog</t>
        </is>
      </c>
      <c r="I39" t="n">
        <v>6.5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1</v>
      </c>
      <c r="V39" s="2" t="inlineStr">
        <is>
          <t>Blodticka
Revlummer</t>
        </is>
      </c>
      <c r="W39">
        <f>HYPERLINK("https://klasma.github.io/Logging_1980/artfynd/A 39917-2026 artfynd.xlsx", "A 39917-2026")</f>
        <v/>
      </c>
      <c r="X39">
        <f>HYPERLINK("https://klasma.github.io/Logging_1980/kartor/A 39917-2026 karta.png", "A 39917-2026")</f>
        <v/>
      </c>
      <c r="Y39">
        <f>HYPERLINK("https://klasma.github.io/Logging_1980/kartor_geotiff/A 39917-2026 georefererad karta.tif", "A 39917-2026")</f>
        <v/>
      </c>
      <c r="AA39">
        <f>HYPERLINK("https://klasma.github.io/Logging_1980/klagomål/A 39917-2026 FSC-klagomål.docx", "A 39917-2026")</f>
        <v/>
      </c>
      <c r="AB39">
        <f>HYPERLINK("https://klasma.github.io/Logging_1980/klagomålsmail/A 39917-2026 FSC-klagomål mail.docx", "A 39917-2026")</f>
        <v/>
      </c>
      <c r="AC39">
        <f>HYPERLINK("https://klasma.github.io/Logging_1980/tillsyn/A 39917-2026 tillsynsbegäran.docx", "A 39917-2026")</f>
        <v/>
      </c>
      <c r="AD39">
        <f>HYPERLINK("https://klasma.github.io/Logging_1980/tillsynsmail/A 39917-2026 tillsynsbegäran mail.docx", "A 39917-2026")</f>
        <v/>
      </c>
    </row>
    <row r="40" ht="15" customHeight="1">
      <c r="A40" t="inlineStr">
        <is>
          <t>A 39918-2026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46304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Spillkråka
Revlummer</t>
        </is>
      </c>
      <c r="W40">
        <f>HYPERLINK("https://klasma.github.io/Logging_1980/artfynd/A 39918-2026 artfynd.xlsx", "A 39918-2026")</f>
        <v/>
      </c>
      <c r="X40">
        <f>HYPERLINK("https://klasma.github.io/Logging_1980/kartor/A 39918-2026 karta.png", "A 39918-2026")</f>
        <v/>
      </c>
      <c r="Y40">
        <f>HYPERLINK("https://klasma.github.io/Logging_1980/kartor_geotiff/A 39918-2026 georefererad karta.tif", "A 39918-2026")</f>
        <v/>
      </c>
      <c r="AA40">
        <f>HYPERLINK("https://klasma.github.io/Logging_1980/klagomål/A 39918-2026 FSC-klagomål.docx", "A 39918-2026")</f>
        <v/>
      </c>
      <c r="AB40">
        <f>HYPERLINK("https://klasma.github.io/Logging_1980/klagomålsmail/A 39918-2026 FSC-klagomål mail.docx", "A 39918-2026")</f>
        <v/>
      </c>
      <c r="AC40">
        <f>HYPERLINK("https://klasma.github.io/Logging_1980/tillsyn/A 39918-2026 tillsynsbegäran.docx", "A 39918-2026")</f>
        <v/>
      </c>
      <c r="AD40">
        <f>HYPERLINK("https://klasma.github.io/Logging_1980/tillsynsmail/A 39918-2026 tillsynsbegäran mail.docx", "A 39918-2026")</f>
        <v/>
      </c>
      <c r="AE40">
        <f>HYPERLINK("https://klasma.github.io/Logging_1980/fåglar/A 39918-2026 prioriterade fågelarter.docx", "A 39918-2026")</f>
        <v/>
      </c>
    </row>
    <row r="41" ht="15" customHeight="1">
      <c r="A41" t="inlineStr">
        <is>
          <t>A 54536-2024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45617</v>
      </c>
      <c r="E41" s="1" t="n">
        <v>46304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4</v>
      </c>
      <c r="U41" t="n">
        <v>2</v>
      </c>
      <c r="V41" s="2" t="inlineStr">
        <is>
          <t>Jungfrulin
Svinrot</t>
        </is>
      </c>
      <c r="W41">
        <f>HYPERLINK("https://klasma.github.io/Logging_1980/artfynd/A 54536-2024 artfynd.xlsx", "A 54536-2024")</f>
        <v/>
      </c>
      <c r="X41">
        <f>HYPERLINK("https://klasma.github.io/Logging_1980/kartor/A 54536-2024 karta.png", "A 54536-2024")</f>
        <v/>
      </c>
      <c r="Y41">
        <f>HYPERLINK("https://klasma.github.io/Logging_1980/kartor_geotiff/A 54536-2024 georefererad karta.tif", "A 54536-2024")</f>
        <v/>
      </c>
      <c r="AA41">
        <f>HYPERLINK("https://klasma.github.io/Logging_1980/klagomål/A 54536-2024 FSC-klagomål.docx", "A 54536-2024")</f>
        <v/>
      </c>
      <c r="AB41">
        <f>HYPERLINK("https://klasma.github.io/Logging_1980/klagomålsmail/A 54536-2024 FSC-klagomål mail.docx", "A 54536-2024")</f>
        <v/>
      </c>
      <c r="AC41">
        <f>HYPERLINK("https://klasma.github.io/Logging_1980/tillsyn/A 54536-2024 tillsynsbegäran.docx", "A 54536-2024")</f>
        <v/>
      </c>
      <c r="AD41">
        <f>HYPERLINK("https://klasma.github.io/Logging_1980/tillsynsmail/A 54536-2024 tillsynsbegäran mail.docx", "A 54536-2024")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46304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46304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46304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46304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46304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46304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46304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8362-2022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46304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Köpingfibbla</t>
        </is>
      </c>
      <c r="W49">
        <f>HYPERLINK("https://klasma.github.io/Logging_1980/artfynd/A 8362-2022 artfynd.xlsx", "A 8362-2022")</f>
        <v/>
      </c>
      <c r="X49">
        <f>HYPERLINK("https://klasma.github.io/Logging_1980/kartor/A 8362-2022 karta.png", "A 8362-2022")</f>
        <v/>
      </c>
      <c r="Y49">
        <f>HYPERLINK("https://klasma.github.io/Logging_1980/kartor_geotiff/A 8362-2022 georefererad karta.tif", "A 8362-2022")</f>
        <v/>
      </c>
      <c r="AA49">
        <f>HYPERLINK("https://klasma.github.io/Logging_1980/klagomål/A 8362-2022 FSC-klagomål.docx", "A 8362-2022")</f>
        <v/>
      </c>
      <c r="AB49">
        <f>HYPERLINK("https://klasma.github.io/Logging_1980/klagomålsmail/A 8362-2022 FSC-klagomål mail.docx", "A 8362-2022")</f>
        <v/>
      </c>
      <c r="AC49">
        <f>HYPERLINK("https://klasma.github.io/Logging_1980/tillsyn/A 8362-2022 tillsynsbegäran.docx", "A 8362-2022")</f>
        <v/>
      </c>
      <c r="AD49">
        <f>HYPERLINK("https://klasma.github.io/Logging_1980/tillsynsmail/A 8362-2022 tillsynsbegäran mail.docx", "A 8362-2022")</f>
        <v/>
      </c>
    </row>
    <row r="50" ht="15" customHeight="1">
      <c r="A50" t="inlineStr">
        <is>
          <t>A 55676-2023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45232</v>
      </c>
      <c r="E50" s="1" t="n">
        <v>46304</v>
      </c>
      <c r="F50" t="inlineStr">
        <is>
          <t>VÄSTMANLANDS LÄN</t>
        </is>
      </c>
      <c r="G50" t="inlineStr">
        <is>
          <t>VÄSTERÅS</t>
        </is>
      </c>
      <c r="H50" t="inlineStr">
        <is>
          <t>Övriga Aktiebolag</t>
        </is>
      </c>
      <c r="I50" t="n">
        <v>37.9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Havsörn</t>
        </is>
      </c>
      <c r="W50">
        <f>HYPERLINK("https://klasma.github.io/Logging_1980/artfynd/A 55676-2023 artfynd.xlsx", "A 55676-2023")</f>
        <v/>
      </c>
      <c r="X50">
        <f>HYPERLINK("https://klasma.github.io/Logging_1980/kartor/A 55676-2023 karta.png", "A 55676-2023")</f>
        <v/>
      </c>
      <c r="Y50">
        <f>HYPERLINK("https://klasma.github.io/Logging_1980/kartor_geotiff/A 55676-2023 georefererad karta.tif", "A 55676-2023")</f>
        <v/>
      </c>
      <c r="AA50">
        <f>HYPERLINK("https://klasma.github.io/Logging_1980/klagomål/A 55676-2023 FSC-klagomål.docx", "A 55676-2023")</f>
        <v/>
      </c>
      <c r="AB50">
        <f>HYPERLINK("https://klasma.github.io/Logging_1980/klagomålsmail/A 55676-2023 FSC-klagomål mail.docx", "A 55676-2023")</f>
        <v/>
      </c>
      <c r="AC50">
        <f>HYPERLINK("https://klasma.github.io/Logging_1980/tillsyn/A 55676-2023 tillsynsbegäran.docx", "A 55676-2023")</f>
        <v/>
      </c>
      <c r="AD50">
        <f>HYPERLINK("https://klasma.github.io/Logging_1980/tillsynsmail/A 55676-2023 tillsynsbegäran mail.docx", "A 55676-2023")</f>
        <v/>
      </c>
      <c r="AE50">
        <f>HYPERLINK("https://klasma.github.io/Logging_1980/fåglar/A 55676-2023 prioriterade fågelarter.docx", "A 55676-2023")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46304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46304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46304</v>
      </c>
      <c r="F53" t="inlineStr">
        <is>
          <t>VÄSTMANLANDS LÄN</t>
        </is>
      </c>
      <c r="G53" t="inlineStr">
        <is>
          <t>VÄSTERÅS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5363-2025 artfynd.xlsx", "A 5363-2025")</f>
        <v/>
      </c>
      <c r="X53">
        <f>HYPERLINK("https://klasma.github.io/Logging_1980/kartor/A 5363-2025 karta.png", "A 5363-2025")</f>
        <v/>
      </c>
      <c r="Y53">
        <f>HYPERLINK("https://klasma.github.io/Logging_1980/kartor_geotiff/A 5363-2025 georefererad karta.tif", "A 5363-2025")</f>
        <v/>
      </c>
      <c r="AA53">
        <f>HYPERLINK("https://klasma.github.io/Logging_1980/klagomål/A 5363-2025 FSC-klagomål.docx", "A 5363-2025")</f>
        <v/>
      </c>
      <c r="AB53">
        <f>HYPERLINK("https://klasma.github.io/Logging_1980/klagomålsmail/A 5363-2025 FSC-klagomål mail.docx", "A 5363-2025")</f>
        <v/>
      </c>
      <c r="AC53">
        <f>HYPERLINK("https://klasma.github.io/Logging_1980/tillsyn/A 5363-2025 tillsynsbegäran.docx", "A 5363-2025")</f>
        <v/>
      </c>
      <c r="AD53">
        <f>HYPERLINK("https://klasma.github.io/Logging_1980/tillsynsmail/A 5363-2025 tillsynsbegäran mail.docx", "A 5363-2025")</f>
        <v/>
      </c>
    </row>
    <row r="54" ht="15" customHeight="1">
      <c r="A54" t="inlineStr">
        <is>
          <t>A 40886-2025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45897</v>
      </c>
      <c r="E54" s="1" t="n">
        <v>46304</v>
      </c>
      <c r="F54" t="inlineStr">
        <is>
          <t>VÄSTMANLANDS LÄN</t>
        </is>
      </c>
      <c r="G54" t="inlineStr">
        <is>
          <t>VÄSTERÅS</t>
        </is>
      </c>
      <c r="I54" t="n">
        <v>1.5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HYPERLINK("https://klasma.github.io/Logging_1980/artfynd/A 40886-2025 artfynd.xlsx", "A 40886-2025")</f>
        <v/>
      </c>
      <c r="X54">
        <f>HYPERLINK("https://klasma.github.io/Logging_1980/kartor/A 40886-2025 karta.png", "A 40886-2025")</f>
        <v/>
      </c>
      <c r="Y54">
        <f>HYPERLINK("https://klasma.github.io/Logging_1980/kartor_geotiff/A 40886-2025 georefererad karta.tif", "A 40886-2025")</f>
        <v/>
      </c>
      <c r="AA54">
        <f>HYPERLINK("https://klasma.github.io/Logging_1980/klagomål/A 40886-2025 FSC-klagomål.docx", "A 40886-2025")</f>
        <v/>
      </c>
      <c r="AB54">
        <f>HYPERLINK("https://klasma.github.io/Logging_1980/klagomålsmail/A 40886-2025 FSC-klagomål mail.docx", "A 40886-2025")</f>
        <v/>
      </c>
      <c r="AC54">
        <f>HYPERLINK("https://klasma.github.io/Logging_1980/tillsyn/A 40886-2025 tillsynsbegäran.docx", "A 40886-2025")</f>
        <v/>
      </c>
      <c r="AD54">
        <f>HYPERLINK("https://klasma.github.io/Logging_1980/tillsynsmail/A 40886-2025 tillsynsbegäran mail.docx", "A 40886-2025")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46304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16374-2025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46304</v>
      </c>
      <c r="F56" t="inlineStr">
        <is>
          <t>VÄSTMANLANDS LÄN</t>
        </is>
      </c>
      <c r="G56" t="inlineStr">
        <is>
          <t>VÄSTERÅS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Lönnlav</t>
        </is>
      </c>
      <c r="W56">
        <f>HYPERLINK("https://klasma.github.io/Logging_1980/artfynd/A 16374-2025 artfynd.xlsx", "A 16374-2025")</f>
        <v/>
      </c>
      <c r="X56">
        <f>HYPERLINK("https://klasma.github.io/Logging_1980/kartor/A 16374-2025 karta.png", "A 16374-2025")</f>
        <v/>
      </c>
      <c r="Y56">
        <f>HYPERLINK("https://klasma.github.io/Logging_1980/kartor_geotiff/A 16374-2025 georefererad karta.tif", "A 16374-2025")</f>
        <v/>
      </c>
      <c r="AA56">
        <f>HYPERLINK("https://klasma.github.io/Logging_1980/klagomål/A 16374-2025 FSC-klagomål.docx", "A 16374-2025")</f>
        <v/>
      </c>
      <c r="AB56">
        <f>HYPERLINK("https://klasma.github.io/Logging_1980/klagomålsmail/A 16374-2025 FSC-klagomål mail.docx", "A 16374-2025")</f>
        <v/>
      </c>
      <c r="AC56">
        <f>HYPERLINK("https://klasma.github.io/Logging_1980/tillsyn/A 16374-2025 tillsynsbegäran.docx", "A 16374-2025")</f>
        <v/>
      </c>
      <c r="AD56">
        <f>HYPERLINK("https://klasma.github.io/Logging_1980/tillsynsmail/A 16374-2025 tillsynsbegäran mail.docx", "A 16374-2025")</f>
        <v/>
      </c>
    </row>
    <row r="57" ht="15" customHeight="1">
      <c r="A57" t="inlineStr">
        <is>
          <t>A 29787-2023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46304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HYPERLINK("https://klasma.github.io/Logging_1980/artfynd/A 29787-2023 artfynd.xlsx", "A 29787-2023")</f>
        <v/>
      </c>
      <c r="X57">
        <f>HYPERLINK("https://klasma.github.io/Logging_1980/kartor/A 29787-2023 karta.png", "A 29787-2023")</f>
        <v/>
      </c>
      <c r="Y57">
        <f>HYPERLINK("https://klasma.github.io/Logging_1980/kartor_geotiff/A 29787-2023 georefererad karta.tif", "A 29787-2023")</f>
        <v/>
      </c>
      <c r="AA57">
        <f>HYPERLINK("https://klasma.github.io/Logging_1980/klagomål/A 29787-2023 FSC-klagomål.docx", "A 29787-2023")</f>
        <v/>
      </c>
      <c r="AB57">
        <f>HYPERLINK("https://klasma.github.io/Logging_1980/klagomålsmail/A 29787-2023 FSC-klagomål mail.docx", "A 29787-2023")</f>
        <v/>
      </c>
      <c r="AC57">
        <f>HYPERLINK("https://klasma.github.io/Logging_1980/tillsyn/A 29787-2023 tillsynsbegäran.docx", "A 29787-2023")</f>
        <v/>
      </c>
      <c r="AD57">
        <f>HYPERLINK("https://klasma.github.io/Logging_1980/tillsynsmail/A 29787-2023 tillsynsbegäran mail.docx", "A 29787-2023")</f>
        <v/>
      </c>
    </row>
    <row r="58" ht="15" customHeight="1">
      <c r="A58" t="inlineStr">
        <is>
          <t>A 59144-2025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46304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HYPERLINK("https://klasma.github.io/Logging_1980/artfynd/A 59144-2025 artfynd.xlsx", "A 59144-2025")</f>
        <v/>
      </c>
      <c r="X58">
        <f>HYPERLINK("https://klasma.github.io/Logging_1980/kartor/A 59144-2025 karta.png", "A 59144-2025")</f>
        <v/>
      </c>
      <c r="Y58">
        <f>HYPERLINK("https://klasma.github.io/Logging_1980/kartor_geotiff/A 59144-2025 georefererad karta.tif", "A 59144-2025")</f>
        <v/>
      </c>
      <c r="AA58">
        <f>HYPERLINK("https://klasma.github.io/Logging_1980/klagomål/A 59144-2025 FSC-klagomål.docx", "A 59144-2025")</f>
        <v/>
      </c>
      <c r="AB58">
        <f>HYPERLINK("https://klasma.github.io/Logging_1980/klagomålsmail/A 59144-2025 FSC-klagomål mail.docx", "A 59144-2025")</f>
        <v/>
      </c>
      <c r="AC58">
        <f>HYPERLINK("https://klasma.github.io/Logging_1980/tillsyn/A 59144-2025 tillsynsbegäran.docx", "A 59144-2025")</f>
        <v/>
      </c>
      <c r="AD58">
        <f>HYPERLINK("https://klasma.github.io/Logging_1980/tillsynsmail/A 59144-2025 tillsynsbegäran mail.docx", "A 59144-2025")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46304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1594-2023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46304</v>
      </c>
      <c r="F60" t="inlineStr">
        <is>
          <t>VÄSTMANLANDS LÄN</t>
        </is>
      </c>
      <c r="G60" t="inlineStr">
        <is>
          <t>VÄSTERÅS</t>
        </is>
      </c>
      <c r="I60" t="n">
        <v>10.9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Sparvuggla</t>
        </is>
      </c>
      <c r="W60">
        <f>HYPERLINK("https://klasma.github.io/Logging_1980/artfynd/A 1594-2023 artfynd.xlsx", "A 1594-2023")</f>
        <v/>
      </c>
      <c r="X60">
        <f>HYPERLINK("https://klasma.github.io/Logging_1980/kartor/A 1594-2023 karta.png", "A 1594-2023")</f>
        <v/>
      </c>
      <c r="Y60">
        <f>HYPERLINK("https://klasma.github.io/Logging_1980/kartor_geotiff/A 1594-2023 georefererad karta.tif", "A 1594-2023")</f>
        <v/>
      </c>
      <c r="AA60">
        <f>HYPERLINK("https://klasma.github.io/Logging_1980/klagomål/A 1594-2023 FSC-klagomål.docx", "A 1594-2023")</f>
        <v/>
      </c>
      <c r="AB60">
        <f>HYPERLINK("https://klasma.github.io/Logging_1980/klagomålsmail/A 1594-2023 FSC-klagomål mail.docx", "A 1594-2023")</f>
        <v/>
      </c>
      <c r="AC60">
        <f>HYPERLINK("https://klasma.github.io/Logging_1980/tillsyn/A 1594-2023 tillsynsbegäran.docx", "A 1594-2023")</f>
        <v/>
      </c>
      <c r="AD60">
        <f>HYPERLINK("https://klasma.github.io/Logging_1980/tillsynsmail/A 1594-2023 tillsynsbegäran mail.docx", "A 1594-2023")</f>
        <v/>
      </c>
      <c r="AE60">
        <f>HYPERLINK("https://klasma.github.io/Logging_1980/fåglar/A 1594-2023 prioriterade fågelarter.docx", "A 1594-2023")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46304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A 46189-2023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45196</v>
      </c>
      <c r="E62" s="1" t="n">
        <v>46304</v>
      </c>
      <c r="F62" t="inlineStr">
        <is>
          <t>VÄSTMANLANDS LÄN</t>
        </is>
      </c>
      <c r="G62" t="inlineStr">
        <is>
          <t>VÄSTERÅS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Gullviva</t>
        </is>
      </c>
      <c r="W62">
        <f>HYPERLINK("https://klasma.github.io/Logging_1980/artfynd/A 46189-2023 artfynd.xlsx", "A 46189-2023")</f>
        <v/>
      </c>
      <c r="X62">
        <f>HYPERLINK("https://klasma.github.io/Logging_1980/kartor/A 46189-2023 karta.png", "A 46189-2023")</f>
        <v/>
      </c>
      <c r="Y62">
        <f>HYPERLINK("https://klasma.github.io/Logging_1980/kartor_geotiff/A 46189-2023 georefererad karta.tif", "A 46189-2023")</f>
        <v/>
      </c>
      <c r="AA62">
        <f>HYPERLINK("https://klasma.github.io/Logging_1980/klagomål/A 46189-2023 FSC-klagomål.docx", "A 46189-2023")</f>
        <v/>
      </c>
      <c r="AB62">
        <f>HYPERLINK("https://klasma.github.io/Logging_1980/klagomålsmail/A 46189-2023 FSC-klagomål mail.docx", "A 46189-2023")</f>
        <v/>
      </c>
      <c r="AC62">
        <f>HYPERLINK("https://klasma.github.io/Logging_1980/tillsyn/A 46189-2023 tillsynsbegäran.docx", "A 46189-2023")</f>
        <v/>
      </c>
      <c r="AD62">
        <f>HYPERLINK("https://klasma.github.io/Logging_1980/tillsynsmail/A 46189-2023 tillsynsbegäran mail.docx", "A 46189-2023")</f>
        <v/>
      </c>
    </row>
    <row r="63" ht="15" customHeight="1">
      <c r="A63" t="inlineStr">
        <is>
          <t>A 31976-2026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46232</v>
      </c>
      <c r="E63" s="1" t="n">
        <v>46304</v>
      </c>
      <c r="F63" t="inlineStr">
        <is>
          <t>VÄSTMANLANDS LÄN</t>
        </is>
      </c>
      <c r="G63" t="inlineStr">
        <is>
          <t>VÄSTERÅS</t>
        </is>
      </c>
      <c r="H63" t="inlineStr">
        <is>
          <t>Övriga Aktiebolag</t>
        </is>
      </c>
      <c r="I63" t="n">
        <v>14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Rostfläck</t>
        </is>
      </c>
      <c r="W63">
        <f>HYPERLINK("https://klasma.github.io/Logging_1980/artfynd/A 31976-2026 artfynd.xlsx", "A 31976-2026")</f>
        <v/>
      </c>
      <c r="X63">
        <f>HYPERLINK("https://klasma.github.io/Logging_1980/kartor/A 31976-2026 karta.png", "A 31976-2026")</f>
        <v/>
      </c>
      <c r="Y63">
        <f>HYPERLINK("https://klasma.github.io/Logging_1980/kartor_geotiff/A 31976-2026 georefererad karta.tif", "A 31976-2026")</f>
        <v/>
      </c>
      <c r="AA63">
        <f>HYPERLINK("https://klasma.github.io/Logging_1980/klagomål/A 31976-2026 FSC-klagomål.docx", "A 31976-2026")</f>
        <v/>
      </c>
      <c r="AB63">
        <f>HYPERLINK("https://klasma.github.io/Logging_1980/klagomålsmail/A 31976-2026 FSC-klagomål mail.docx", "A 31976-2026")</f>
        <v/>
      </c>
      <c r="AC63">
        <f>HYPERLINK("https://klasma.github.io/Logging_1980/tillsyn/A 31976-2026 tillsynsbegäran.docx", "A 31976-2026")</f>
        <v/>
      </c>
      <c r="AD63">
        <f>HYPERLINK("https://klasma.github.io/Logging_1980/tillsynsmail/A 31976-2026 tillsynsbegäran mail.docx", "A 31976-2026")</f>
        <v/>
      </c>
    </row>
    <row r="64" ht="15" customHeight="1">
      <c r="A64" t="inlineStr">
        <is>
          <t>A 61254-2023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45264</v>
      </c>
      <c r="E64" s="1" t="n">
        <v>46304</v>
      </c>
      <c r="F64" t="inlineStr">
        <is>
          <t>VÄSTMANLANDS LÄN</t>
        </is>
      </c>
      <c r="G64" t="inlineStr">
        <is>
          <t>VÄSTERÅS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Mistel</t>
        </is>
      </c>
      <c r="W64">
        <f>HYPERLINK("https://klasma.github.io/Logging_1980/artfynd/A 61254-2023 artfynd.xlsx", "A 61254-2023")</f>
        <v/>
      </c>
      <c r="X64">
        <f>HYPERLINK("https://klasma.github.io/Logging_1980/kartor/A 61254-2023 karta.png", "A 61254-2023")</f>
        <v/>
      </c>
      <c r="Y64">
        <f>HYPERLINK("https://klasma.github.io/Logging_1980/kartor_geotiff/A 61254-2023 georefererad karta.tif", "A 61254-2023")</f>
        <v/>
      </c>
      <c r="AA64">
        <f>HYPERLINK("https://klasma.github.io/Logging_1980/klagomål/A 61254-2023 FSC-klagomål.docx", "A 61254-2023")</f>
        <v/>
      </c>
      <c r="AB64">
        <f>HYPERLINK("https://klasma.github.io/Logging_1980/klagomålsmail/A 61254-2023 FSC-klagomål mail.docx", "A 61254-2023")</f>
        <v/>
      </c>
      <c r="AC64">
        <f>HYPERLINK("https://klasma.github.io/Logging_1980/tillsyn/A 61254-2023 tillsynsbegäran.docx", "A 61254-2023")</f>
        <v/>
      </c>
      <c r="AD64">
        <f>HYPERLINK("https://klasma.github.io/Logging_1980/tillsynsmail/A 61254-2023 tillsynsbegäran mail.docx", "A 61254-2023")</f>
        <v/>
      </c>
    </row>
    <row r="65" ht="15" customHeight="1">
      <c r="A65" t="inlineStr">
        <is>
          <t>A 59520-2024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46304</v>
      </c>
      <c r="F65" t="inlineStr">
        <is>
          <t>VÄSTMANLANDS LÄN</t>
        </is>
      </c>
      <c r="G65" t="inlineStr">
        <is>
          <t>VÄSTERÅS</t>
        </is>
      </c>
      <c r="I65" t="n">
        <v>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HYPERLINK("https://klasma.github.io/Logging_1980/artfynd/A 59520-2024 artfynd.xlsx", "A 59520-2024")</f>
        <v/>
      </c>
      <c r="X65">
        <f>HYPERLINK("https://klasma.github.io/Logging_1980/kartor/A 59520-2024 karta.png", "A 59520-2024")</f>
        <v/>
      </c>
      <c r="Y65">
        <f>HYPERLINK("https://klasma.github.io/Logging_1980/kartor_geotiff/A 59520-2024 georefererad karta.tif", "A 59520-2024")</f>
        <v/>
      </c>
      <c r="AA65">
        <f>HYPERLINK("https://klasma.github.io/Logging_1980/klagomål/A 59520-2024 FSC-klagomål.docx", "A 59520-2024")</f>
        <v/>
      </c>
      <c r="AB65">
        <f>HYPERLINK("https://klasma.github.io/Logging_1980/klagomålsmail/A 59520-2024 FSC-klagomål mail.docx", "A 59520-2024")</f>
        <v/>
      </c>
      <c r="AC65">
        <f>HYPERLINK("https://klasma.github.io/Logging_1980/tillsyn/A 59520-2024 tillsynsbegäran.docx", "A 59520-2024")</f>
        <v/>
      </c>
      <c r="AD65">
        <f>HYPERLINK("https://klasma.github.io/Logging_1980/tillsynsmail/A 59520-2024 tillsynsbegäran mail.docx", "A 59520-2024")</f>
        <v/>
      </c>
    </row>
    <row r="66" ht="15" customHeight="1">
      <c r="A66" t="inlineStr">
        <is>
          <t>A 39919-2026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46304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HYPERLINK("https://klasma.github.io/Logging_1980/artfynd/A 39919-2026 artfynd.xlsx", "A 39919-2026")</f>
        <v/>
      </c>
      <c r="X66">
        <f>HYPERLINK("https://klasma.github.io/Logging_1980/kartor/A 39919-2026 karta.png", "A 39919-2026")</f>
        <v/>
      </c>
      <c r="Y66">
        <f>HYPERLINK("https://klasma.github.io/Logging_1980/kartor_geotiff/A 39919-2026 georefererad karta.tif", "A 39919-2026")</f>
        <v/>
      </c>
      <c r="AA66">
        <f>HYPERLINK("https://klasma.github.io/Logging_1980/klagomål/A 39919-2026 FSC-klagomål.docx", "A 39919-2026")</f>
        <v/>
      </c>
      <c r="AB66">
        <f>HYPERLINK("https://klasma.github.io/Logging_1980/klagomålsmail/A 39919-2026 FSC-klagomål mail.docx", "A 39919-2026")</f>
        <v/>
      </c>
      <c r="AC66">
        <f>HYPERLINK("https://klasma.github.io/Logging_1980/tillsyn/A 39919-2026 tillsynsbegäran.docx", "A 39919-2026")</f>
        <v/>
      </c>
      <c r="AD66">
        <f>HYPERLINK("https://klasma.github.io/Logging_1980/tillsynsmail/A 39919-2026 tillsynsbegäran mail.docx", "A 39919-2026")</f>
        <v/>
      </c>
      <c r="AE66">
        <f>HYPERLINK("https://klasma.github.io/Logging_1980/fåglar/A 39919-2026 prioriterade fågelarter.docx", "A 39919-2026")</f>
        <v/>
      </c>
    </row>
    <row r="67" ht="15" customHeight="1">
      <c r="A67" t="inlineStr">
        <is>
          <t>A 39915-2026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46290</v>
      </c>
      <c r="E67" s="1" t="n">
        <v>46304</v>
      </c>
      <c r="F67" t="inlineStr">
        <is>
          <t>VÄSTMANLANDS LÄN</t>
        </is>
      </c>
      <c r="G67" t="inlineStr">
        <is>
          <t>VÄSTERÅS</t>
        </is>
      </c>
      <c r="H67" t="inlineStr">
        <is>
          <t>Sveaskog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Lopplummer (aggregat)</t>
        </is>
      </c>
      <c r="W67">
        <f>HYPERLINK("https://klasma.github.io/Logging_1980/artfynd/A 39915-2026 artfynd.xlsx", "A 39915-2026")</f>
        <v/>
      </c>
      <c r="X67">
        <f>HYPERLINK("https://klasma.github.io/Logging_1980/kartor/A 39915-2026 karta.png", "A 39915-2026")</f>
        <v/>
      </c>
      <c r="Y67">
        <f>HYPERLINK("https://klasma.github.io/Logging_1980/kartor_geotiff/A 39915-2026 georefererad karta.tif", "A 39915-2026")</f>
        <v/>
      </c>
      <c r="AA67">
        <f>HYPERLINK("https://klasma.github.io/Logging_1980/klagomål/A 39915-2026 FSC-klagomål.docx", "A 39915-2026")</f>
        <v/>
      </c>
      <c r="AB67">
        <f>HYPERLINK("https://klasma.github.io/Logging_1980/klagomålsmail/A 39915-2026 FSC-klagomål mail.docx", "A 39915-2026")</f>
        <v/>
      </c>
      <c r="AC67">
        <f>HYPERLINK("https://klasma.github.io/Logging_1980/tillsyn/A 39915-2026 tillsynsbegäran.docx", "A 39915-2026")</f>
        <v/>
      </c>
      <c r="AD67">
        <f>HYPERLINK("https://klasma.github.io/Logging_1980/tillsynsmail/A 39915-2026 tillsynsbegäran mail.docx", "A 39915-2026")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46304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21857-2022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46304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46304</v>
      </c>
      <c r="F70" t="inlineStr">
        <is>
          <t>VÄSTMANLANDS LÄN</t>
        </is>
      </c>
      <c r="G70" t="inlineStr">
        <is>
          <t>VÄSTERÅS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46304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46304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46304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46304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46304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46304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46304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46304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46304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46304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46304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46304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46304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46304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46304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46304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46304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46304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46304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46304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46304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46304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46304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46304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46304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46304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46304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46304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46304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46304</v>
      </c>
      <c r="F100" t="inlineStr">
        <is>
          <t>VÄSTMANLANDS LÄN</t>
        </is>
      </c>
      <c r="G100" t="inlineStr">
        <is>
          <t>VÄSTERÅS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46304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46304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46304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46304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46304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46304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46304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46304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46304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46304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46304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46304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46304</v>
      </c>
      <c r="F113" t="inlineStr">
        <is>
          <t>VÄSTMANLANDS LÄN</t>
        </is>
      </c>
      <c r="G113" t="inlineStr">
        <is>
          <t>VÄSTERÅS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45705</v>
      </c>
      <c r="E114" s="1" t="n">
        <v>46304</v>
      </c>
      <c r="F114" t="inlineStr">
        <is>
          <t>VÄSTMANLANDS LÄN</t>
        </is>
      </c>
      <c r="G114" t="inlineStr">
        <is>
          <t>VÄSTERÅS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46304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46304</v>
      </c>
      <c r="F116" t="inlineStr">
        <is>
          <t>VÄSTMANLANDS LÄN</t>
        </is>
      </c>
      <c r="G116" t="inlineStr">
        <is>
          <t>VÄSTERÅS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46304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46304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15329-2023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45019</v>
      </c>
      <c r="E119" s="1" t="n">
        <v>46304</v>
      </c>
      <c r="F119" t="inlineStr">
        <is>
          <t>VÄSTMANLANDS LÄN</t>
        </is>
      </c>
      <c r="G119" t="inlineStr">
        <is>
          <t>VÄSTERÅS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46304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44875</v>
      </c>
      <c r="E121" s="1" t="n">
        <v>46304</v>
      </c>
      <c r="F121" t="inlineStr">
        <is>
          <t>VÄSTMANLANDS LÄN</t>
        </is>
      </c>
      <c r="G121" t="inlineStr">
        <is>
          <t>VÄSTERÅS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44936</v>
      </c>
      <c r="E122" s="1" t="n">
        <v>46304</v>
      </c>
      <c r="F122" t="inlineStr">
        <is>
          <t>VÄSTMANLANDS LÄN</t>
        </is>
      </c>
      <c r="G122" t="inlineStr">
        <is>
          <t>VÄSTERÅS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46304</v>
      </c>
      <c r="F123" t="inlineStr">
        <is>
          <t>VÄSTMANLANDS LÄN</t>
        </is>
      </c>
      <c r="G123" t="inlineStr">
        <is>
          <t>VÄSTERÅS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46304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46304</v>
      </c>
      <c r="F125" t="inlineStr">
        <is>
          <t>VÄSTMANLANDS LÄN</t>
        </is>
      </c>
      <c r="G125" t="inlineStr">
        <is>
          <t>VÄSTERÅS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46304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46304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46304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45456</v>
      </c>
      <c r="E129" s="1" t="n">
        <v>46304</v>
      </c>
      <c r="F129" t="inlineStr">
        <is>
          <t>VÄSTMANLANDS LÄN</t>
        </is>
      </c>
      <c r="G129" t="inlineStr">
        <is>
          <t>VÄSTERÅS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46304</v>
      </c>
      <c r="F130" t="inlineStr">
        <is>
          <t>VÄSTMANLANDS LÄN</t>
        </is>
      </c>
      <c r="G130" t="inlineStr">
        <is>
          <t>VÄSTERÅS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11520-2026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46083</v>
      </c>
      <c r="E131" s="1" t="n">
        <v>46304</v>
      </c>
      <c r="F131" t="inlineStr">
        <is>
          <t>VÄSTMANLANDS LÄN</t>
        </is>
      </c>
      <c r="G131" t="inlineStr">
        <is>
          <t>VÄSTERÅS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46304</v>
      </c>
      <c r="F132" t="inlineStr">
        <is>
          <t>VÄSTMANLANDS LÄN</t>
        </is>
      </c>
      <c r="G132" t="inlineStr">
        <is>
          <t>VÄSTERÅS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46304</v>
      </c>
      <c r="F133" t="inlineStr">
        <is>
          <t>VÄSTMANLANDS LÄN</t>
        </is>
      </c>
      <c r="G133" t="inlineStr">
        <is>
          <t>VÄSTERÅS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46304</v>
      </c>
      <c r="F134" t="inlineStr">
        <is>
          <t>VÄSTMANLANDS LÄN</t>
        </is>
      </c>
      <c r="G134" t="inlineStr">
        <is>
          <t>VÄSTERÅS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44880</v>
      </c>
      <c r="E135" s="1" t="n">
        <v>46304</v>
      </c>
      <c r="F135" t="inlineStr">
        <is>
          <t>VÄSTMANLANDS LÄN</t>
        </is>
      </c>
      <c r="G135" t="inlineStr">
        <is>
          <t>VÄSTERÅS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46304</v>
      </c>
      <c r="F136" t="inlineStr">
        <is>
          <t>VÄSTMANLANDS LÄN</t>
        </is>
      </c>
      <c r="G136" t="inlineStr">
        <is>
          <t>VÄSTERÅS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31361-2025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46304</v>
      </c>
      <c r="F137" t="inlineStr">
        <is>
          <t>VÄSTMANLANDS LÄN</t>
        </is>
      </c>
      <c r="G137" t="inlineStr">
        <is>
          <t>VÄSTERÅS</t>
        </is>
      </c>
      <c r="I137" t="n">
        <v>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46304</v>
      </c>
      <c r="F138" t="inlineStr">
        <is>
          <t>VÄSTMANLANDS LÄN</t>
        </is>
      </c>
      <c r="G138" t="inlineStr">
        <is>
          <t>VÄSTERÅS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46304</v>
      </c>
      <c r="F139" t="inlineStr">
        <is>
          <t>VÄSTMANLANDS LÄN</t>
        </is>
      </c>
      <c r="G139" t="inlineStr">
        <is>
          <t>VÄSTERÅS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45595</v>
      </c>
      <c r="E140" s="1" t="n">
        <v>46304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Aktiebolag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45125</v>
      </c>
      <c r="E141" s="1" t="n">
        <v>46304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46304</v>
      </c>
      <c r="F142" t="inlineStr">
        <is>
          <t>VÄSTMANLANDS LÄN</t>
        </is>
      </c>
      <c r="G142" t="inlineStr">
        <is>
          <t>VÄSTERÅS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46304</v>
      </c>
      <c r="F143" t="inlineStr">
        <is>
          <t>VÄSTMANLANDS LÄN</t>
        </is>
      </c>
      <c r="G143" t="inlineStr">
        <is>
          <t>VÄSTERÅS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39127-2022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46304</v>
      </c>
      <c r="F144" t="inlineStr">
        <is>
          <t>VÄSTMANLANDS LÄN</t>
        </is>
      </c>
      <c r="G144" t="inlineStr">
        <is>
          <t>VÄSTERÅS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45832</v>
      </c>
      <c r="E145" s="1" t="n">
        <v>46304</v>
      </c>
      <c r="F145" t="inlineStr">
        <is>
          <t>VÄSTMANLANDS LÄN</t>
        </is>
      </c>
      <c r="G145" t="inlineStr">
        <is>
          <t>VÄSTERÅS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32053-2023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46304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46304</v>
      </c>
      <c r="F147" t="inlineStr">
        <is>
          <t>VÄSTMANLANDS LÄN</t>
        </is>
      </c>
      <c r="G147" t="inlineStr">
        <is>
          <t>VÄSTERÅS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46304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46304</v>
      </c>
      <c r="F149" t="inlineStr">
        <is>
          <t>VÄSTMANLANDS LÄN</t>
        </is>
      </c>
      <c r="G149" t="inlineStr">
        <is>
          <t>VÄSTERÅS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46304</v>
      </c>
      <c r="F150" t="inlineStr">
        <is>
          <t>VÄSTMANLANDS LÄN</t>
        </is>
      </c>
      <c r="G150" t="inlineStr">
        <is>
          <t>VÄSTERÅS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51223-2023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46304</v>
      </c>
      <c r="F151" t="inlineStr">
        <is>
          <t>VÄSTMANLANDS LÄN</t>
        </is>
      </c>
      <c r="G151" t="inlineStr">
        <is>
          <t>VÄSTERÅS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46304</v>
      </c>
      <c r="F152" t="inlineStr">
        <is>
          <t>VÄSTMANLANDS LÄN</t>
        </is>
      </c>
      <c r="G152" t="inlineStr">
        <is>
          <t>VÄSTERÅS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46304</v>
      </c>
      <c r="F153" t="inlineStr">
        <is>
          <t>VÄSTMANLANDS LÄN</t>
        </is>
      </c>
      <c r="G153" t="inlineStr">
        <is>
          <t>VÄSTERÅS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11989-2022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46304</v>
      </c>
      <c r="F154" t="inlineStr">
        <is>
          <t>VÄSTMANLANDS LÄN</t>
        </is>
      </c>
      <c r="G154" t="inlineStr">
        <is>
          <t>VÄSTERÅS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14885-2026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46304</v>
      </c>
      <c r="F155" t="inlineStr">
        <is>
          <t>VÄSTMANLANDS LÄN</t>
        </is>
      </c>
      <c r="G155" t="inlineStr">
        <is>
          <t>VÄSTERÅS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46304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statliga verk och myndigheter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59765-2023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45257</v>
      </c>
      <c r="E157" s="1" t="n">
        <v>46304</v>
      </c>
      <c r="F157" t="inlineStr">
        <is>
          <t>VÄSTMANLANDS LÄN</t>
        </is>
      </c>
      <c r="G157" t="inlineStr">
        <is>
          <t>VÄSTERÅS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44908</v>
      </c>
      <c r="E158" s="1" t="n">
        <v>46304</v>
      </c>
      <c r="F158" t="inlineStr">
        <is>
          <t>VÄSTMANLANDS LÄN</t>
        </is>
      </c>
      <c r="G158" t="inlineStr">
        <is>
          <t>VÄSTERÅS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16685-2026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46112</v>
      </c>
      <c r="E159" s="1" t="n">
        <v>46304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46304</v>
      </c>
      <c r="F160" t="inlineStr">
        <is>
          <t>VÄSTMANLANDS LÄN</t>
        </is>
      </c>
      <c r="G160" t="inlineStr">
        <is>
          <t>VÄSTERÅS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46304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46304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45027</v>
      </c>
      <c r="E163" s="1" t="n">
        <v>46304</v>
      </c>
      <c r="F163" t="inlineStr">
        <is>
          <t>VÄSTMANLANDS LÄN</t>
        </is>
      </c>
      <c r="G163" t="inlineStr">
        <is>
          <t>VÄSTERÅS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45027</v>
      </c>
      <c r="E164" s="1" t="n">
        <v>46304</v>
      </c>
      <c r="F164" t="inlineStr">
        <is>
          <t>VÄSTMANLANDS LÄN</t>
        </is>
      </c>
      <c r="G164" t="inlineStr">
        <is>
          <t>VÄSTERÅS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16579-2026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46304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46304</v>
      </c>
      <c r="F166" t="inlineStr">
        <is>
          <t>VÄSTMANLANDS LÄN</t>
        </is>
      </c>
      <c r="G166" t="inlineStr">
        <is>
          <t>VÄSTERÅS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46304</v>
      </c>
      <c r="F167" t="inlineStr">
        <is>
          <t>VÄSTMANLANDS LÄN</t>
        </is>
      </c>
      <c r="G167" t="inlineStr">
        <is>
          <t>VÄSTERÅS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46304</v>
      </c>
      <c r="F168" t="inlineStr">
        <is>
          <t>VÄSTMANLANDS LÄN</t>
        </is>
      </c>
      <c r="G168" t="inlineStr">
        <is>
          <t>VÄSTERÅS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52015-2024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45607</v>
      </c>
      <c r="E169" s="1" t="n">
        <v>46304</v>
      </c>
      <c r="F169" t="inlineStr">
        <is>
          <t>VÄSTMANLANDS LÄN</t>
        </is>
      </c>
      <c r="G169" t="inlineStr">
        <is>
          <t>VÄSTERÅS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46304</v>
      </c>
      <c r="F170" t="inlineStr">
        <is>
          <t>VÄSTMANLANDS LÄN</t>
        </is>
      </c>
      <c r="G170" t="inlineStr">
        <is>
          <t>VÄSTERÅS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44999</v>
      </c>
      <c r="E171" s="1" t="n">
        <v>46304</v>
      </c>
      <c r="F171" t="inlineStr">
        <is>
          <t>VÄSTMANLANDS LÄN</t>
        </is>
      </c>
      <c r="G171" t="inlineStr">
        <is>
          <t>VÄSTERÅS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46304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Övriga statliga verk och myndigheter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46304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46120</v>
      </c>
      <c r="E174" s="1" t="n">
        <v>46304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Allmännings- och besparingsskogar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17657-2026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46121</v>
      </c>
      <c r="E175" s="1" t="n">
        <v>46304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Kommuner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51230-2023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46304</v>
      </c>
      <c r="F176" t="inlineStr">
        <is>
          <t>VÄSTMANLANDS LÄN</t>
        </is>
      </c>
      <c r="G176" t="inlineStr">
        <is>
          <t>VÄSTERÅS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44958</v>
      </c>
      <c r="E177" s="1" t="n">
        <v>46304</v>
      </c>
      <c r="F177" t="inlineStr">
        <is>
          <t>VÄSTMANLANDS LÄN</t>
        </is>
      </c>
      <c r="G177" t="inlineStr">
        <is>
          <t>VÄSTERÅS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44582</v>
      </c>
      <c r="E178" s="1" t="n">
        <v>46304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Övriga Aktiebolag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46304</v>
      </c>
      <c r="F179" t="inlineStr">
        <is>
          <t>VÄSTMANLANDS LÄN</t>
        </is>
      </c>
      <c r="G179" t="inlineStr">
        <is>
          <t>VÄSTERÅS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46304</v>
      </c>
      <c r="F180" t="inlineStr">
        <is>
          <t>VÄSTMANLANDS LÄN</t>
        </is>
      </c>
      <c r="G180" t="inlineStr">
        <is>
          <t>VÄSTERÅS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46304</v>
      </c>
      <c r="F181" t="inlineStr">
        <is>
          <t>VÄSTMANLANDS LÄN</t>
        </is>
      </c>
      <c r="G181" t="inlineStr">
        <is>
          <t>VÄSTERÅS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46304</v>
      </c>
      <c r="F182" t="inlineStr">
        <is>
          <t>VÄSTMANLANDS LÄN</t>
        </is>
      </c>
      <c r="G182" t="inlineStr">
        <is>
          <t>VÄSTERÅS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45414</v>
      </c>
      <c r="E183" s="1" t="n">
        <v>46304</v>
      </c>
      <c r="F183" t="inlineStr">
        <is>
          <t>VÄSTMANLANDS LÄN</t>
        </is>
      </c>
      <c r="G183" t="inlineStr">
        <is>
          <t>VÄSTERÅS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18465-2023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45042</v>
      </c>
      <c r="E184" s="1" t="n">
        <v>46304</v>
      </c>
      <c r="F184" t="inlineStr">
        <is>
          <t>VÄSTMANLANDS LÄN</t>
        </is>
      </c>
      <c r="G184" t="inlineStr">
        <is>
          <t>VÄSTERÅS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46304</v>
      </c>
      <c r="F185" t="inlineStr">
        <is>
          <t>VÄSTMANLANDS LÄN</t>
        </is>
      </c>
      <c r="G185" t="inlineStr">
        <is>
          <t>VÄSTERÅS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64202-2023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45279</v>
      </c>
      <c r="E186" s="1" t="n">
        <v>46304</v>
      </c>
      <c r="F186" t="inlineStr">
        <is>
          <t>VÄSTMANLANDS LÄN</t>
        </is>
      </c>
      <c r="G186" t="inlineStr">
        <is>
          <t>VÄSTERÅS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46304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46304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Kyrkan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38436-2023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45160</v>
      </c>
      <c r="E189" s="1" t="n">
        <v>46304</v>
      </c>
      <c r="F189" t="inlineStr">
        <is>
          <t>VÄSTMANLANDS LÄN</t>
        </is>
      </c>
      <c r="G189" t="inlineStr">
        <is>
          <t>VÄSTERÅS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46304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44595</v>
      </c>
      <c r="E191" s="1" t="n">
        <v>46304</v>
      </c>
      <c r="F191" t="inlineStr">
        <is>
          <t>VÄSTMANLANDS LÄN</t>
        </is>
      </c>
      <c r="G191" t="inlineStr">
        <is>
          <t>VÄSTERÅS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47101-2025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46304</v>
      </c>
      <c r="F192" t="inlineStr">
        <is>
          <t>VÄSTMANLANDS LÄN</t>
        </is>
      </c>
      <c r="G192" t="inlineStr">
        <is>
          <t>VÄSTERÅS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46030</v>
      </c>
      <c r="E193" s="1" t="n">
        <v>46304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Allmännings- och besparingsskogar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63851-2021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44509</v>
      </c>
      <c r="E194" s="1" t="n">
        <v>46304</v>
      </c>
      <c r="F194" t="inlineStr">
        <is>
          <t>VÄSTMANLANDS LÄN</t>
        </is>
      </c>
      <c r="G194" t="inlineStr">
        <is>
          <t>VÄSTERÅS</t>
        </is>
      </c>
      <c r="I194" t="n">
        <v>11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46304</v>
      </c>
      <c r="F195" t="inlineStr">
        <is>
          <t>VÄSTMANLANDS LÄN</t>
        </is>
      </c>
      <c r="G195" t="inlineStr">
        <is>
          <t>VÄSTERÅS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46304</v>
      </c>
      <c r="F196" t="inlineStr">
        <is>
          <t>VÄSTMANLANDS LÄN</t>
        </is>
      </c>
      <c r="G196" t="inlineStr">
        <is>
          <t>VÄSTERÅS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60797-2022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46304</v>
      </c>
      <c r="F197" t="inlineStr">
        <is>
          <t>VÄSTMANLANDS LÄN</t>
        </is>
      </c>
      <c r="G197" t="inlineStr">
        <is>
          <t>VÄSTERÅS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18457-2023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45042</v>
      </c>
      <c r="E198" s="1" t="n">
        <v>46304</v>
      </c>
      <c r="F198" t="inlineStr">
        <is>
          <t>VÄSTMANLANDS LÄN</t>
        </is>
      </c>
      <c r="G198" t="inlineStr">
        <is>
          <t>VÄSTERÅS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44717</v>
      </c>
      <c r="E199" s="1" t="n">
        <v>46304</v>
      </c>
      <c r="F199" t="inlineStr">
        <is>
          <t>VÄSTMANLANDS LÄN</t>
        </is>
      </c>
      <c r="G199" t="inlineStr">
        <is>
          <t>VÄSTERÅS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51219-2023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46304</v>
      </c>
      <c r="F200" t="inlineStr">
        <is>
          <t>VÄSTMANLANDS LÄN</t>
        </is>
      </c>
      <c r="G200" t="inlineStr">
        <is>
          <t>VÄSTERÅS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46304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7797-2026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46062</v>
      </c>
      <c r="E202" s="1" t="n">
        <v>46304</v>
      </c>
      <c r="F202" t="inlineStr">
        <is>
          <t>VÄSTMANLANDS LÄN</t>
        </is>
      </c>
      <c r="G202" t="inlineStr">
        <is>
          <t>VÄSTERÅS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17725-2022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44680</v>
      </c>
      <c r="E203" s="1" t="n">
        <v>46304</v>
      </c>
      <c r="F203" t="inlineStr">
        <is>
          <t>VÄSTMANLANDS LÄN</t>
        </is>
      </c>
      <c r="G203" t="inlineStr">
        <is>
          <t>VÄSTERÅS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46304</v>
      </c>
      <c r="F204" t="inlineStr">
        <is>
          <t>VÄSTMANLANDS LÄN</t>
        </is>
      </c>
      <c r="G204" t="inlineStr">
        <is>
          <t>VÄSTERÅS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46304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46304</v>
      </c>
      <c r="F206" t="inlineStr">
        <is>
          <t>VÄSTMANLANDS LÄN</t>
        </is>
      </c>
      <c r="G206" t="inlineStr">
        <is>
          <t>VÄSTERÅS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45443</v>
      </c>
      <c r="E207" s="1" t="n">
        <v>46304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52027-2025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45952</v>
      </c>
      <c r="E208" s="1" t="n">
        <v>46304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Övriga statliga verk och myndigheter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46304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44899</v>
      </c>
      <c r="E210" s="1" t="n">
        <v>46304</v>
      </c>
      <c r="F210" t="inlineStr">
        <is>
          <t>VÄSTMANLANDS LÄN</t>
        </is>
      </c>
      <c r="G210" t="inlineStr">
        <is>
          <t>VÄSTERÅS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46304</v>
      </c>
      <c r="F211" t="inlineStr">
        <is>
          <t>VÄSTMANLANDS LÄN</t>
        </is>
      </c>
      <c r="G211" t="inlineStr">
        <is>
          <t>VÄSTERÅS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44594</v>
      </c>
      <c r="E212" s="1" t="n">
        <v>46304</v>
      </c>
      <c r="F212" t="inlineStr">
        <is>
          <t>VÄSTMANLANDS LÄN</t>
        </is>
      </c>
      <c r="G212" t="inlineStr">
        <is>
          <t>VÄSTERÅS</t>
        </is>
      </c>
      <c r="I212" t="n">
        <v>20.3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46304</v>
      </c>
      <c r="F213" t="inlineStr">
        <is>
          <t>VÄSTMANLANDS LÄN</t>
        </is>
      </c>
      <c r="G213" t="inlineStr">
        <is>
          <t>VÄSTERÅS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46304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45019</v>
      </c>
      <c r="E215" s="1" t="n">
        <v>46304</v>
      </c>
      <c r="F215" t="inlineStr">
        <is>
          <t>VÄSTMANLANDS LÄN</t>
        </is>
      </c>
      <c r="G215" t="inlineStr">
        <is>
          <t>VÄSTERÅS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44636</v>
      </c>
      <c r="E216" s="1" t="n">
        <v>46304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Kommuner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44636</v>
      </c>
      <c r="E217" s="1" t="n">
        <v>46304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44695-2022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44840</v>
      </c>
      <c r="E218" s="1" t="n">
        <v>46304</v>
      </c>
      <c r="F218" t="inlineStr">
        <is>
          <t>VÄSTMANLANDS LÄN</t>
        </is>
      </c>
      <c r="G218" t="inlineStr">
        <is>
          <t>VÄSTERÅS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44574</v>
      </c>
      <c r="E219" s="1" t="n">
        <v>46304</v>
      </c>
      <c r="F219" t="inlineStr">
        <is>
          <t>VÄSTMANLANDS LÄN</t>
        </is>
      </c>
      <c r="G219" t="inlineStr">
        <is>
          <t>VÄSTERÅS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56532-2022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46304</v>
      </c>
      <c r="F220" t="inlineStr">
        <is>
          <t>VÄSTMANLANDS LÄN</t>
        </is>
      </c>
      <c r="G220" t="inlineStr">
        <is>
          <t>VÄSTERÅS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46304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22370-2026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46154</v>
      </c>
      <c r="E222" s="1" t="n">
        <v>46304</v>
      </c>
      <c r="F222" t="inlineStr">
        <is>
          <t>VÄSTMANLANDS LÄN</t>
        </is>
      </c>
      <c r="G222" t="inlineStr">
        <is>
          <t>VÄSTERÅS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46154</v>
      </c>
      <c r="E223" s="1" t="n">
        <v>46304</v>
      </c>
      <c r="F223" t="inlineStr">
        <is>
          <t>VÄSTMANLANDS LÄN</t>
        </is>
      </c>
      <c r="G223" t="inlineStr">
        <is>
          <t>VÄSTERÅS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46304</v>
      </c>
      <c r="F224" t="inlineStr">
        <is>
          <t>VÄSTMANLANDS LÄN</t>
        </is>
      </c>
      <c r="G224" t="inlineStr">
        <is>
          <t>VÄSTERÅS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46304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46304</v>
      </c>
      <c r="F226" t="inlineStr">
        <is>
          <t>VÄSTMANLANDS LÄN</t>
        </is>
      </c>
      <c r="G226" t="inlineStr">
        <is>
          <t>VÄSTERÅS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46304</v>
      </c>
      <c r="F227" t="inlineStr">
        <is>
          <t>VÄSTMANLANDS LÄN</t>
        </is>
      </c>
      <c r="G227" t="inlineStr">
        <is>
          <t>VÄSTERÅS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18482-2023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46304</v>
      </c>
      <c r="F228" t="inlineStr">
        <is>
          <t>VÄSTMANLANDS LÄN</t>
        </is>
      </c>
      <c r="G228" t="inlineStr">
        <is>
          <t>VÄSTERÅS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23347-2026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46162</v>
      </c>
      <c r="E229" s="1" t="n">
        <v>46304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58085-2022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46304</v>
      </c>
      <c r="F230" t="inlineStr">
        <is>
          <t>VÄSTMANLANDS LÄN</t>
        </is>
      </c>
      <c r="G230" t="inlineStr">
        <is>
          <t>VÄSTERÅS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18131-2025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45761</v>
      </c>
      <c r="E231" s="1" t="n">
        <v>46304</v>
      </c>
      <c r="F231" t="inlineStr">
        <is>
          <t>VÄSTMANLANDS LÄN</t>
        </is>
      </c>
      <c r="G231" t="inlineStr">
        <is>
          <t>VÄSTERÅS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46304</v>
      </c>
      <c r="F232" t="inlineStr">
        <is>
          <t>VÄSTMANLANDS LÄN</t>
        </is>
      </c>
      <c r="G232" t="inlineStr">
        <is>
          <t>VÄSTERÅS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45083</v>
      </c>
      <c r="E233" s="1" t="n">
        <v>46304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15273-2024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45400</v>
      </c>
      <c r="E234" s="1" t="n">
        <v>46304</v>
      </c>
      <c r="F234" t="inlineStr">
        <is>
          <t>VÄSTMANLANDS LÄN</t>
        </is>
      </c>
      <c r="G234" t="inlineStr">
        <is>
          <t>VÄSTERÅS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46304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46304</v>
      </c>
      <c r="F236" t="inlineStr">
        <is>
          <t>VÄSTMANLANDS LÄN</t>
        </is>
      </c>
      <c r="G236" t="inlineStr">
        <is>
          <t>VÄSTERÅS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24317-2026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46304</v>
      </c>
      <c r="F237" t="inlineStr">
        <is>
          <t>VÄSTMANLANDS LÄN</t>
        </is>
      </c>
      <c r="G237" t="inlineStr">
        <is>
          <t>VÄSTERÅS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44606</v>
      </c>
      <c r="E238" s="1" t="n">
        <v>46304</v>
      </c>
      <c r="F238" t="inlineStr">
        <is>
          <t>VÄSTMANLANDS LÄN</t>
        </is>
      </c>
      <c r="G238" t="inlineStr">
        <is>
          <t>VÄSTERÅS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45274</v>
      </c>
      <c r="E239" s="1" t="n">
        <v>46304</v>
      </c>
      <c r="F239" t="inlineStr">
        <is>
          <t>VÄSTMANLANDS LÄN</t>
        </is>
      </c>
      <c r="G239" t="inlineStr">
        <is>
          <t>VÄSTERÅS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46304</v>
      </c>
      <c r="F240" t="inlineStr">
        <is>
          <t>VÄSTMANLANDS LÄN</t>
        </is>
      </c>
      <c r="G240" t="inlineStr">
        <is>
          <t>VÄSTERÅS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46304</v>
      </c>
      <c r="F241" t="inlineStr">
        <is>
          <t>VÄSTMANLANDS LÄN</t>
        </is>
      </c>
      <c r="G241" t="inlineStr">
        <is>
          <t>VÄSTERÅS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46304</v>
      </c>
      <c r="F242" t="inlineStr">
        <is>
          <t>VÄSTMANLANDS LÄN</t>
        </is>
      </c>
      <c r="G242" t="inlineStr">
        <is>
          <t>VÄSTERÅS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46304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67352-2021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44523</v>
      </c>
      <c r="E244" s="1" t="n">
        <v>46304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Övriga Aktiebolag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46304</v>
      </c>
      <c r="F245" t="inlineStr">
        <is>
          <t>VÄSTMANLANDS LÄN</t>
        </is>
      </c>
      <c r="G245" t="inlineStr">
        <is>
          <t>VÄSTERÅS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46304</v>
      </c>
      <c r="F246" t="inlineStr">
        <is>
          <t>VÄSTMANLANDS LÄN</t>
        </is>
      </c>
      <c r="G246" t="inlineStr">
        <is>
          <t>VÄSTERÅS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44874</v>
      </c>
      <c r="E247" s="1" t="n">
        <v>46304</v>
      </c>
      <c r="F247" t="inlineStr">
        <is>
          <t>VÄSTMANLANDS LÄN</t>
        </is>
      </c>
      <c r="G247" t="inlineStr">
        <is>
          <t>VÄSTERÅS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46304</v>
      </c>
      <c r="F248" t="inlineStr">
        <is>
          <t>VÄSTMANLANDS LÄN</t>
        </is>
      </c>
      <c r="G248" t="inlineStr">
        <is>
          <t>VÄSTERÅS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46304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46304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46304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45457</v>
      </c>
      <c r="E252" s="1" t="n">
        <v>46304</v>
      </c>
      <c r="F252" t="inlineStr">
        <is>
          <t>VÄSTMANLANDS LÄN</t>
        </is>
      </c>
      <c r="G252" t="inlineStr">
        <is>
          <t>VÄSTERÅS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46304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Allmännings- och besparingsskogar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27271-2026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46188</v>
      </c>
      <c r="E254" s="1" t="n">
        <v>46304</v>
      </c>
      <c r="F254" t="inlineStr">
        <is>
          <t>VÄSTMANLANDS LÄN</t>
        </is>
      </c>
      <c r="G254" t="inlineStr">
        <is>
          <t>VÄSTERÅS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39817-2024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46304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Kyrkan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46188</v>
      </c>
      <c r="E256" s="1" t="n">
        <v>46304</v>
      </c>
      <c r="F256" t="inlineStr">
        <is>
          <t>VÄSTMANLANDS LÄN</t>
        </is>
      </c>
      <c r="G256" t="inlineStr">
        <is>
          <t>VÄSTERÅS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46190</v>
      </c>
      <c r="E257" s="1" t="n">
        <v>46304</v>
      </c>
      <c r="F257" t="inlineStr">
        <is>
          <t>VÄSTMANLANDS LÄN</t>
        </is>
      </c>
      <c r="G257" t="inlineStr">
        <is>
          <t>VÄSTERÅS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67350-2021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44523</v>
      </c>
      <c r="E258" s="1" t="n">
        <v>46304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10496-2022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44623</v>
      </c>
      <c r="E259" s="1" t="n">
        <v>46304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46196</v>
      </c>
      <c r="E260" s="1" t="n">
        <v>46304</v>
      </c>
      <c r="F260" t="inlineStr">
        <is>
          <t>VÄSTMANLANDS LÄN</t>
        </is>
      </c>
      <c r="G260" t="inlineStr">
        <is>
          <t>VÄSTERÅS</t>
        </is>
      </c>
      <c r="I260" t="n">
        <v>14.1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46304</v>
      </c>
      <c r="F261" t="inlineStr">
        <is>
          <t>VÄSTMANLANDS LÄN</t>
        </is>
      </c>
      <c r="G261" t="inlineStr">
        <is>
          <t>VÄSTERÅS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73994-2021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44556</v>
      </c>
      <c r="E262" s="1" t="n">
        <v>46304</v>
      </c>
      <c r="F262" t="inlineStr">
        <is>
          <t>VÄSTMANLANDS LÄN</t>
        </is>
      </c>
      <c r="G262" t="inlineStr">
        <is>
          <t>VÄSTERÅS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28126-2026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46195</v>
      </c>
      <c r="E263" s="1" t="n">
        <v>46304</v>
      </c>
      <c r="F263" t="inlineStr">
        <is>
          <t>VÄSTMANLANDS LÄN</t>
        </is>
      </c>
      <c r="G263" t="inlineStr">
        <is>
          <t>VÄSTERÅS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61249-2021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44498</v>
      </c>
      <c r="E264" s="1" t="n">
        <v>46304</v>
      </c>
      <c r="F264" t="inlineStr">
        <is>
          <t>VÄSTMANLANDS LÄN</t>
        </is>
      </c>
      <c r="G264" t="inlineStr">
        <is>
          <t>VÄSTERÅS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46304</v>
      </c>
      <c r="F265" t="inlineStr">
        <is>
          <t>VÄSTMANLANDS LÄN</t>
        </is>
      </c>
      <c r="G265" t="inlineStr">
        <is>
          <t>VÄSTERÅS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44792</v>
      </c>
      <c r="E266" s="1" t="n">
        <v>46304</v>
      </c>
      <c r="F266" t="inlineStr">
        <is>
          <t>VÄSTMANLANDS LÄN</t>
        </is>
      </c>
      <c r="G266" t="inlineStr">
        <is>
          <t>VÄSTERÅS</t>
        </is>
      </c>
      <c r="I266" t="n">
        <v>9.6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46304</v>
      </c>
      <c r="F267" t="inlineStr">
        <is>
          <t>VÄSTMANLANDS LÄN</t>
        </is>
      </c>
      <c r="G267" t="inlineStr">
        <is>
          <t>VÄSTERÅS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44874</v>
      </c>
      <c r="E268" s="1" t="n">
        <v>46304</v>
      </c>
      <c r="F268" t="inlineStr">
        <is>
          <t>VÄSTMANLANDS LÄN</t>
        </is>
      </c>
      <c r="G268" t="inlineStr">
        <is>
          <t>VÄSTERÅS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44708</v>
      </c>
      <c r="E269" s="1" t="n">
        <v>46304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44755</v>
      </c>
      <c r="E270" s="1" t="n">
        <v>46304</v>
      </c>
      <c r="F270" t="inlineStr">
        <is>
          <t>VÄSTMANLANDS LÄN</t>
        </is>
      </c>
      <c r="G270" t="inlineStr">
        <is>
          <t>VÄSTERÅS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67353-2021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44523</v>
      </c>
      <c r="E271" s="1" t="n">
        <v>46304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Övriga Aktiebolag</t>
        </is>
      </c>
      <c r="I271" t="n">
        <v>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40304-2023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45169</v>
      </c>
      <c r="E272" s="1" t="n">
        <v>46304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56980-2021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44482</v>
      </c>
      <c r="E273" s="1" t="n">
        <v>46304</v>
      </c>
      <c r="F273" t="inlineStr">
        <is>
          <t>VÄSTMANLANDS LÄN</t>
        </is>
      </c>
      <c r="G273" t="inlineStr">
        <is>
          <t>VÄSTERÅS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45705</v>
      </c>
      <c r="E274" s="1" t="n">
        <v>46304</v>
      </c>
      <c r="F274" t="inlineStr">
        <is>
          <t>VÄSTMANLANDS LÄN</t>
        </is>
      </c>
      <c r="G274" t="inlineStr">
        <is>
          <t>VÄSTERÅS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45713</v>
      </c>
      <c r="E275" s="1" t="n">
        <v>46304</v>
      </c>
      <c r="F275" t="inlineStr">
        <is>
          <t>VÄSTMANLANDS LÄN</t>
        </is>
      </c>
      <c r="G275" t="inlineStr">
        <is>
          <t>VÄSTERÅS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31052-2026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46215</v>
      </c>
      <c r="E276" s="1" t="n">
        <v>46304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9.800000000000001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46215</v>
      </c>
      <c r="E277" s="1" t="n">
        <v>46304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46215</v>
      </c>
      <c r="E278" s="1" t="n">
        <v>46304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15201-2022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44658</v>
      </c>
      <c r="E279" s="1" t="n">
        <v>46304</v>
      </c>
      <c r="F279" t="inlineStr">
        <is>
          <t>VÄSTMANLANDS LÄN</t>
        </is>
      </c>
      <c r="G279" t="inlineStr">
        <is>
          <t>VÄSTERÅS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58960-2022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44903</v>
      </c>
      <c r="E280" s="1" t="n">
        <v>46304</v>
      </c>
      <c r="F280" t="inlineStr">
        <is>
          <t>VÄSTMANLANDS LÄN</t>
        </is>
      </c>
      <c r="G280" t="inlineStr">
        <is>
          <t>VÄSTERÅS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46304</v>
      </c>
      <c r="F281" t="inlineStr">
        <is>
          <t>VÄSTMANLANDS LÄN</t>
        </is>
      </c>
      <c r="G281" t="inlineStr">
        <is>
          <t>VÄSTERÅS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46217</v>
      </c>
      <c r="E282" s="1" t="n">
        <v>46304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46304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46265</v>
      </c>
      <c r="E284" s="1" t="n">
        <v>46304</v>
      </c>
      <c r="F284" t="inlineStr">
        <is>
          <t>VÄSTMANLANDS LÄN</t>
        </is>
      </c>
      <c r="G284" t="inlineStr">
        <is>
          <t>VÄSTERÅS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8727-2023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44978</v>
      </c>
      <c r="E285" s="1" t="n">
        <v>46304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16214-2023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45028</v>
      </c>
      <c r="E286" s="1" t="n">
        <v>46304</v>
      </c>
      <c r="F286" t="inlineStr">
        <is>
          <t>VÄSTMANLANDS LÄN</t>
        </is>
      </c>
      <c r="G286" t="inlineStr">
        <is>
          <t>VÄSTERÅS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46304</v>
      </c>
      <c r="F287" t="inlineStr">
        <is>
          <t>VÄSTMANLANDS LÄN</t>
        </is>
      </c>
      <c r="G287" t="inlineStr">
        <is>
          <t>VÄSTERÅS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45398</v>
      </c>
      <c r="E288" s="1" t="n">
        <v>46304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46304</v>
      </c>
      <c r="F289" t="inlineStr">
        <is>
          <t>VÄSTMANLANDS LÄN</t>
        </is>
      </c>
      <c r="G289" t="inlineStr">
        <is>
          <t>VÄSTERÅS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10546-2024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46304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44994</v>
      </c>
      <c r="E291" s="1" t="n">
        <v>46304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70642-2021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46304</v>
      </c>
      <c r="F292" t="inlineStr">
        <is>
          <t>VÄSTMANLANDS LÄN</t>
        </is>
      </c>
      <c r="G292" t="inlineStr">
        <is>
          <t>VÄSTERÅS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23765-2022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46304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46304</v>
      </c>
      <c r="F294" t="inlineStr">
        <is>
          <t>VÄSTMANLANDS LÄN</t>
        </is>
      </c>
      <c r="G294" t="inlineStr">
        <is>
          <t>VÄSTERÅS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45282</v>
      </c>
      <c r="E295" s="1" t="n">
        <v>46304</v>
      </c>
      <c r="F295" t="inlineStr">
        <is>
          <t>VÄSTMANLANDS LÄN</t>
        </is>
      </c>
      <c r="G295" t="inlineStr">
        <is>
          <t>VÄSTERÅS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45296</v>
      </c>
      <c r="E296" s="1" t="n">
        <v>46304</v>
      </c>
      <c r="F296" t="inlineStr">
        <is>
          <t>VÄSTMANLANDS LÄN</t>
        </is>
      </c>
      <c r="G296" t="inlineStr">
        <is>
          <t>VÄSTERÅS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17808-2023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45037</v>
      </c>
      <c r="E297" s="1" t="n">
        <v>46304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8870-2026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46304</v>
      </c>
      <c r="F298" t="inlineStr">
        <is>
          <t>VÄSTMANLANDS LÄN</t>
        </is>
      </c>
      <c r="G298" t="inlineStr">
        <is>
          <t>VÄSTERÅS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51933-2023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46304</v>
      </c>
      <c r="F299" t="inlineStr">
        <is>
          <t>VÄSTMANLANDS LÄN</t>
        </is>
      </c>
      <c r="G299" t="inlineStr">
        <is>
          <t>VÄSTERÅS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73597-2021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44552</v>
      </c>
      <c r="E300" s="1" t="n">
        <v>46304</v>
      </c>
      <c r="F300" t="inlineStr">
        <is>
          <t>VÄSTMANLANDS LÄN</t>
        </is>
      </c>
      <c r="G300" t="inlineStr">
        <is>
          <t>VÄSTERÅS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36641-2023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45153</v>
      </c>
      <c r="E301" s="1" t="n">
        <v>46304</v>
      </c>
      <c r="F301" t="inlineStr">
        <is>
          <t>VÄSTMANLANDS LÄN</t>
        </is>
      </c>
      <c r="G301" t="inlineStr">
        <is>
          <t>VÄSTERÅS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45448</v>
      </c>
      <c r="E302" s="1" t="n">
        <v>46304</v>
      </c>
      <c r="F302" t="inlineStr">
        <is>
          <t>VÄSTMANLANDS LÄN</t>
        </is>
      </c>
      <c r="G302" t="inlineStr">
        <is>
          <t>VÄSTERÅS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46274</v>
      </c>
      <c r="E303" s="1" t="n">
        <v>46304</v>
      </c>
      <c r="F303" t="inlineStr">
        <is>
          <t>VÄSTMANLANDS LÄN</t>
        </is>
      </c>
      <c r="G303" t="inlineStr">
        <is>
          <t>VÄSTERÅS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37161-2026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46274</v>
      </c>
      <c r="E304" s="1" t="n">
        <v>46304</v>
      </c>
      <c r="F304" t="inlineStr">
        <is>
          <t>VÄSTMANLANDS LÄN</t>
        </is>
      </c>
      <c r="G304" t="inlineStr">
        <is>
          <t>VÄSTERÅS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14926-2022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46304</v>
      </c>
      <c r="F305" t="inlineStr">
        <is>
          <t>VÄSTMANLANDS LÄN</t>
        </is>
      </c>
      <c r="G305" t="inlineStr">
        <is>
          <t>VÄSTERÅS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12289-2024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46304</v>
      </c>
      <c r="F306" t="inlineStr">
        <is>
          <t>VÄSTMANLANDS LÄN</t>
        </is>
      </c>
      <c r="G306" t="inlineStr">
        <is>
          <t>VÄSTERÅS</t>
        </is>
      </c>
      <c r="I306" t="n">
        <v>15.4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45506</v>
      </c>
      <c r="E307" s="1" t="n">
        <v>46304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Kommuner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46272</v>
      </c>
      <c r="E308" s="1" t="n">
        <v>46304</v>
      </c>
      <c r="F308" t="inlineStr">
        <is>
          <t>VÄSTMANLANDS LÄN</t>
        </is>
      </c>
      <c r="G308" t="inlineStr">
        <is>
          <t>VÄSTERÅS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46304</v>
      </c>
      <c r="F309" t="inlineStr">
        <is>
          <t>VÄSTMANLANDS LÄN</t>
        </is>
      </c>
      <c r="G309" t="inlineStr">
        <is>
          <t>VÄSTERÅS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46265</v>
      </c>
      <c r="E310" s="1" t="n">
        <v>46304</v>
      </c>
      <c r="F310" t="inlineStr">
        <is>
          <t>VÄSTMANLANDS LÄN</t>
        </is>
      </c>
      <c r="G310" t="inlineStr">
        <is>
          <t>VÄSTERÅS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46289</v>
      </c>
      <c r="E311" s="1" t="n">
        <v>46304</v>
      </c>
      <c r="F311" t="inlineStr">
        <is>
          <t>VÄSTMANLANDS LÄN</t>
        </is>
      </c>
      <c r="G311" t="inlineStr">
        <is>
          <t>VÄSTERÅS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46289</v>
      </c>
      <c r="E312" s="1" t="n">
        <v>46304</v>
      </c>
      <c r="F312" t="inlineStr">
        <is>
          <t>VÄSTMANLANDS LÄN</t>
        </is>
      </c>
      <c r="G312" t="inlineStr">
        <is>
          <t>VÄSTERÅS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45798</v>
      </c>
      <c r="E313" s="1" t="n">
        <v>46304</v>
      </c>
      <c r="F313" t="inlineStr">
        <is>
          <t>VÄSTMANLANDS LÄN</t>
        </is>
      </c>
      <c r="G313" t="inlineStr">
        <is>
          <t>VÄSTERÅS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46304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56076-2023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45235</v>
      </c>
      <c r="E315" s="1" t="n">
        <v>46304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Övriga Aktiebolag</t>
        </is>
      </c>
      <c r="I315" t="n">
        <v>37.8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45603</v>
      </c>
      <c r="E316" s="1" t="n">
        <v>46304</v>
      </c>
      <c r="F316" t="inlineStr">
        <is>
          <t>VÄSTMANLANDS LÄN</t>
        </is>
      </c>
      <c r="G316" t="inlineStr">
        <is>
          <t>VÄSTERÅS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39921-2026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46304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46304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46304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31569-2025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45833</v>
      </c>
      <c r="E320" s="1" t="n">
        <v>46304</v>
      </c>
      <c r="F320" t="inlineStr">
        <is>
          <t>VÄSTMANLANDS LÄN</t>
        </is>
      </c>
      <c r="G320" t="inlineStr">
        <is>
          <t>VÄSTERÅS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46304</v>
      </c>
      <c r="F321" t="inlineStr">
        <is>
          <t>VÄSTMANLANDS LÄN</t>
        </is>
      </c>
      <c r="G321" t="inlineStr">
        <is>
          <t>VÄSTERÅS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46304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46304</v>
      </c>
      <c r="F323" t="inlineStr">
        <is>
          <t>VÄSTMANLANDS LÄN</t>
        </is>
      </c>
      <c r="G323" t="inlineStr">
        <is>
          <t>VÄSTERÅS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46215</v>
      </c>
      <c r="E324" s="1" t="n">
        <v>46304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46303</v>
      </c>
      <c r="E325" s="1" t="n">
        <v>46304</v>
      </c>
      <c r="F325" t="inlineStr">
        <is>
          <t>VÄSTMANLANDS LÄN</t>
        </is>
      </c>
      <c r="G325" t="inlineStr">
        <is>
          <t>VÄSTERÅS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46215</v>
      </c>
      <c r="E326" s="1" t="n">
        <v>46304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46303</v>
      </c>
      <c r="E327" s="1" t="n">
        <v>46304</v>
      </c>
      <c r="F327" t="inlineStr">
        <is>
          <t>VÄSTMANLANDS LÄN</t>
        </is>
      </c>
      <c r="G327" t="inlineStr">
        <is>
          <t>VÄSTERÅS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41988-2026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46303</v>
      </c>
      <c r="E328" s="1" t="n">
        <v>46304</v>
      </c>
      <c r="F328" t="inlineStr">
        <is>
          <t>VÄSTMANLANDS LÄN</t>
        </is>
      </c>
      <c r="G328" t="inlineStr">
        <is>
          <t>VÄSTERÅS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46303</v>
      </c>
      <c r="E329" s="1" t="n">
        <v>46304</v>
      </c>
      <c r="F329" t="inlineStr">
        <is>
          <t>VÄSTMANLANDS LÄN</t>
        </is>
      </c>
      <c r="G329" t="inlineStr">
        <is>
          <t>VÄSTERÅS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46304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46304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953-2023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45005</v>
      </c>
      <c r="E332" s="1" t="n">
        <v>46304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1415-2022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44634</v>
      </c>
      <c r="E333" s="1" t="n">
        <v>46304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Kyrkan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46304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46304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46304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2026-10-09T02:05:10Z</dcterms:created>
  <dcterms:modified xmlns:dcterms="http://purl.org/dc/terms/" xmlns:xsi="http://www.w3.org/2001/XMLSchema-instance" xsi:type="dcterms:W3CDTF">2026-10-09T02:05:10Z</dcterms:modified>
</cp:coreProperties>
</file>