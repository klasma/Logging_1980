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46249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46249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46249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46249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46249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46249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46249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46249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46249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46249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46249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46249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46249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46249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46249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16581-2026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46249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17.5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12</v>
      </c>
      <c r="U17" t="n">
        <v>7</v>
      </c>
      <c r="V17" s="2" t="inlineStr">
        <is>
          <t>Grönpyrola
Spillkråka
Tjäder
Revlummer</t>
        </is>
      </c>
      <c r="W17">
        <f>HYPERLINK("https://klasma.github.io/Logging_1980/artfynd/A 16581-2026 artfynd.xlsx", "A 16581-2026")</f>
        <v/>
      </c>
      <c r="X17">
        <f>HYPERLINK("https://klasma.github.io/Logging_1980/kartor/A 16581-2026 karta.png", "A 16581-2026")</f>
        <v/>
      </c>
      <c r="Y17">
        <f>HYPERLINK("https://klasma.github.io/Logging_1980/kartor_geotiff/A 16581-2026 georefererad karta.tif", "A 16581-2026")</f>
        <v/>
      </c>
      <c r="AA17">
        <f>HYPERLINK("https://klasma.github.io/Logging_1980/klagomål/A 16581-2026 FSC-klagomål.docx", "A 16581-2026")</f>
        <v/>
      </c>
      <c r="AB17">
        <f>HYPERLINK("https://klasma.github.io/Logging_1980/klagomålsmail/A 16581-2026 FSC-klagomål mail.docx", "A 16581-2026")</f>
        <v/>
      </c>
      <c r="AC17">
        <f>HYPERLINK("https://klasma.github.io/Logging_1980/tillsyn/A 16581-2026 tillsynsbegäran.docx", "A 16581-2026")</f>
        <v/>
      </c>
      <c r="AD17">
        <f>HYPERLINK("https://klasma.github.io/Logging_1980/tillsynsmail/A 16581-2026 tillsynsbegäran mail.docx", "A 16581-2026")</f>
        <v/>
      </c>
      <c r="AE17">
        <f>HYPERLINK("https://klasma.github.io/Logging_1980/fåglar/A 16581-2026 prioriterade fågelarter.docx", "A 16581-2026")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46249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47695-2023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46249</v>
      </c>
      <c r="F19" t="inlineStr">
        <is>
          <t>VÄSTMANLANDS LÄN</t>
        </is>
      </c>
      <c r="G19" t="inlineStr">
        <is>
          <t>VÄSTERÅS</t>
        </is>
      </c>
      <c r="I19" t="n">
        <v>6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Gullklöver
Svinrot
Hasselticka
Kopparödla</t>
        </is>
      </c>
      <c r="W19">
        <f>HYPERLINK("https://klasma.github.io/Logging_1980/artfynd/A 47695-2023 artfynd.xlsx", "A 47695-2023")</f>
        <v/>
      </c>
      <c r="X19">
        <f>HYPERLINK("https://klasma.github.io/Logging_1980/kartor/A 47695-2023 karta.png", "A 47695-2023")</f>
        <v/>
      </c>
      <c r="Y19">
        <f>HYPERLINK("https://klasma.github.io/Logging_1980/kartor_geotiff/A 47695-2023 georefererad karta.tif", "A 47695-2023")</f>
        <v/>
      </c>
      <c r="AA19">
        <f>HYPERLINK("https://klasma.github.io/Logging_1980/klagomål/A 47695-2023 FSC-klagomål.docx", "A 47695-2023")</f>
        <v/>
      </c>
      <c r="AB19">
        <f>HYPERLINK("https://klasma.github.io/Logging_1980/klagomålsmail/A 47695-2023 FSC-klagomål mail.docx", "A 47695-2023")</f>
        <v/>
      </c>
      <c r="AC19">
        <f>HYPERLINK("https://klasma.github.io/Logging_1980/tillsyn/A 47695-2023 tillsynsbegäran.docx", "A 47695-2023")</f>
        <v/>
      </c>
      <c r="AD19">
        <f>HYPERLINK("https://klasma.github.io/Logging_1980/tillsynsmail/A 47695-2023 tillsynsbegäran mail.docx", "A 47695-2023")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46249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46249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25672-2024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45463</v>
      </c>
      <c r="E22" s="1" t="n">
        <v>46249</v>
      </c>
      <c r="F22" t="inlineStr">
        <is>
          <t>VÄSTMANLANDS LÄN</t>
        </is>
      </c>
      <c r="G22" t="inlineStr">
        <is>
          <t>VÄSTERÅS</t>
        </is>
      </c>
      <c r="I22" t="n">
        <v>11.3</v>
      </c>
      <c r="J22" t="n">
        <v>1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9</v>
      </c>
      <c r="U22" t="n">
        <v>0</v>
      </c>
      <c r="V22" s="2" t="inlineStr">
        <is>
          <t>Backsippa
Flentimotej
Jungfrulin
Solvända</t>
        </is>
      </c>
      <c r="W22">
        <f>HYPERLINK("https://klasma.github.io/Logging_1980/artfynd/A 25672-2024 artfynd.xlsx", "A 25672-2024")</f>
        <v/>
      </c>
      <c r="X22">
        <f>HYPERLINK("https://klasma.github.io/Logging_1980/kartor/A 25672-2024 karta.png", "A 25672-2024")</f>
        <v/>
      </c>
      <c r="Y22">
        <f>HYPERLINK("https://klasma.github.io/Logging_1980/kartor_geotiff/A 25672-2024 georefererad karta.tif", "A 25672-2024")</f>
        <v/>
      </c>
      <c r="AA22">
        <f>HYPERLINK("https://klasma.github.io/Logging_1980/klagomål/A 25672-2024 FSC-klagomål.docx", "A 25672-2024")</f>
        <v/>
      </c>
      <c r="AB22">
        <f>HYPERLINK("https://klasma.github.io/Logging_1980/klagomålsmail/A 25672-2024 FSC-klagomål mail.docx", "A 25672-2024")</f>
        <v/>
      </c>
      <c r="AC22">
        <f>HYPERLINK("https://klasma.github.io/Logging_1980/tillsyn/A 25672-2024 tillsynsbegäran.docx", "A 25672-2024")</f>
        <v/>
      </c>
      <c r="AD22">
        <f>HYPERLINK("https://klasma.github.io/Logging_1980/tillsynsmail/A 25672-2024 tillsynsbegäran mail.docx", "A 25672-2024")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46249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41262-2023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45174</v>
      </c>
      <c r="E24" s="1" t="n">
        <v>46249</v>
      </c>
      <c r="F24" t="inlineStr">
        <is>
          <t>VÄSTMANLANDS LÄN</t>
        </is>
      </c>
      <c r="G24" t="inlineStr">
        <is>
          <t>VÄSTERÅS</t>
        </is>
      </c>
      <c r="H24" t="inlineStr">
        <is>
          <t>Kommuner</t>
        </is>
      </c>
      <c r="I24" t="n">
        <v>11.4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8</v>
      </c>
      <c r="U24" t="n">
        <v>2</v>
      </c>
      <c r="V24" s="2" t="inlineStr">
        <is>
          <t>Grönsångare
Gulsparv
Kungsfågel
Vanlig groda</t>
        </is>
      </c>
      <c r="W24">
        <f>HYPERLINK("https://klasma.github.io/Logging_1980/artfynd/A 41262-2023 artfynd.xlsx", "A 41262-2023")</f>
        <v/>
      </c>
      <c r="X24">
        <f>HYPERLINK("https://klasma.github.io/Logging_1980/kartor/A 41262-2023 karta.png", "A 41262-2023")</f>
        <v/>
      </c>
      <c r="Y24">
        <f>HYPERLINK("https://klasma.github.io/Logging_1980/kartor_geotiff/A 41262-2023 georefererad karta.tif", "A 41262-2023")</f>
        <v/>
      </c>
      <c r="AA24">
        <f>HYPERLINK("https://klasma.github.io/Logging_1980/klagomål/A 41262-2023 FSC-klagomål.docx", "A 41262-2023")</f>
        <v/>
      </c>
      <c r="AB24">
        <f>HYPERLINK("https://klasma.github.io/Logging_1980/klagomålsmail/A 41262-2023 FSC-klagomål mail.docx", "A 41262-2023")</f>
        <v/>
      </c>
      <c r="AC24">
        <f>HYPERLINK("https://klasma.github.io/Logging_1980/tillsyn/A 41262-2023 tillsynsbegäran.docx", "A 41262-2023")</f>
        <v/>
      </c>
      <c r="AD24">
        <f>HYPERLINK("https://klasma.github.io/Logging_1980/tillsynsmail/A 41262-2023 tillsynsbegäran mail.docx", "A 41262-2023")</f>
        <v/>
      </c>
      <c r="AE24">
        <f>HYPERLINK("https://klasma.github.io/Logging_1980/fåglar/A 41262-2023 prioriterade fågelarter.docx", "A 41262-2023")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46249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46249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46249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11804-2022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44634</v>
      </c>
      <c r="E28" s="1" t="n">
        <v>46249</v>
      </c>
      <c r="F28" t="inlineStr">
        <is>
          <t>VÄSTMANLANDS LÄN</t>
        </is>
      </c>
      <c r="G28" t="inlineStr">
        <is>
          <t>VÄSTERÅS</t>
        </is>
      </c>
      <c r="I28" t="n">
        <v>10.6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Svart trolldruva
Nattviol</t>
        </is>
      </c>
      <c r="W28">
        <f>HYPERLINK("https://klasma.github.io/Logging_1980/artfynd/A 11804-2022 artfynd.xlsx", "A 11804-2022")</f>
        <v/>
      </c>
      <c r="X28">
        <f>HYPERLINK("https://klasma.github.io/Logging_1980/kartor/A 11804-2022 karta.png", "A 11804-2022")</f>
        <v/>
      </c>
      <c r="Y28">
        <f>HYPERLINK("https://klasma.github.io/Logging_1980/kartor_geotiff/A 11804-2022 georefererad karta.tif", "A 11804-2022")</f>
        <v/>
      </c>
      <c r="AA28">
        <f>HYPERLINK("https://klasma.github.io/Logging_1980/klagomål/A 11804-2022 FSC-klagomål.docx", "A 11804-2022")</f>
        <v/>
      </c>
      <c r="AB28">
        <f>HYPERLINK("https://klasma.github.io/Logging_1980/klagomålsmail/A 11804-2022 FSC-klagomål mail.docx", "A 11804-2022")</f>
        <v/>
      </c>
      <c r="AC28">
        <f>HYPERLINK("https://klasma.github.io/Logging_1980/tillsyn/A 11804-2022 tillsynsbegäran.docx", "A 11804-2022")</f>
        <v/>
      </c>
      <c r="AD28">
        <f>HYPERLINK("https://klasma.github.io/Logging_1980/tillsynsmail/A 11804-2022 tillsynsbegäran mail.docx", "A 11804-2022")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46249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64735-2023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46249</v>
      </c>
      <c r="F30" t="inlineStr">
        <is>
          <t>VÄSTMANLANDS LÄN</t>
        </is>
      </c>
      <c r="G30" t="inlineStr">
        <is>
          <t>VÄSTERÅS</t>
        </is>
      </c>
      <c r="H30" t="inlineStr">
        <is>
          <t>Övriga Aktiebolag</t>
        </is>
      </c>
      <c r="I30" t="n">
        <v>12.5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6</v>
      </c>
      <c r="U30" t="n">
        <v>1</v>
      </c>
      <c r="V30" s="2" t="inlineStr">
        <is>
          <t>Backsippa
Vårstarr
Gullviva</t>
        </is>
      </c>
      <c r="W30">
        <f>HYPERLINK("https://klasma.github.io/Logging_1980/artfynd/A 64735-2023 artfynd.xlsx", "A 64735-2023")</f>
        <v/>
      </c>
      <c r="X30">
        <f>HYPERLINK("https://klasma.github.io/Logging_1980/kartor/A 64735-2023 karta.png", "A 64735-2023")</f>
        <v/>
      </c>
      <c r="Y30">
        <f>HYPERLINK("https://klasma.github.io/Logging_1980/kartor_geotiff/A 64735-2023 georefererad karta.tif", "A 64735-2023")</f>
        <v/>
      </c>
      <c r="AA30">
        <f>HYPERLINK("https://klasma.github.io/Logging_1980/klagomål/A 64735-2023 FSC-klagomål.docx", "A 64735-2023")</f>
        <v/>
      </c>
      <c r="AB30">
        <f>HYPERLINK("https://klasma.github.io/Logging_1980/klagomålsmail/A 64735-2023 FSC-klagomål mail.docx", "A 64735-2023")</f>
        <v/>
      </c>
      <c r="AC30">
        <f>HYPERLINK("https://klasma.github.io/Logging_1980/tillsyn/A 64735-2023 tillsynsbegäran.docx", "A 64735-2023")</f>
        <v/>
      </c>
      <c r="AD30">
        <f>HYPERLINK("https://klasma.github.io/Logging_1980/tillsynsmail/A 64735-2023 tillsynsbegäran mail.docx", "A 64735-2023")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46249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46249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59143-2025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46249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12.4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Grönpyrola
Fiskgjuse</t>
        </is>
      </c>
      <c r="W33">
        <f>HYPERLINK("https://klasma.github.io/Logging_1980/artfynd/A 59143-2025 artfynd.xlsx", "A 59143-2025")</f>
        <v/>
      </c>
      <c r="X33">
        <f>HYPERLINK("https://klasma.github.io/Logging_1980/kartor/A 59143-2025 karta.png", "A 59143-2025")</f>
        <v/>
      </c>
      <c r="Y33">
        <f>HYPERLINK("https://klasma.github.io/Logging_1980/kartor_geotiff/A 59143-2025 georefererad karta.tif", "A 59143-2025")</f>
        <v/>
      </c>
      <c r="AA33">
        <f>HYPERLINK("https://klasma.github.io/Logging_1980/klagomål/A 59143-2025 FSC-klagomål.docx", "A 59143-2025")</f>
        <v/>
      </c>
      <c r="AB33">
        <f>HYPERLINK("https://klasma.github.io/Logging_1980/klagomålsmail/A 59143-2025 FSC-klagomål mail.docx", "A 59143-2025")</f>
        <v/>
      </c>
      <c r="AC33">
        <f>HYPERLINK("https://klasma.github.io/Logging_1980/tillsyn/A 59143-2025 tillsynsbegäran.docx", "A 59143-2025")</f>
        <v/>
      </c>
      <c r="AD33">
        <f>HYPERLINK("https://klasma.github.io/Logging_1980/tillsynsmail/A 59143-2025 tillsynsbegäran mail.docx", "A 59143-2025")</f>
        <v/>
      </c>
      <c r="AE33">
        <f>HYPERLINK("https://klasma.github.io/Logging_1980/fåglar/A 59143-2025 prioriterade fågelarter.docx", "A 59143-2025")</f>
        <v/>
      </c>
    </row>
    <row r="34" ht="15" customHeight="1">
      <c r="A34" t="inlineStr">
        <is>
          <t>A 30759-2022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46249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4</v>
      </c>
      <c r="V34" s="2" t="inlineStr">
        <is>
          <t>Gullklöver
Blåsippa</t>
        </is>
      </c>
      <c r="W34">
        <f>HYPERLINK("https://klasma.github.io/Logging_1980/artfynd/A 30759-2022 artfynd.xlsx", "A 30759-2022")</f>
        <v/>
      </c>
      <c r="X34">
        <f>HYPERLINK("https://klasma.github.io/Logging_1980/kartor/A 30759-2022 karta.png", "A 30759-2022")</f>
        <v/>
      </c>
      <c r="Y34">
        <f>HYPERLINK("https://klasma.github.io/Logging_1980/kartor_geotiff/A 30759-2022 georefererad karta.tif", "A 30759-2022")</f>
        <v/>
      </c>
      <c r="AA34">
        <f>HYPERLINK("https://klasma.github.io/Logging_1980/klagomål/A 30759-2022 FSC-klagomål.docx", "A 30759-2022")</f>
        <v/>
      </c>
      <c r="AB34">
        <f>HYPERLINK("https://klasma.github.io/Logging_1980/klagomålsmail/A 30759-2022 FSC-klagomål mail.docx", "A 30759-2022")</f>
        <v/>
      </c>
      <c r="AC34">
        <f>HYPERLINK("https://klasma.github.io/Logging_1980/tillsyn/A 30759-2022 tillsynsbegäran.docx", "A 30759-2022")</f>
        <v/>
      </c>
      <c r="AD34">
        <f>HYPERLINK("https://klasma.github.io/Logging_1980/tillsynsmail/A 30759-2022 tillsynsbegäran mail.docx", "A 30759-2022")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46249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46249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46249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46249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46249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26568-2022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44739</v>
      </c>
      <c r="E40" s="1" t="n">
        <v>46249</v>
      </c>
      <c r="F40" t="inlineStr">
        <is>
          <t>VÄSTMANLANDS LÄN</t>
        </is>
      </c>
      <c r="G40" t="inlineStr">
        <is>
          <t>VÄSTERÅS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Mistel</t>
        </is>
      </c>
      <c r="W40">
        <f>HYPERLINK("https://klasma.github.io/Logging_1980/artfynd/A 26568-2022 artfynd.xlsx", "A 26568-2022")</f>
        <v/>
      </c>
      <c r="X40">
        <f>HYPERLINK("https://klasma.github.io/Logging_1980/kartor/A 26568-2022 karta.png", "A 26568-2022")</f>
        <v/>
      </c>
      <c r="Y40">
        <f>HYPERLINK("https://klasma.github.io/Logging_1980/kartor_geotiff/A 26568-2022 georefererad karta.tif", "A 26568-2022")</f>
        <v/>
      </c>
      <c r="AA40">
        <f>HYPERLINK("https://klasma.github.io/Logging_1980/klagomål/A 26568-2022 FSC-klagomål.docx", "A 26568-2022")</f>
        <v/>
      </c>
      <c r="AB40">
        <f>HYPERLINK("https://klasma.github.io/Logging_1980/klagomålsmail/A 26568-2022 FSC-klagomål mail.docx", "A 26568-2022")</f>
        <v/>
      </c>
      <c r="AC40">
        <f>HYPERLINK("https://klasma.github.io/Logging_1980/tillsyn/A 26568-2022 tillsynsbegäran.docx", "A 26568-2022")</f>
        <v/>
      </c>
      <c r="AD40">
        <f>HYPERLINK("https://klasma.github.io/Logging_1980/tillsynsmail/A 26568-2022 tillsynsbegäran mail.docx", "A 26568-2022")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46249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HYPERLINK("https://klasma.github.io/Logging_1980/artfynd/A 30761-2022 artfynd.xlsx", "A 30761-2022")</f>
        <v/>
      </c>
      <c r="X41">
        <f>HYPERLINK("https://klasma.github.io/Logging_1980/kartor/A 30761-2022 karta.png", "A 30761-2022")</f>
        <v/>
      </c>
      <c r="Y41">
        <f>HYPERLINK("https://klasma.github.io/Logging_1980/kartor_geotiff/A 30761-2022 georefererad karta.tif", "A 30761-2022")</f>
        <v/>
      </c>
      <c r="AA41">
        <f>HYPERLINK("https://klasma.github.io/Logging_1980/klagomål/A 30761-2022 FSC-klagomål.docx", "A 30761-2022")</f>
        <v/>
      </c>
      <c r="AB41">
        <f>HYPERLINK("https://klasma.github.io/Logging_1980/klagomålsmail/A 30761-2022 FSC-klagomål mail.docx", "A 30761-2022")</f>
        <v/>
      </c>
      <c r="AC41">
        <f>HYPERLINK("https://klasma.github.io/Logging_1980/tillsyn/A 30761-2022 tillsynsbegäran.docx", "A 30761-2022")</f>
        <v/>
      </c>
      <c r="AD41">
        <f>HYPERLINK("https://klasma.github.io/Logging_1980/tillsynsmail/A 30761-2022 tillsynsbegäran mail.docx", "A 30761-2022")</f>
        <v/>
      </c>
      <c r="AE41">
        <f>HYPERLINK("https://klasma.github.io/Logging_1980/fåglar/A 30761-2022 prioriterade fågelarter.docx", "A 30761-2022")</f>
        <v/>
      </c>
    </row>
    <row r="42" ht="15" customHeight="1">
      <c r="A42" t="inlineStr">
        <is>
          <t>A 51147-2023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46249</v>
      </c>
      <c r="F42" t="inlineStr">
        <is>
          <t>VÄSTMANLANDS LÄN</t>
        </is>
      </c>
      <c r="G42" t="inlineStr">
        <is>
          <t>VÄSTERÅS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Mindre märgborre</t>
        </is>
      </c>
      <c r="W42">
        <f>HYPERLINK("https://klasma.github.io/Logging_1980/artfynd/A 51147-2023 artfynd.xlsx", "A 51147-2023")</f>
        <v/>
      </c>
      <c r="X42">
        <f>HYPERLINK("https://klasma.github.io/Logging_1980/kartor/A 51147-2023 karta.png", "A 51147-2023")</f>
        <v/>
      </c>
      <c r="Y42">
        <f>HYPERLINK("https://klasma.github.io/Logging_1980/kartor_geotiff/A 51147-2023 georefererad karta.tif", "A 51147-2023")</f>
        <v/>
      </c>
      <c r="AA42">
        <f>HYPERLINK("https://klasma.github.io/Logging_1980/klagomål/A 51147-2023 FSC-klagomål.docx", "A 51147-2023")</f>
        <v/>
      </c>
      <c r="AB42">
        <f>HYPERLINK("https://klasma.github.io/Logging_1980/klagomålsmail/A 51147-2023 FSC-klagomål mail.docx", "A 51147-2023")</f>
        <v/>
      </c>
      <c r="AC42">
        <f>HYPERLINK("https://klasma.github.io/Logging_1980/tillsyn/A 51147-2023 tillsynsbegäran.docx", "A 51147-2023")</f>
        <v/>
      </c>
      <c r="AD42">
        <f>HYPERLINK("https://klasma.github.io/Logging_1980/tillsynsmail/A 51147-2023 tillsynsbegäran mail.docx", "A 51147-2023")</f>
        <v/>
      </c>
    </row>
    <row r="43" ht="15" customHeight="1">
      <c r="A43" t="inlineStr">
        <is>
          <t>A 7534-2022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44607</v>
      </c>
      <c r="E43" s="1" t="n">
        <v>46249</v>
      </c>
      <c r="F43" t="inlineStr">
        <is>
          <t>VÄSTMANLANDS LÄN</t>
        </is>
      </c>
      <c r="G43" t="inlineStr">
        <is>
          <t>VÄSTERÅS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Kråka</t>
        </is>
      </c>
      <c r="W43">
        <f>HYPERLINK("https://klasma.github.io/Logging_1980/artfynd/A 7534-2022 artfynd.xlsx", "A 7534-2022")</f>
        <v/>
      </c>
      <c r="X43">
        <f>HYPERLINK("https://klasma.github.io/Logging_1980/kartor/A 7534-2022 karta.png", "A 7534-2022")</f>
        <v/>
      </c>
      <c r="Y43">
        <f>HYPERLINK("https://klasma.github.io/Logging_1980/kartor_geotiff/A 7534-2022 georefererad karta.tif", "A 7534-2022")</f>
        <v/>
      </c>
      <c r="AA43">
        <f>HYPERLINK("https://klasma.github.io/Logging_1980/klagomål/A 7534-2022 FSC-klagomål.docx", "A 7534-2022")</f>
        <v/>
      </c>
      <c r="AB43">
        <f>HYPERLINK("https://klasma.github.io/Logging_1980/klagomålsmail/A 7534-2022 FSC-klagomål mail.docx", "A 7534-2022")</f>
        <v/>
      </c>
      <c r="AC43">
        <f>HYPERLINK("https://klasma.github.io/Logging_1980/tillsyn/A 7534-2022 tillsynsbegäran.docx", "A 7534-2022")</f>
        <v/>
      </c>
      <c r="AD43">
        <f>HYPERLINK("https://klasma.github.io/Logging_1980/tillsynsmail/A 7534-2022 tillsynsbegäran mail.docx", "A 7534-2022")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46249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HYPERLINK("https://klasma.github.io/Logging_1980/artfynd/A 40886-2025 artfynd.xlsx", "A 40886-2025")</f>
        <v/>
      </c>
      <c r="X44">
        <f>HYPERLINK("https://klasma.github.io/Logging_1980/kartor/A 40886-2025 karta.png", "A 40886-2025")</f>
        <v/>
      </c>
      <c r="Y44">
        <f>HYPERLINK("https://klasma.github.io/Logging_1980/kartor_geotiff/A 40886-2025 georefererad karta.tif", "A 40886-2025")</f>
        <v/>
      </c>
      <c r="AA44">
        <f>HYPERLINK("https://klasma.github.io/Logging_1980/klagomål/A 40886-2025 FSC-klagomål.docx", "A 40886-2025")</f>
        <v/>
      </c>
      <c r="AB44">
        <f>HYPERLINK("https://klasma.github.io/Logging_1980/klagomålsmail/A 40886-2025 FSC-klagomål mail.docx", "A 40886-2025")</f>
        <v/>
      </c>
      <c r="AC44">
        <f>HYPERLINK("https://klasma.github.io/Logging_1980/tillsyn/A 40886-2025 tillsynsbegäran.docx", "A 40886-2025")</f>
        <v/>
      </c>
      <c r="AD44">
        <f>HYPERLINK("https://klasma.github.io/Logging_1980/tillsynsmail/A 40886-2025 tillsynsbegäran mail.docx", "A 40886-2025")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46249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16374-2025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46249</v>
      </c>
      <c r="F46" t="inlineStr">
        <is>
          <t>VÄSTMANLANDS LÄN</t>
        </is>
      </c>
      <c r="G46" t="inlineStr">
        <is>
          <t>VÄSTERÅS</t>
        </is>
      </c>
      <c r="I46" t="n">
        <v>0.6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Lönnlav</t>
        </is>
      </c>
      <c r="W46">
        <f>HYPERLINK("https://klasma.github.io/Logging_1980/artfynd/A 16374-2025 artfynd.xlsx", "A 16374-2025")</f>
        <v/>
      </c>
      <c r="X46">
        <f>HYPERLINK("https://klasma.github.io/Logging_1980/kartor/A 16374-2025 karta.png", "A 16374-2025")</f>
        <v/>
      </c>
      <c r="Y46">
        <f>HYPERLINK("https://klasma.github.io/Logging_1980/kartor_geotiff/A 16374-2025 georefererad karta.tif", "A 16374-2025")</f>
        <v/>
      </c>
      <c r="AA46">
        <f>HYPERLINK("https://klasma.github.io/Logging_1980/klagomål/A 16374-2025 FSC-klagomål.docx", "A 16374-2025")</f>
        <v/>
      </c>
      <c r="AB46">
        <f>HYPERLINK("https://klasma.github.io/Logging_1980/klagomålsmail/A 16374-2025 FSC-klagomål mail.docx", "A 16374-2025")</f>
        <v/>
      </c>
      <c r="AC46">
        <f>HYPERLINK("https://klasma.github.io/Logging_1980/tillsyn/A 16374-2025 tillsynsbegäran.docx", "A 16374-2025")</f>
        <v/>
      </c>
      <c r="AD46">
        <f>HYPERLINK("https://klasma.github.io/Logging_1980/tillsynsmail/A 16374-2025 tillsynsbegäran mail.docx", "A 16374-2025")</f>
        <v/>
      </c>
    </row>
    <row r="47" ht="15" customHeight="1">
      <c r="A47" t="inlineStr">
        <is>
          <t>A 12058-2026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46086</v>
      </c>
      <c r="E47" s="1" t="n">
        <v>46249</v>
      </c>
      <c r="F47" t="inlineStr">
        <is>
          <t>VÄSTMANLANDS LÄN</t>
        </is>
      </c>
      <c r="G47" t="inlineStr">
        <is>
          <t>VÄSTERÅS</t>
        </is>
      </c>
      <c r="I47" t="n">
        <v>3.9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Törnskata</t>
        </is>
      </c>
      <c r="W47">
        <f>HYPERLINK("https://klasma.github.io/Logging_1980/artfynd/A 12058-2026 artfynd.xlsx", "A 12058-2026")</f>
        <v/>
      </c>
      <c r="X47">
        <f>HYPERLINK("https://klasma.github.io/Logging_1980/kartor/A 12058-2026 karta.png", "A 12058-2026")</f>
        <v/>
      </c>
      <c r="Y47">
        <f>HYPERLINK("https://klasma.github.io/Logging_1980/kartor_geotiff/A 12058-2026 georefererad karta.tif", "A 12058-2026")</f>
        <v/>
      </c>
      <c r="AA47">
        <f>HYPERLINK("https://klasma.github.io/Logging_1980/klagomål/A 12058-2026 FSC-klagomål.docx", "A 12058-2026")</f>
        <v/>
      </c>
      <c r="AB47">
        <f>HYPERLINK("https://klasma.github.io/Logging_1980/klagomålsmail/A 12058-2026 FSC-klagomål mail.docx", "A 12058-2026")</f>
        <v/>
      </c>
      <c r="AC47">
        <f>HYPERLINK("https://klasma.github.io/Logging_1980/tillsyn/A 12058-2026 tillsynsbegäran.docx", "A 12058-2026")</f>
        <v/>
      </c>
      <c r="AD47">
        <f>HYPERLINK("https://klasma.github.io/Logging_1980/tillsynsmail/A 12058-2026 tillsynsbegäran mail.docx", "A 12058-2026")</f>
        <v/>
      </c>
      <c r="AE47">
        <f>HYPERLINK("https://klasma.github.io/Logging_1980/fåglar/A 12058-2026 prioriterade fågelarter.docx", "A 12058-2026")</f>
        <v/>
      </c>
    </row>
    <row r="48" ht="15" customHeight="1">
      <c r="A48" t="inlineStr">
        <is>
          <t>A 59144-2025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46249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HYPERLINK("https://klasma.github.io/Logging_1980/artfynd/A 59144-2025 artfynd.xlsx", "A 59144-2025")</f>
        <v/>
      </c>
      <c r="X48">
        <f>HYPERLINK("https://klasma.github.io/Logging_1980/kartor/A 59144-2025 karta.png", "A 59144-2025")</f>
        <v/>
      </c>
      <c r="Y48">
        <f>HYPERLINK("https://klasma.github.io/Logging_1980/kartor_geotiff/A 59144-2025 georefererad karta.tif", "A 59144-2025")</f>
        <v/>
      </c>
      <c r="AA48">
        <f>HYPERLINK("https://klasma.github.io/Logging_1980/klagomål/A 59144-2025 FSC-klagomål.docx", "A 59144-2025")</f>
        <v/>
      </c>
      <c r="AB48">
        <f>HYPERLINK("https://klasma.github.io/Logging_1980/klagomålsmail/A 59144-2025 FSC-klagomål mail.docx", "A 59144-2025")</f>
        <v/>
      </c>
      <c r="AC48">
        <f>HYPERLINK("https://klasma.github.io/Logging_1980/tillsyn/A 59144-2025 tillsynsbegäran.docx", "A 59144-2025")</f>
        <v/>
      </c>
      <c r="AD48">
        <f>HYPERLINK("https://klasma.github.io/Logging_1980/tillsynsmail/A 59144-2025 tillsynsbegäran mail.docx", "A 59144-2025")</f>
        <v/>
      </c>
    </row>
    <row r="49" ht="15" customHeight="1">
      <c r="A49" t="inlineStr">
        <is>
          <t>A 59140-2025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46249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HYPERLINK("https://klasma.github.io/Logging_1980/artfynd/A 59140-2025 artfynd.xlsx", "A 59140-2025")</f>
        <v/>
      </c>
      <c r="X49">
        <f>HYPERLINK("https://klasma.github.io/Logging_1980/kartor/A 59140-2025 karta.png", "A 59140-2025")</f>
        <v/>
      </c>
      <c r="Y49">
        <f>HYPERLINK("https://klasma.github.io/Logging_1980/kartor_geotiff/A 59140-2025 georefererad karta.tif", "A 59140-2025")</f>
        <v/>
      </c>
      <c r="AA49">
        <f>HYPERLINK("https://klasma.github.io/Logging_1980/klagomål/A 59140-2025 FSC-klagomål.docx", "A 59140-2025")</f>
        <v/>
      </c>
      <c r="AB49">
        <f>HYPERLINK("https://klasma.github.io/Logging_1980/klagomålsmail/A 59140-2025 FSC-klagomål mail.docx", "A 59140-2025")</f>
        <v/>
      </c>
      <c r="AC49">
        <f>HYPERLINK("https://klasma.github.io/Logging_1980/tillsyn/A 59140-2025 tillsynsbegäran.docx", "A 59140-2025")</f>
        <v/>
      </c>
      <c r="AD49">
        <f>HYPERLINK("https://klasma.github.io/Logging_1980/tillsynsmail/A 59140-2025 tillsynsbegäran mail.docx", "A 59140-2025")</f>
        <v/>
      </c>
      <c r="AE49">
        <f>HYPERLINK("https://klasma.github.io/Logging_1980/fåglar/A 59140-2025 prioriterade fågelarter.docx", "A 59140-2025")</f>
        <v/>
      </c>
    </row>
    <row r="50" ht="15" customHeight="1">
      <c r="A50" t="inlineStr">
        <is>
          <t>A 29787-2023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46249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5.3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Kopparödla</t>
        </is>
      </c>
      <c r="W50">
        <f>HYPERLINK("https://klasma.github.io/Logging_1980/artfynd/A 29787-2023 artfynd.xlsx", "A 29787-2023")</f>
        <v/>
      </c>
      <c r="X50">
        <f>HYPERLINK("https://klasma.github.io/Logging_1980/kartor/A 29787-2023 karta.png", "A 29787-2023")</f>
        <v/>
      </c>
      <c r="Y50">
        <f>HYPERLINK("https://klasma.github.io/Logging_1980/kartor_geotiff/A 29787-2023 georefererad karta.tif", "A 29787-2023")</f>
        <v/>
      </c>
      <c r="AA50">
        <f>HYPERLINK("https://klasma.github.io/Logging_1980/klagomål/A 29787-2023 FSC-klagomål.docx", "A 29787-2023")</f>
        <v/>
      </c>
      <c r="AB50">
        <f>HYPERLINK("https://klasma.github.io/Logging_1980/klagomålsmail/A 29787-2023 FSC-klagomål mail.docx", "A 29787-2023")</f>
        <v/>
      </c>
      <c r="AC50">
        <f>HYPERLINK("https://klasma.github.io/Logging_1980/tillsyn/A 29787-2023 tillsynsbegäran.docx", "A 29787-2023")</f>
        <v/>
      </c>
      <c r="AD50">
        <f>HYPERLINK("https://klasma.github.io/Logging_1980/tillsynsmail/A 29787-2023 tillsynsbegäran mail.docx", "A 29787-2023")</f>
        <v/>
      </c>
    </row>
    <row r="51" ht="15" customHeight="1">
      <c r="A51" t="inlineStr">
        <is>
          <t>A 50193-2022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46249</v>
      </c>
      <c r="F51" t="inlineStr">
        <is>
          <t>VÄSTMANLANDS LÄN</t>
        </is>
      </c>
      <c r="G51" t="inlineStr">
        <is>
          <t>VÄSTERÅS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Vedticka</t>
        </is>
      </c>
      <c r="W51">
        <f>HYPERLINK("https://klasma.github.io/Logging_1980/artfynd/A 50193-2022 artfynd.xlsx", "A 50193-2022")</f>
        <v/>
      </c>
      <c r="X51">
        <f>HYPERLINK("https://klasma.github.io/Logging_1980/kartor/A 50193-2022 karta.png", "A 50193-2022")</f>
        <v/>
      </c>
      <c r="Y51">
        <f>HYPERLINK("https://klasma.github.io/Logging_1980/kartor_geotiff/A 50193-2022 georefererad karta.tif", "A 50193-2022")</f>
        <v/>
      </c>
      <c r="AA51">
        <f>HYPERLINK("https://klasma.github.io/Logging_1980/klagomål/A 50193-2022 FSC-klagomål.docx", "A 50193-2022")</f>
        <v/>
      </c>
      <c r="AB51">
        <f>HYPERLINK("https://klasma.github.io/Logging_1980/klagomålsmail/A 50193-2022 FSC-klagomål mail.docx", "A 50193-2022")</f>
        <v/>
      </c>
      <c r="AC51">
        <f>HYPERLINK("https://klasma.github.io/Logging_1980/tillsyn/A 50193-2022 tillsynsbegäran.docx", "A 50193-2022")</f>
        <v/>
      </c>
      <c r="AD51">
        <f>HYPERLINK("https://klasma.github.io/Logging_1980/tillsynsmail/A 50193-2022 tillsynsbegäran mail.docx", "A 50193-2022")</f>
        <v/>
      </c>
    </row>
    <row r="52" ht="15" customHeight="1">
      <c r="A52" t="inlineStr">
        <is>
          <t>A 61059-2024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46249</v>
      </c>
      <c r="F52" t="inlineStr">
        <is>
          <t>VÄSTMANLANDS LÄN</t>
        </is>
      </c>
      <c r="G52" t="inlineStr">
        <is>
          <t>VÄSTERÅS</t>
        </is>
      </c>
      <c r="I52" t="n">
        <v>4.7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Bandad skulderbock</t>
        </is>
      </c>
      <c r="W52">
        <f>HYPERLINK("https://klasma.github.io/Logging_1980/artfynd/A 61059-2024 artfynd.xlsx", "A 61059-2024")</f>
        <v/>
      </c>
      <c r="X52">
        <f>HYPERLINK("https://klasma.github.io/Logging_1980/kartor/A 61059-2024 karta.png", "A 61059-2024")</f>
        <v/>
      </c>
      <c r="Y52">
        <f>HYPERLINK("https://klasma.github.io/Logging_1980/kartor_geotiff/A 61059-2024 georefererad karta.tif", "A 61059-2024")</f>
        <v/>
      </c>
      <c r="AA52">
        <f>HYPERLINK("https://klasma.github.io/Logging_1980/klagomål/A 61059-2024 FSC-klagomål.docx", "A 61059-2024")</f>
        <v/>
      </c>
      <c r="AB52">
        <f>HYPERLINK("https://klasma.github.io/Logging_1980/klagomålsmail/A 61059-2024 FSC-klagomål mail.docx", "A 61059-2024")</f>
        <v/>
      </c>
      <c r="AC52">
        <f>HYPERLINK("https://klasma.github.io/Logging_1980/tillsyn/A 61059-2024 tillsynsbegäran.docx", "A 61059-2024")</f>
        <v/>
      </c>
      <c r="AD52">
        <f>HYPERLINK("https://klasma.github.io/Logging_1980/tillsynsmail/A 61059-2024 tillsynsbegäran mail.docx", "A 61059-2024")</f>
        <v/>
      </c>
    </row>
    <row r="53" ht="15" customHeight="1">
      <c r="A53" t="inlineStr">
        <is>
          <t>A 12950-2023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46249</v>
      </c>
      <c r="F53" t="inlineStr">
        <is>
          <t>VÄSTMANLANDS LÄN</t>
        </is>
      </c>
      <c r="G53" t="inlineStr">
        <is>
          <t>VÄSTERÅS</t>
        </is>
      </c>
      <c r="I53" t="n">
        <v>2.1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HYPERLINK("https://klasma.github.io/Logging_1980/artfynd/A 12950-2023 artfynd.xlsx", "A 12950-2023")</f>
        <v/>
      </c>
      <c r="X53">
        <f>HYPERLINK("https://klasma.github.io/Logging_1980/kartor/A 12950-2023 karta.png", "A 12950-2023")</f>
        <v/>
      </c>
      <c r="Y53">
        <f>HYPERLINK("https://klasma.github.io/Logging_1980/kartor_geotiff/A 12950-2023 georefererad karta.tif", "A 12950-2023")</f>
        <v/>
      </c>
      <c r="AA53">
        <f>HYPERLINK("https://klasma.github.io/Logging_1980/klagomål/A 12950-2023 FSC-klagomål.docx", "A 12950-2023")</f>
        <v/>
      </c>
      <c r="AB53">
        <f>HYPERLINK("https://klasma.github.io/Logging_1980/klagomålsmail/A 12950-2023 FSC-klagomål mail.docx", "A 12950-2023")</f>
        <v/>
      </c>
      <c r="AC53">
        <f>HYPERLINK("https://klasma.github.io/Logging_1980/tillsyn/A 12950-2023 tillsynsbegäran.docx", "A 12950-2023")</f>
        <v/>
      </c>
      <c r="AD53">
        <f>HYPERLINK("https://klasma.github.io/Logging_1980/tillsynsmail/A 12950-2023 tillsynsbegäran mail.docx", "A 12950-2023")</f>
        <v/>
      </c>
    </row>
    <row r="54" ht="15" customHeight="1">
      <c r="A54" t="inlineStr">
        <is>
          <t>A 1594-2023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46249</v>
      </c>
      <c r="F54" t="inlineStr">
        <is>
          <t>VÄSTMANLANDS LÄN</t>
        </is>
      </c>
      <c r="G54" t="inlineStr">
        <is>
          <t>VÄSTERÅS</t>
        </is>
      </c>
      <c r="I54" t="n">
        <v>10.9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HYPERLINK("https://klasma.github.io/Logging_1980/artfynd/A 1594-2023 artfynd.xlsx", "A 1594-2023")</f>
        <v/>
      </c>
      <c r="X54">
        <f>HYPERLINK("https://klasma.github.io/Logging_1980/kartor/A 1594-2023 karta.png", "A 1594-2023")</f>
        <v/>
      </c>
      <c r="Y54">
        <f>HYPERLINK("https://klasma.github.io/Logging_1980/kartor_geotiff/A 1594-2023 georefererad karta.tif", "A 1594-2023")</f>
        <v/>
      </c>
      <c r="AA54">
        <f>HYPERLINK("https://klasma.github.io/Logging_1980/klagomål/A 1594-2023 FSC-klagomål.docx", "A 1594-2023")</f>
        <v/>
      </c>
      <c r="AB54">
        <f>HYPERLINK("https://klasma.github.io/Logging_1980/klagomålsmail/A 1594-2023 FSC-klagomål mail.docx", "A 1594-2023")</f>
        <v/>
      </c>
      <c r="AC54">
        <f>HYPERLINK("https://klasma.github.io/Logging_1980/tillsyn/A 1594-2023 tillsynsbegäran.docx", "A 1594-2023")</f>
        <v/>
      </c>
      <c r="AD54">
        <f>HYPERLINK("https://klasma.github.io/Logging_1980/tillsynsmail/A 1594-2023 tillsynsbegäran mail.docx", "A 1594-2023")</f>
        <v/>
      </c>
      <c r="AE54">
        <f>HYPERLINK("https://klasma.github.io/Logging_1980/fåglar/A 1594-2023 prioriterade fågelarter.docx", "A 1594-2023")</f>
        <v/>
      </c>
    </row>
    <row r="55" ht="15" customHeight="1">
      <c r="A55" t="inlineStr">
        <is>
          <t>A 22378-2026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46249</v>
      </c>
      <c r="F55" t="inlineStr">
        <is>
          <t>VÄSTMANLANDS LÄN</t>
        </is>
      </c>
      <c r="G55" t="inlineStr">
        <is>
          <t>VÄSTERÅS</t>
        </is>
      </c>
      <c r="I55" t="n">
        <v>5.6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Igelkott</t>
        </is>
      </c>
      <c r="W55">
        <f>HYPERLINK("https://klasma.github.io/Logging_1980/artfynd/A 22378-2026 artfynd.xlsx", "A 22378-2026")</f>
        <v/>
      </c>
      <c r="X55">
        <f>HYPERLINK("https://klasma.github.io/Logging_1980/kartor/A 22378-2026 karta.png", "A 22378-2026")</f>
        <v/>
      </c>
      <c r="Y55">
        <f>HYPERLINK("https://klasma.github.io/Logging_1980/kartor_geotiff/A 22378-2026 georefererad karta.tif", "A 22378-2026")</f>
        <v/>
      </c>
      <c r="AA55">
        <f>HYPERLINK("https://klasma.github.io/Logging_1980/klagomål/A 22378-2026 FSC-klagomål.docx", "A 22378-2026")</f>
        <v/>
      </c>
      <c r="AB55">
        <f>HYPERLINK("https://klasma.github.io/Logging_1980/klagomålsmail/A 22378-2026 FSC-klagomål mail.docx", "A 22378-2026")</f>
        <v/>
      </c>
      <c r="AC55">
        <f>HYPERLINK("https://klasma.github.io/Logging_1980/tillsyn/A 22378-2026 tillsynsbegäran.docx", "A 22378-2026")</f>
        <v/>
      </c>
      <c r="AD55">
        <f>HYPERLINK("https://klasma.github.io/Logging_1980/tillsynsmail/A 22378-2026 tillsynsbegäran mail.docx", "A 22378-2026")</f>
        <v/>
      </c>
    </row>
    <row r="56" ht="15" customHeight="1">
      <c r="A56" t="inlineStr">
        <is>
          <t>A 5363-2025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45692</v>
      </c>
      <c r="E56" s="1" t="n">
        <v>46249</v>
      </c>
      <c r="F56" t="inlineStr">
        <is>
          <t>VÄSTMANLANDS LÄN</t>
        </is>
      </c>
      <c r="G56" t="inlineStr">
        <is>
          <t>VÄSTERÅS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Brunklöver</t>
        </is>
      </c>
      <c r="W56">
        <f>HYPERLINK("https://klasma.github.io/Logging_1980/artfynd/A 5363-2025 artfynd.xlsx", "A 5363-2025")</f>
        <v/>
      </c>
      <c r="X56">
        <f>HYPERLINK("https://klasma.github.io/Logging_1980/kartor/A 5363-2025 karta.png", "A 5363-2025")</f>
        <v/>
      </c>
      <c r="Y56">
        <f>HYPERLINK("https://klasma.github.io/Logging_1980/kartor_geotiff/A 5363-2025 georefererad karta.tif", "A 5363-2025")</f>
        <v/>
      </c>
      <c r="AA56">
        <f>HYPERLINK("https://klasma.github.io/Logging_1980/klagomål/A 5363-2025 FSC-klagomål.docx", "A 5363-2025")</f>
        <v/>
      </c>
      <c r="AB56">
        <f>HYPERLINK("https://klasma.github.io/Logging_1980/klagomålsmail/A 5363-2025 FSC-klagomål mail.docx", "A 5363-2025")</f>
        <v/>
      </c>
      <c r="AC56">
        <f>HYPERLINK("https://klasma.github.io/Logging_1980/tillsyn/A 5363-2025 tillsynsbegäran.docx", "A 5363-2025")</f>
        <v/>
      </c>
      <c r="AD56">
        <f>HYPERLINK("https://klasma.github.io/Logging_1980/tillsynsmail/A 5363-2025 tillsynsbegäran mail.docx", "A 5363-2025")</f>
        <v/>
      </c>
    </row>
    <row r="57" ht="15" customHeight="1">
      <c r="A57" t="inlineStr">
        <is>
          <t>A 61254-2023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45264</v>
      </c>
      <c r="E57" s="1" t="n">
        <v>46249</v>
      </c>
      <c r="F57" t="inlineStr">
        <is>
          <t>VÄSTMANLANDS LÄN</t>
        </is>
      </c>
      <c r="G57" t="inlineStr">
        <is>
          <t>VÄSTERÅS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Mistel</t>
        </is>
      </c>
      <c r="W57">
        <f>HYPERLINK("https://klasma.github.io/Logging_1980/artfynd/A 61254-2023 artfynd.xlsx", "A 61254-2023")</f>
        <v/>
      </c>
      <c r="X57">
        <f>HYPERLINK("https://klasma.github.io/Logging_1980/kartor/A 61254-2023 karta.png", "A 61254-2023")</f>
        <v/>
      </c>
      <c r="Y57">
        <f>HYPERLINK("https://klasma.github.io/Logging_1980/kartor_geotiff/A 61254-2023 georefererad karta.tif", "A 61254-2023")</f>
        <v/>
      </c>
      <c r="AA57">
        <f>HYPERLINK("https://klasma.github.io/Logging_1980/klagomål/A 61254-2023 FSC-klagomål.docx", "A 61254-2023")</f>
        <v/>
      </c>
      <c r="AB57">
        <f>HYPERLINK("https://klasma.github.io/Logging_1980/klagomålsmail/A 61254-2023 FSC-klagomål mail.docx", "A 61254-2023")</f>
        <v/>
      </c>
      <c r="AC57">
        <f>HYPERLINK("https://klasma.github.io/Logging_1980/tillsyn/A 61254-2023 tillsynsbegäran.docx", "A 61254-2023")</f>
        <v/>
      </c>
      <c r="AD57">
        <f>HYPERLINK("https://klasma.github.io/Logging_1980/tillsynsmail/A 61254-2023 tillsynsbegäran mail.docx", "A 61254-2023")</f>
        <v/>
      </c>
    </row>
    <row r="58" ht="15" customHeight="1">
      <c r="A58" t="inlineStr">
        <is>
          <t>A 58395-2022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44901</v>
      </c>
      <c r="E58" s="1" t="n">
        <v>46249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Korskovall</t>
        </is>
      </c>
      <c r="W58">
        <f>HYPERLINK("https://klasma.github.io/Logging_1980/artfynd/A 58395-2022 artfynd.xlsx", "A 58395-2022")</f>
        <v/>
      </c>
      <c r="X58">
        <f>HYPERLINK("https://klasma.github.io/Logging_1980/kartor/A 58395-2022 karta.png", "A 58395-2022")</f>
        <v/>
      </c>
      <c r="Y58">
        <f>HYPERLINK("https://klasma.github.io/Logging_1980/kartor_geotiff/A 58395-2022 georefererad karta.tif", "A 58395-2022")</f>
        <v/>
      </c>
      <c r="AA58">
        <f>HYPERLINK("https://klasma.github.io/Logging_1980/klagomål/A 58395-2022 FSC-klagomål.docx", "A 58395-2022")</f>
        <v/>
      </c>
      <c r="AB58">
        <f>HYPERLINK("https://klasma.github.io/Logging_1980/klagomålsmail/A 58395-2022 FSC-klagomål mail.docx", "A 58395-2022")</f>
        <v/>
      </c>
      <c r="AC58">
        <f>HYPERLINK("https://klasma.github.io/Logging_1980/tillsyn/A 58395-2022 tillsynsbegäran.docx", "A 58395-2022")</f>
        <v/>
      </c>
      <c r="AD58">
        <f>HYPERLINK("https://klasma.github.io/Logging_1980/tillsynsmail/A 58395-2022 tillsynsbegäran mail.docx", "A 58395-2022")</f>
        <v/>
      </c>
    </row>
    <row r="59" ht="15" customHeight="1">
      <c r="A59" t="inlineStr">
        <is>
          <t>A 59520-2024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45638</v>
      </c>
      <c r="E59" s="1" t="n">
        <v>46249</v>
      </c>
      <c r="F59" t="inlineStr">
        <is>
          <t>VÄSTMANLANDS LÄN</t>
        </is>
      </c>
      <c r="G59" t="inlineStr">
        <is>
          <t>VÄSTERÅS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Brunklöver</t>
        </is>
      </c>
      <c r="W59">
        <f>HYPERLINK("https://klasma.github.io/Logging_1980/artfynd/A 59520-2024 artfynd.xlsx", "A 59520-2024")</f>
        <v/>
      </c>
      <c r="X59">
        <f>HYPERLINK("https://klasma.github.io/Logging_1980/kartor/A 59520-2024 karta.png", "A 59520-2024")</f>
        <v/>
      </c>
      <c r="Y59">
        <f>HYPERLINK("https://klasma.github.io/Logging_1980/kartor_geotiff/A 59520-2024 georefererad karta.tif", "A 59520-2024")</f>
        <v/>
      </c>
      <c r="AA59">
        <f>HYPERLINK("https://klasma.github.io/Logging_1980/klagomål/A 59520-2024 FSC-klagomål.docx", "A 59520-2024")</f>
        <v/>
      </c>
      <c r="AB59">
        <f>HYPERLINK("https://klasma.github.io/Logging_1980/klagomålsmail/A 59520-2024 FSC-klagomål mail.docx", "A 59520-2024")</f>
        <v/>
      </c>
      <c r="AC59">
        <f>HYPERLINK("https://klasma.github.io/Logging_1980/tillsyn/A 59520-2024 tillsynsbegäran.docx", "A 59520-2024")</f>
        <v/>
      </c>
      <c r="AD59">
        <f>HYPERLINK("https://klasma.github.io/Logging_1980/tillsynsmail/A 59520-2024 tillsynsbegäran mail.docx", "A 59520-2024")</f>
        <v/>
      </c>
    </row>
    <row r="60" ht="15" customHeight="1">
      <c r="A60" t="inlineStr">
        <is>
          <t>A 46189-2023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45196</v>
      </c>
      <c r="E60" s="1" t="n">
        <v>46249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HYPERLINK("https://klasma.github.io/Logging_1980/artfynd/A 46189-2023 artfynd.xlsx", "A 46189-2023")</f>
        <v/>
      </c>
      <c r="X60">
        <f>HYPERLINK("https://klasma.github.io/Logging_1980/kartor/A 46189-2023 karta.png", "A 46189-2023")</f>
        <v/>
      </c>
      <c r="Y60">
        <f>HYPERLINK("https://klasma.github.io/Logging_1980/kartor_geotiff/A 46189-2023 georefererad karta.tif", "A 46189-2023")</f>
        <v/>
      </c>
      <c r="AA60">
        <f>HYPERLINK("https://klasma.github.io/Logging_1980/klagomål/A 46189-2023 FSC-klagomål.docx", "A 46189-2023")</f>
        <v/>
      </c>
      <c r="AB60">
        <f>HYPERLINK("https://klasma.github.io/Logging_1980/klagomålsmail/A 46189-2023 FSC-klagomål mail.docx", "A 46189-2023")</f>
        <v/>
      </c>
      <c r="AC60">
        <f>HYPERLINK("https://klasma.github.io/Logging_1980/tillsyn/A 46189-2023 tillsynsbegäran.docx", "A 46189-2023")</f>
        <v/>
      </c>
      <c r="AD60">
        <f>HYPERLINK("https://klasma.github.io/Logging_1980/tillsynsmail/A 46189-2023 tillsynsbegäran mail.docx", "A 46189-2023")</f>
        <v/>
      </c>
    </row>
    <row r="61" ht="15" customHeight="1">
      <c r="A61" t="inlineStr">
        <is>
          <t>A 8362-2022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46249</v>
      </c>
      <c r="F61" t="inlineStr">
        <is>
          <t>VÄSTMANLANDS LÄN</t>
        </is>
      </c>
      <c r="G61" t="inlineStr">
        <is>
          <t>VÄSTERÅS</t>
        </is>
      </c>
      <c r="H61" t="inlineStr">
        <is>
          <t>Sveaskog</t>
        </is>
      </c>
      <c r="I61" t="n">
        <v>3.7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Köpingfibbla</t>
        </is>
      </c>
      <c r="W61">
        <f>HYPERLINK("https://klasma.github.io/Logging_1980/artfynd/A 8362-2022 artfynd.xlsx", "A 8362-2022")</f>
        <v/>
      </c>
      <c r="X61">
        <f>HYPERLINK("https://klasma.github.io/Logging_1980/kartor/A 8362-2022 karta.png", "A 8362-2022")</f>
        <v/>
      </c>
      <c r="Y61">
        <f>HYPERLINK("https://klasma.github.io/Logging_1980/kartor_geotiff/A 8362-2022 georefererad karta.tif", "A 8362-2022")</f>
        <v/>
      </c>
      <c r="AA61">
        <f>HYPERLINK("https://klasma.github.io/Logging_1980/klagomål/A 8362-2022 FSC-klagomål.docx", "A 8362-2022")</f>
        <v/>
      </c>
      <c r="AB61">
        <f>HYPERLINK("https://klasma.github.io/Logging_1980/klagomålsmail/A 8362-2022 FSC-klagomål mail.docx", "A 8362-2022")</f>
        <v/>
      </c>
      <c r="AC61">
        <f>HYPERLINK("https://klasma.github.io/Logging_1980/tillsyn/A 8362-2022 tillsynsbegäran.docx", "A 8362-2022")</f>
        <v/>
      </c>
      <c r="AD61">
        <f>HYPERLINK("https://klasma.github.io/Logging_1980/tillsynsmail/A 8362-2022 tillsynsbegäran mail.docx", "A 8362-2022")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46249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46249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46249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46249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46249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46249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46249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46249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46249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46249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46249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46249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46249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46249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46249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46249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46249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46249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46249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46249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46249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46249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46249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46249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46249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46249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46249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51223-2023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46249</v>
      </c>
      <c r="F89" t="inlineStr">
        <is>
          <t>VÄSTMANLANDS LÄN</t>
        </is>
      </c>
      <c r="G89" t="inlineStr">
        <is>
          <t>VÄSTERÅS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46249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44664</v>
      </c>
      <c r="E91" s="1" t="n">
        <v>46249</v>
      </c>
      <c r="F91" t="inlineStr">
        <is>
          <t>VÄSTMANLANDS LÄN</t>
        </is>
      </c>
      <c r="G91" t="inlineStr">
        <is>
          <t>VÄSTERÅS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46249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46249</v>
      </c>
      <c r="F93" t="inlineStr">
        <is>
          <t>VÄSTMANLANDS LÄN</t>
        </is>
      </c>
      <c r="G93" t="inlineStr">
        <is>
          <t>VÄSTERÅS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15273-2024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46249</v>
      </c>
      <c r="F94" t="inlineStr">
        <is>
          <t>VÄSTMANLANDS LÄN</t>
        </is>
      </c>
      <c r="G94" t="inlineStr">
        <is>
          <t>VÄSTERÅS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24121-2024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45456</v>
      </c>
      <c r="E95" s="1" t="n">
        <v>46249</v>
      </c>
      <c r="F95" t="inlineStr">
        <is>
          <t>VÄSTMANLANDS LÄN</t>
        </is>
      </c>
      <c r="G95" t="inlineStr">
        <is>
          <t>VÄSTERÅS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45296</v>
      </c>
      <c r="E96" s="1" t="n">
        <v>46249</v>
      </c>
      <c r="F96" t="inlineStr">
        <is>
          <t>VÄSTMANLANDS LÄN</t>
        </is>
      </c>
      <c r="G96" t="inlineStr">
        <is>
          <t>VÄSTERÅS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44699</v>
      </c>
      <c r="E97" s="1" t="n">
        <v>46249</v>
      </c>
      <c r="F97" t="inlineStr">
        <is>
          <t>VÄSTMANLANDS LÄN</t>
        </is>
      </c>
      <c r="G97" t="inlineStr">
        <is>
          <t>VÄSTERÅS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46249</v>
      </c>
      <c r="F98" t="inlineStr">
        <is>
          <t>VÄSTMANLANDS LÄN</t>
        </is>
      </c>
      <c r="G98" t="inlineStr">
        <is>
          <t>VÄSTERÅS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45223</v>
      </c>
      <c r="E99" s="1" t="n">
        <v>46249</v>
      </c>
      <c r="F99" t="inlineStr">
        <is>
          <t>VÄSTMANLANDS LÄN</t>
        </is>
      </c>
      <c r="G99" t="inlineStr">
        <is>
          <t>VÄSTERÅS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23765-2022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46249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39127-2022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44816</v>
      </c>
      <c r="E101" s="1" t="n">
        <v>46249</v>
      </c>
      <c r="F101" t="inlineStr">
        <is>
          <t>VÄSTMANLANDS LÄN</t>
        </is>
      </c>
      <c r="G101" t="inlineStr">
        <is>
          <t>VÄSTERÅS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46249</v>
      </c>
      <c r="F102" t="inlineStr">
        <is>
          <t>VÄSTMANLANDS LÄN</t>
        </is>
      </c>
      <c r="G102" t="inlineStr">
        <is>
          <t>VÄSTERÅS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44986</v>
      </c>
      <c r="E103" s="1" t="n">
        <v>46249</v>
      </c>
      <c r="F103" t="inlineStr">
        <is>
          <t>VÄSTMANLANDS LÄN</t>
        </is>
      </c>
      <c r="G103" t="inlineStr">
        <is>
          <t>VÄSTERÅS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31106-2025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45832</v>
      </c>
      <c r="E104" s="1" t="n">
        <v>46249</v>
      </c>
      <c r="F104" t="inlineStr">
        <is>
          <t>VÄSTMANLANDS LÄN</t>
        </is>
      </c>
      <c r="G104" t="inlineStr">
        <is>
          <t>VÄSTERÅS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10499-2022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44623</v>
      </c>
      <c r="E105" s="1" t="n">
        <v>46249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45279</v>
      </c>
      <c r="E106" s="1" t="n">
        <v>46249</v>
      </c>
      <c r="F106" t="inlineStr">
        <is>
          <t>VÄSTMANLANDS LÄN</t>
        </is>
      </c>
      <c r="G106" t="inlineStr">
        <is>
          <t>VÄSTERÅS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46156-2022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44847</v>
      </c>
      <c r="E107" s="1" t="n">
        <v>46249</v>
      </c>
      <c r="F107" t="inlineStr">
        <is>
          <t>VÄSTMANLANDS LÄN</t>
        </is>
      </c>
      <c r="G107" t="inlineStr">
        <is>
          <t>VÄSTERÅS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44903</v>
      </c>
      <c r="E108" s="1" t="n">
        <v>46249</v>
      </c>
      <c r="F108" t="inlineStr">
        <is>
          <t>VÄSTMANLANDS LÄN</t>
        </is>
      </c>
      <c r="G108" t="inlineStr">
        <is>
          <t>VÄSTERÅS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64793-2023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46249</v>
      </c>
      <c r="F109" t="inlineStr">
        <is>
          <t>VÄSTMANLANDS LÄN</t>
        </is>
      </c>
      <c r="G109" t="inlineStr">
        <is>
          <t>VÄSTERÅS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44761</v>
      </c>
      <c r="E110" s="1" t="n">
        <v>46249</v>
      </c>
      <c r="F110" t="inlineStr">
        <is>
          <t>VÄSTMANLANDS LÄN</t>
        </is>
      </c>
      <c r="G110" t="inlineStr">
        <is>
          <t>VÄSTERÅS</t>
        </is>
      </c>
      <c r="H110" t="inlineStr">
        <is>
          <t>Sveaskog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45083</v>
      </c>
      <c r="E111" s="1" t="n">
        <v>46249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44791</v>
      </c>
      <c r="E112" s="1" t="n">
        <v>46249</v>
      </c>
      <c r="F112" t="inlineStr">
        <is>
          <t>VÄSTMANLANDS LÄN</t>
        </is>
      </c>
      <c r="G112" t="inlineStr">
        <is>
          <t>VÄSTERÅS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44482</v>
      </c>
      <c r="E113" s="1" t="n">
        <v>46249</v>
      </c>
      <c r="F113" t="inlineStr">
        <is>
          <t>VÄSTMANLANDS LÄN</t>
        </is>
      </c>
      <c r="G113" t="inlineStr">
        <is>
          <t>VÄSTERÅS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44874</v>
      </c>
      <c r="E114" s="1" t="n">
        <v>46249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46249</v>
      </c>
      <c r="F115" t="inlineStr">
        <is>
          <t>VÄSTMANLANDS LÄN</t>
        </is>
      </c>
      <c r="G115" t="inlineStr">
        <is>
          <t>VÄSTERÅS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67353-2021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44523</v>
      </c>
      <c r="E116" s="1" t="n">
        <v>46249</v>
      </c>
      <c r="F116" t="inlineStr">
        <is>
          <t>VÄSTMANLANDS LÄN</t>
        </is>
      </c>
      <c r="G116" t="inlineStr">
        <is>
          <t>VÄSTERÅS</t>
        </is>
      </c>
      <c r="H116" t="inlineStr">
        <is>
          <t>Övriga Aktiebolag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45595</v>
      </c>
      <c r="E117" s="1" t="n">
        <v>46249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Övriga Aktiebolag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45019</v>
      </c>
      <c r="E118" s="1" t="n">
        <v>46249</v>
      </c>
      <c r="F118" t="inlineStr">
        <is>
          <t>VÄSTMANLANDS LÄN</t>
        </is>
      </c>
      <c r="G118" t="inlineStr">
        <is>
          <t>VÄSTERÅS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61069-2022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46249</v>
      </c>
      <c r="F119" t="inlineStr">
        <is>
          <t>VÄSTMANLANDS LÄN</t>
        </is>
      </c>
      <c r="G119" t="inlineStr">
        <is>
          <t>VÄSTERÅS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46249</v>
      </c>
      <c r="F120" t="inlineStr">
        <is>
          <t>VÄSTMANLANDS LÄN</t>
        </is>
      </c>
      <c r="G120" t="inlineStr">
        <is>
          <t>VÄSTERÅS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46249</v>
      </c>
      <c r="F121" t="inlineStr">
        <is>
          <t>VÄSTMANLANDS LÄN</t>
        </is>
      </c>
      <c r="G121" t="inlineStr">
        <is>
          <t>VÄSTERÅS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18457-2023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45042</v>
      </c>
      <c r="E122" s="1" t="n">
        <v>46249</v>
      </c>
      <c r="F122" t="inlineStr">
        <is>
          <t>VÄSTMANLANDS LÄN</t>
        </is>
      </c>
      <c r="G122" t="inlineStr">
        <is>
          <t>VÄSTERÅS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45279</v>
      </c>
      <c r="E123" s="1" t="n">
        <v>46249</v>
      </c>
      <c r="F123" t="inlineStr">
        <is>
          <t>VÄSTMANLANDS LÄN</t>
        </is>
      </c>
      <c r="G123" t="inlineStr">
        <is>
          <t>VÄSTERÅS</t>
        </is>
      </c>
      <c r="I123" t="n">
        <v>13.9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41114-2022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44825</v>
      </c>
      <c r="E124" s="1" t="n">
        <v>46249</v>
      </c>
      <c r="F124" t="inlineStr">
        <is>
          <t>VÄSTMANLANDS LÄN</t>
        </is>
      </c>
      <c r="G124" t="inlineStr">
        <is>
          <t>VÄSTERÅS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18482-2023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45042</v>
      </c>
      <c r="E125" s="1" t="n">
        <v>46249</v>
      </c>
      <c r="F125" t="inlineStr">
        <is>
          <t>VÄSTMANLANDS LÄN</t>
        </is>
      </c>
      <c r="G125" t="inlineStr">
        <is>
          <t>VÄSTERÅS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55676-2023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45232</v>
      </c>
      <c r="E126" s="1" t="n">
        <v>46249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Övriga Aktiebolag</t>
        </is>
      </c>
      <c r="I126" t="n">
        <v>37.9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44792</v>
      </c>
      <c r="E127" s="1" t="n">
        <v>46249</v>
      </c>
      <c r="F127" t="inlineStr">
        <is>
          <t>VÄSTMANLANDS LÄN</t>
        </is>
      </c>
      <c r="G127" t="inlineStr">
        <is>
          <t>VÄSTERÅS</t>
        </is>
      </c>
      <c r="I127" t="n">
        <v>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46249</v>
      </c>
      <c r="F128" t="inlineStr">
        <is>
          <t>VÄSTMANLANDS LÄN</t>
        </is>
      </c>
      <c r="G128" t="inlineStr">
        <is>
          <t>VÄSTERÅS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52764-2022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44875</v>
      </c>
      <c r="E129" s="1" t="n">
        <v>46249</v>
      </c>
      <c r="F129" t="inlineStr">
        <is>
          <t>VÄSTMANLANDS LÄN</t>
        </is>
      </c>
      <c r="G129" t="inlineStr">
        <is>
          <t>VÄSTERÅS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70642-2021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44537</v>
      </c>
      <c r="E130" s="1" t="n">
        <v>46249</v>
      </c>
      <c r="F130" t="inlineStr">
        <is>
          <t>VÄSTMANLANDS LÄN</t>
        </is>
      </c>
      <c r="G130" t="inlineStr">
        <is>
          <t>VÄSTERÅS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46249</v>
      </c>
      <c r="F131" t="inlineStr">
        <is>
          <t>VÄSTMANLANDS LÄN</t>
        </is>
      </c>
      <c r="G131" t="inlineStr">
        <is>
          <t>VÄSTERÅS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46249</v>
      </c>
      <c r="F132" t="inlineStr">
        <is>
          <t>VÄSTMANLANDS LÄN</t>
        </is>
      </c>
      <c r="G132" t="inlineStr">
        <is>
          <t>VÄSTERÅS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46249</v>
      </c>
      <c r="F133" t="inlineStr">
        <is>
          <t>VÄSTMANLANDS LÄN</t>
        </is>
      </c>
      <c r="G133" t="inlineStr">
        <is>
          <t>VÄSTERÅS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46249</v>
      </c>
      <c r="F134" t="inlineStr">
        <is>
          <t>VÄSTMANLANDS LÄN</t>
        </is>
      </c>
      <c r="G134" t="inlineStr">
        <is>
          <t>VÄSTERÅS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46249</v>
      </c>
      <c r="F135" t="inlineStr">
        <is>
          <t>VÄSTMANLANDS LÄN</t>
        </is>
      </c>
      <c r="G135" t="inlineStr">
        <is>
          <t>VÄSTERÅS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57873-2022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44899</v>
      </c>
      <c r="E136" s="1" t="n">
        <v>46249</v>
      </c>
      <c r="F136" t="inlineStr">
        <is>
          <t>VÄSTMANLANDS LÄN</t>
        </is>
      </c>
      <c r="G136" t="inlineStr">
        <is>
          <t>VÄSTERÅS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52027-2025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45952</v>
      </c>
      <c r="E137" s="1" t="n">
        <v>46249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Övriga statliga verk och myndigheter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46249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Övriga statliga verk och myndigheter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46249</v>
      </c>
      <c r="F139" t="inlineStr">
        <is>
          <t>VÄSTMANLANDS LÄN</t>
        </is>
      </c>
      <c r="G139" t="inlineStr">
        <is>
          <t>VÄSTERÅS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46083</v>
      </c>
      <c r="E140" s="1" t="n">
        <v>46249</v>
      </c>
      <c r="F140" t="inlineStr">
        <is>
          <t>VÄSTMANLANDS LÄN</t>
        </is>
      </c>
      <c r="G140" t="inlineStr">
        <is>
          <t>VÄSTERÅS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46249</v>
      </c>
      <c r="F141" t="inlineStr">
        <is>
          <t>VÄSTMANLANDS LÄN</t>
        </is>
      </c>
      <c r="G141" t="inlineStr">
        <is>
          <t>VÄSTERÅS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46249</v>
      </c>
      <c r="F142" t="inlineStr">
        <is>
          <t>VÄSTMANLANDS LÄN</t>
        </is>
      </c>
      <c r="G142" t="inlineStr">
        <is>
          <t>VÄSTERÅS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44594</v>
      </c>
      <c r="E143" s="1" t="n">
        <v>46249</v>
      </c>
      <c r="F143" t="inlineStr">
        <is>
          <t>VÄSTMANLANDS LÄN</t>
        </is>
      </c>
      <c r="G143" t="inlineStr">
        <is>
          <t>VÄSTERÅS</t>
        </is>
      </c>
      <c r="I143" t="n">
        <v>20.3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46084</v>
      </c>
      <c r="E144" s="1" t="n">
        <v>46249</v>
      </c>
      <c r="F144" t="inlineStr">
        <is>
          <t>VÄSTMANLANDS LÄN</t>
        </is>
      </c>
      <c r="G144" t="inlineStr">
        <is>
          <t>VÄSTERÅS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44914</v>
      </c>
      <c r="E145" s="1" t="n">
        <v>46249</v>
      </c>
      <c r="F145" t="inlineStr">
        <is>
          <t>VÄSTMANLANDS LÄN</t>
        </is>
      </c>
      <c r="G145" t="inlineStr">
        <is>
          <t>VÄSTERÅS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44648</v>
      </c>
      <c r="E146" s="1" t="n">
        <v>46249</v>
      </c>
      <c r="F146" t="inlineStr">
        <is>
          <t>VÄSTMANLANDS LÄN</t>
        </is>
      </c>
      <c r="G146" t="inlineStr">
        <is>
          <t>VÄSTERÅS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44847</v>
      </c>
      <c r="E147" s="1" t="n">
        <v>46249</v>
      </c>
      <c r="F147" t="inlineStr">
        <is>
          <t>VÄSTMANLANDS LÄN</t>
        </is>
      </c>
      <c r="G147" t="inlineStr">
        <is>
          <t>VÄSTERÅS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44936</v>
      </c>
      <c r="E148" s="1" t="n">
        <v>46249</v>
      </c>
      <c r="F148" t="inlineStr">
        <is>
          <t>VÄSTMANLANDS LÄN</t>
        </is>
      </c>
      <c r="G148" t="inlineStr">
        <is>
          <t>VÄSTERÅS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44961</v>
      </c>
      <c r="E149" s="1" t="n">
        <v>46249</v>
      </c>
      <c r="F149" t="inlineStr">
        <is>
          <t>VÄSTMANLANDS LÄN</t>
        </is>
      </c>
      <c r="G149" t="inlineStr">
        <is>
          <t>VÄSTERÅS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67352-2021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46249</v>
      </c>
      <c r="F150" t="inlineStr">
        <is>
          <t>VÄSTMANLANDS LÄN</t>
        </is>
      </c>
      <c r="G150" t="inlineStr">
        <is>
          <t>VÄSTERÅS</t>
        </is>
      </c>
      <c r="H150" t="inlineStr">
        <is>
          <t>Övriga Aktiebolag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46249</v>
      </c>
      <c r="F151" t="inlineStr">
        <is>
          <t>VÄSTMANLANDS LÄN</t>
        </is>
      </c>
      <c r="G151" t="inlineStr">
        <is>
          <t>VÄSTERÅS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46249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12143-2022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44636</v>
      </c>
      <c r="E153" s="1" t="n">
        <v>46249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Kommuner</t>
        </is>
      </c>
      <c r="I153" t="n">
        <v>12.9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12148-2022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46249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Kommuner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46249</v>
      </c>
      <c r="F155" t="inlineStr">
        <is>
          <t>VÄSTMANLANDS LÄN</t>
        </is>
      </c>
      <c r="G155" t="inlineStr">
        <is>
          <t>VÄSTERÅS</t>
        </is>
      </c>
      <c r="H155" t="inlineStr">
        <is>
          <t>Övriga statliga verk och myndigheter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16497-2022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46249</v>
      </c>
      <c r="F156" t="inlineStr">
        <is>
          <t>VÄSTMANLANDS LÄN</t>
        </is>
      </c>
      <c r="G156" t="inlineStr">
        <is>
          <t>VÄSTERÅS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46249</v>
      </c>
      <c r="F157" t="inlineStr">
        <is>
          <t>VÄSTMANLANDS LÄN</t>
        </is>
      </c>
      <c r="G157" t="inlineStr">
        <is>
          <t>VÄSTERÅS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46249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46104</v>
      </c>
      <c r="E159" s="1" t="n">
        <v>46249</v>
      </c>
      <c r="F159" t="inlineStr">
        <is>
          <t>VÄSTMANLANDS LÄN</t>
        </is>
      </c>
      <c r="G159" t="inlineStr">
        <is>
          <t>VÄSTERÅS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45448</v>
      </c>
      <c r="E160" s="1" t="n">
        <v>46249</v>
      </c>
      <c r="F160" t="inlineStr">
        <is>
          <t>VÄSTMANLANDS LÄN</t>
        </is>
      </c>
      <c r="G160" t="inlineStr">
        <is>
          <t>VÄSTERÅS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46080</v>
      </c>
      <c r="E161" s="1" t="n">
        <v>46249</v>
      </c>
      <c r="F161" t="inlineStr">
        <is>
          <t>VÄSTMANLANDS LÄN</t>
        </is>
      </c>
      <c r="G161" t="inlineStr">
        <is>
          <t>VÄSTERÅS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11325-2026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46080</v>
      </c>
      <c r="E162" s="1" t="n">
        <v>46249</v>
      </c>
      <c r="F162" t="inlineStr">
        <is>
          <t>VÄSTMANLANDS LÄN</t>
        </is>
      </c>
      <c r="G162" t="inlineStr">
        <is>
          <t>VÄSTERÅS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42659-2021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44428</v>
      </c>
      <c r="E163" s="1" t="n">
        <v>46249</v>
      </c>
      <c r="F163" t="inlineStr">
        <is>
          <t>VÄSTMANLANDS LÄN</t>
        </is>
      </c>
      <c r="G163" t="inlineStr">
        <is>
          <t>VÄSTERÅS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17808-2023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45037</v>
      </c>
      <c r="E164" s="1" t="n">
        <v>46249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Sveaskog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44999</v>
      </c>
      <c r="E165" s="1" t="n">
        <v>46249</v>
      </c>
      <c r="F165" t="inlineStr">
        <is>
          <t>VÄSTMANLANDS LÄN</t>
        </is>
      </c>
      <c r="G165" t="inlineStr">
        <is>
          <t>VÄSTERÅS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46249</v>
      </c>
      <c r="F166" t="inlineStr">
        <is>
          <t>VÄSTMANLANDS LÄN</t>
        </is>
      </c>
      <c r="G166" t="inlineStr">
        <is>
          <t>VÄSTERÅS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22978-2022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44717</v>
      </c>
      <c r="E167" s="1" t="n">
        <v>46249</v>
      </c>
      <c r="F167" t="inlineStr">
        <is>
          <t>VÄSTMANLANDS LÄN</t>
        </is>
      </c>
      <c r="G167" t="inlineStr">
        <is>
          <t>VÄSTERÅS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46249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46249</v>
      </c>
      <c r="F169" t="inlineStr">
        <is>
          <t>VÄSTMANLANDS LÄN</t>
        </is>
      </c>
      <c r="G169" t="inlineStr">
        <is>
          <t>VÄSTERÅS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44662</v>
      </c>
      <c r="E170" s="1" t="n">
        <v>46249</v>
      </c>
      <c r="F170" t="inlineStr">
        <is>
          <t>VÄSTMANLANDS LÄN</t>
        </is>
      </c>
      <c r="G170" t="inlineStr">
        <is>
          <t>VÄSTERÅS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46112</v>
      </c>
      <c r="E171" s="1" t="n">
        <v>46249</v>
      </c>
      <c r="F171" t="inlineStr">
        <is>
          <t>VÄSTMANLANDS LÄN</t>
        </is>
      </c>
      <c r="G171" t="inlineStr">
        <is>
          <t>VÄSTERÅS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46112</v>
      </c>
      <c r="E172" s="1" t="n">
        <v>46249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14926-2022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44657</v>
      </c>
      <c r="E173" s="1" t="n">
        <v>46249</v>
      </c>
      <c r="F173" t="inlineStr">
        <is>
          <t>VÄSTMANLANDS LÄN</t>
        </is>
      </c>
      <c r="G173" t="inlineStr">
        <is>
          <t>VÄSTERÅS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16579-2026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46112</v>
      </c>
      <c r="E174" s="1" t="n">
        <v>46249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46112</v>
      </c>
      <c r="E175" s="1" t="n">
        <v>46249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46249</v>
      </c>
      <c r="F176" t="inlineStr">
        <is>
          <t>VÄSTMANLANDS LÄN</t>
        </is>
      </c>
      <c r="G176" t="inlineStr">
        <is>
          <t>VÄSTERÅS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46249</v>
      </c>
      <c r="F177" t="inlineStr">
        <is>
          <t>VÄSTMANLANDS LÄN</t>
        </is>
      </c>
      <c r="G177" t="inlineStr">
        <is>
          <t>VÄSTERÅS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45979</v>
      </c>
      <c r="E178" s="1" t="n">
        <v>46249</v>
      </c>
      <c r="F178" t="inlineStr">
        <is>
          <t>VÄSTMANLANDS LÄN</t>
        </is>
      </c>
      <c r="G178" t="inlineStr">
        <is>
          <t>VÄSTERÅS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46249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Kommuner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46120</v>
      </c>
      <c r="E180" s="1" t="n">
        <v>46249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Allmännings- och besparingsskogar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44755</v>
      </c>
      <c r="E181" s="1" t="n">
        <v>46249</v>
      </c>
      <c r="F181" t="inlineStr">
        <is>
          <t>VÄSTMANLANDS LÄN</t>
        </is>
      </c>
      <c r="G181" t="inlineStr">
        <is>
          <t>VÄSTERÅS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11137-2023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44987</v>
      </c>
      <c r="E182" s="1" t="n">
        <v>46249</v>
      </c>
      <c r="F182" t="inlineStr">
        <is>
          <t>VÄSTMANLANDS LÄN</t>
        </is>
      </c>
      <c r="G182" t="inlineStr">
        <is>
          <t>VÄSTERÅS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45019</v>
      </c>
      <c r="E183" s="1" t="n">
        <v>46249</v>
      </c>
      <c r="F183" t="inlineStr">
        <is>
          <t>VÄSTMANLANDS LÄN</t>
        </is>
      </c>
      <c r="G183" t="inlineStr">
        <is>
          <t>VÄSTERÅS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44610</v>
      </c>
      <c r="E184" s="1" t="n">
        <v>46249</v>
      </c>
      <c r="F184" t="inlineStr">
        <is>
          <t>VÄSTMANLANDS LÄN</t>
        </is>
      </c>
      <c r="G184" t="inlineStr">
        <is>
          <t>VÄSTERÅS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63851-2021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44509</v>
      </c>
      <c r="E185" s="1" t="n">
        <v>46249</v>
      </c>
      <c r="F185" t="inlineStr">
        <is>
          <t>VÄSTMANLANDS LÄN</t>
        </is>
      </c>
      <c r="G185" t="inlineStr">
        <is>
          <t>VÄSTERÅS</t>
        </is>
      </c>
      <c r="I185" t="n">
        <v>11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45443</v>
      </c>
      <c r="E186" s="1" t="n">
        <v>46249</v>
      </c>
      <c r="F186" t="inlineStr">
        <is>
          <t>VÄSTMANLANDS LÄN</t>
        </is>
      </c>
      <c r="G186" t="inlineStr">
        <is>
          <t>VÄSTERÅS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22832-2023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45072</v>
      </c>
      <c r="E187" s="1" t="n">
        <v>46249</v>
      </c>
      <c r="F187" t="inlineStr">
        <is>
          <t>VÄSTMANLANDS LÄN</t>
        </is>
      </c>
      <c r="G187" t="inlineStr">
        <is>
          <t>VÄSTERÅS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59142-2025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46249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46249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Kyrkan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45639</v>
      </c>
      <c r="E190" s="1" t="n">
        <v>46249</v>
      </c>
      <c r="F190" t="inlineStr">
        <is>
          <t>VÄSTMANLANDS LÄN</t>
        </is>
      </c>
      <c r="G190" t="inlineStr">
        <is>
          <t>VÄSTERÅS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46249</v>
      </c>
      <c r="F191" t="inlineStr">
        <is>
          <t>VÄSTMANLANDS LÄN</t>
        </is>
      </c>
      <c r="G191" t="inlineStr">
        <is>
          <t>VÄSTERÅS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45804-2024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46249</v>
      </c>
      <c r="F192" t="inlineStr">
        <is>
          <t>VÄSTMANLANDS LÄN</t>
        </is>
      </c>
      <c r="G192" t="inlineStr">
        <is>
          <t>VÄSTERÅS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46249</v>
      </c>
      <c r="F193" t="inlineStr">
        <is>
          <t>VÄSTMANLANDS LÄN</t>
        </is>
      </c>
      <c r="G193" t="inlineStr">
        <is>
          <t>VÄSTERÅS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45027</v>
      </c>
      <c r="E194" s="1" t="n">
        <v>46249</v>
      </c>
      <c r="F194" t="inlineStr">
        <is>
          <t>VÄSTMANLANDS LÄN</t>
        </is>
      </c>
      <c r="G194" t="inlineStr">
        <is>
          <t>VÄSTERÅS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16037-2023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45027</v>
      </c>
      <c r="E195" s="1" t="n">
        <v>46249</v>
      </c>
      <c r="F195" t="inlineStr">
        <is>
          <t>VÄSTMANLANDS LÄN</t>
        </is>
      </c>
      <c r="G195" t="inlineStr">
        <is>
          <t>VÄSTERÅS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44600</v>
      </c>
      <c r="E196" s="1" t="n">
        <v>46249</v>
      </c>
      <c r="F196" t="inlineStr">
        <is>
          <t>VÄSTMANLANDS LÄN</t>
        </is>
      </c>
      <c r="G196" t="inlineStr">
        <is>
          <t>VÄSTERÅS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44826</v>
      </c>
      <c r="E197" s="1" t="n">
        <v>46249</v>
      </c>
      <c r="F197" t="inlineStr">
        <is>
          <t>VÄSTMANLANDS LÄN</t>
        </is>
      </c>
      <c r="G197" t="inlineStr">
        <is>
          <t>VÄSTERÅS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44999</v>
      </c>
      <c r="E198" s="1" t="n">
        <v>46249</v>
      </c>
      <c r="F198" t="inlineStr">
        <is>
          <t>VÄSTMANLANDS LÄN</t>
        </is>
      </c>
      <c r="G198" t="inlineStr">
        <is>
          <t>VÄSTERÅS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46249</v>
      </c>
      <c r="F199" t="inlineStr">
        <is>
          <t>VÄSTMANLANDS LÄN</t>
        </is>
      </c>
      <c r="G199" t="inlineStr">
        <is>
          <t>VÄSTERÅS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51004-2024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45603</v>
      </c>
      <c r="E200" s="1" t="n">
        <v>46249</v>
      </c>
      <c r="F200" t="inlineStr">
        <is>
          <t>VÄSTMANLANDS LÄN</t>
        </is>
      </c>
      <c r="G200" t="inlineStr">
        <is>
          <t>VÄSTERÅS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44498</v>
      </c>
      <c r="E201" s="1" t="n">
        <v>46249</v>
      </c>
      <c r="F201" t="inlineStr">
        <is>
          <t>VÄSTMANLANDS LÄN</t>
        </is>
      </c>
      <c r="G201" t="inlineStr">
        <is>
          <t>VÄSTERÅS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52015-2024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45607</v>
      </c>
      <c r="E202" s="1" t="n">
        <v>46249</v>
      </c>
      <c r="F202" t="inlineStr">
        <is>
          <t>VÄSTMANLANDS LÄN</t>
        </is>
      </c>
      <c r="G202" t="inlineStr">
        <is>
          <t>VÄSTERÅS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19791-2026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46135</v>
      </c>
      <c r="E203" s="1" t="n">
        <v>46249</v>
      </c>
      <c r="F203" t="inlineStr">
        <is>
          <t>VÄSTMANLANDS LÄN</t>
        </is>
      </c>
      <c r="G203" t="inlineStr">
        <is>
          <t>VÄSTERÅS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3118-2022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44582</v>
      </c>
      <c r="E204" s="1" t="n">
        <v>46249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Övriga Aktiebolag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8727-2023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44978</v>
      </c>
      <c r="E205" s="1" t="n">
        <v>46249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Kyrkan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45019</v>
      </c>
      <c r="E206" s="1" t="n">
        <v>46249</v>
      </c>
      <c r="F206" t="inlineStr">
        <is>
          <t>VÄSTMANLANDS LÄN</t>
        </is>
      </c>
      <c r="G206" t="inlineStr">
        <is>
          <t>VÄSTERÅS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46030</v>
      </c>
      <c r="E207" s="1" t="n">
        <v>46249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Allmännings- och besparingsskogar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46249</v>
      </c>
      <c r="F208" t="inlineStr">
        <is>
          <t>VÄSTMANLANDS LÄN</t>
        </is>
      </c>
      <c r="G208" t="inlineStr">
        <is>
          <t>VÄSTERÅS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46249</v>
      </c>
      <c r="F209" t="inlineStr">
        <is>
          <t>VÄSTMANLANDS LÄN</t>
        </is>
      </c>
      <c r="G209" t="inlineStr">
        <is>
          <t>VÄSTERÅS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45705</v>
      </c>
      <c r="E210" s="1" t="n">
        <v>46249</v>
      </c>
      <c r="F210" t="inlineStr">
        <is>
          <t>VÄSTMANLANDS LÄN</t>
        </is>
      </c>
      <c r="G210" t="inlineStr">
        <is>
          <t>VÄSTERÅS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58577-2023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45251</v>
      </c>
      <c r="E211" s="1" t="n">
        <v>46249</v>
      </c>
      <c r="F211" t="inlineStr">
        <is>
          <t>VÄSTMANLANDS LÄN</t>
        </is>
      </c>
      <c r="G211" t="inlineStr">
        <is>
          <t>VÄSTERÅS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15316-2022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44659</v>
      </c>
      <c r="E212" s="1" t="n">
        <v>46249</v>
      </c>
      <c r="F212" t="inlineStr">
        <is>
          <t>VÄSTMANLANDS LÄN</t>
        </is>
      </c>
      <c r="G212" t="inlineStr">
        <is>
          <t>VÄSTERÅS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46249</v>
      </c>
      <c r="F213" t="inlineStr">
        <is>
          <t>VÄSTMANLANDS LÄN</t>
        </is>
      </c>
      <c r="G213" t="inlineStr">
        <is>
          <t>VÄSTERÅS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46249</v>
      </c>
      <c r="F214" t="inlineStr">
        <is>
          <t>VÄSTMANLANDS LÄN</t>
        </is>
      </c>
      <c r="G214" t="inlineStr">
        <is>
          <t>VÄSTERÅS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44695-2022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44840</v>
      </c>
      <c r="E215" s="1" t="n">
        <v>46249</v>
      </c>
      <c r="F215" t="inlineStr">
        <is>
          <t>VÄSTMANLANDS LÄN</t>
        </is>
      </c>
      <c r="G215" t="inlineStr">
        <is>
          <t>VÄSTERÅS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46249</v>
      </c>
      <c r="F216" t="inlineStr">
        <is>
          <t>VÄSTMANLANDS LÄN</t>
        </is>
      </c>
      <c r="G216" t="inlineStr">
        <is>
          <t>VÄSTERÅS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45761</v>
      </c>
      <c r="E217" s="1" t="n">
        <v>46249</v>
      </c>
      <c r="F217" t="inlineStr">
        <is>
          <t>VÄSTMANLANDS LÄN</t>
        </is>
      </c>
      <c r="G217" t="inlineStr">
        <is>
          <t>VÄSTERÅS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45735</v>
      </c>
      <c r="E218" s="1" t="n">
        <v>46249</v>
      </c>
      <c r="F218" t="inlineStr">
        <is>
          <t>VÄSTMANLANDS LÄN</t>
        </is>
      </c>
      <c r="G218" t="inlineStr">
        <is>
          <t>VÄSTERÅS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46249</v>
      </c>
      <c r="F219" t="inlineStr">
        <is>
          <t>VÄSTMANLANDS LÄN</t>
        </is>
      </c>
      <c r="G219" t="inlineStr">
        <is>
          <t>VÄSTERÅS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46249</v>
      </c>
      <c r="F220" t="inlineStr">
        <is>
          <t>VÄSTMANLANDS LÄN</t>
        </is>
      </c>
      <c r="G220" t="inlineStr">
        <is>
          <t>VÄSTERÅS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45398</v>
      </c>
      <c r="E221" s="1" t="n">
        <v>46249</v>
      </c>
      <c r="F221" t="inlineStr">
        <is>
          <t>VÄSTMANLANDS LÄN</t>
        </is>
      </c>
      <c r="G221" t="inlineStr">
        <is>
          <t>VÄSTERÅS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7797-2026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46062</v>
      </c>
      <c r="E222" s="1" t="n">
        <v>46249</v>
      </c>
      <c r="F222" t="inlineStr">
        <is>
          <t>VÄSTMANLANDS LÄN</t>
        </is>
      </c>
      <c r="G222" t="inlineStr">
        <is>
          <t>VÄSTERÅS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8870-2026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46066</v>
      </c>
      <c r="E223" s="1" t="n">
        <v>46249</v>
      </c>
      <c r="F223" t="inlineStr">
        <is>
          <t>VÄSTMANLANDS LÄN</t>
        </is>
      </c>
      <c r="G223" t="inlineStr">
        <is>
          <t>VÄSTERÅS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45110</v>
      </c>
      <c r="E224" s="1" t="n">
        <v>46249</v>
      </c>
      <c r="F224" t="inlineStr">
        <is>
          <t>VÄSTMANLANDS LÄN</t>
        </is>
      </c>
      <c r="G224" t="inlineStr">
        <is>
          <t>VÄSTERÅS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46249</v>
      </c>
      <c r="F225" t="inlineStr">
        <is>
          <t>VÄSTMANLANDS LÄN</t>
        </is>
      </c>
      <c r="G225" t="inlineStr">
        <is>
          <t>VÄSTERÅS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55684-2023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45232</v>
      </c>
      <c r="E226" s="1" t="n">
        <v>46249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Övriga Aktiebolag</t>
        </is>
      </c>
      <c r="I226" t="n">
        <v>29.4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39810-2024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45553</v>
      </c>
      <c r="E227" s="1" t="n">
        <v>46249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Kyrkan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44893</v>
      </c>
      <c r="E228" s="1" t="n">
        <v>46249</v>
      </c>
      <c r="F228" t="inlineStr">
        <is>
          <t>VÄSTMANLANDS LÄN</t>
        </is>
      </c>
      <c r="G228" t="inlineStr">
        <is>
          <t>VÄSTERÅS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44874</v>
      </c>
      <c r="E229" s="1" t="n">
        <v>46249</v>
      </c>
      <c r="F229" t="inlineStr">
        <is>
          <t>VÄSTMANLANDS LÄN</t>
        </is>
      </c>
      <c r="G229" t="inlineStr">
        <is>
          <t>VÄSTERÅS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45019</v>
      </c>
      <c r="E230" s="1" t="n">
        <v>46249</v>
      </c>
      <c r="F230" t="inlineStr">
        <is>
          <t>VÄSTMANLANDS LÄN</t>
        </is>
      </c>
      <c r="G230" t="inlineStr">
        <is>
          <t>VÄSTERÅS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18467-2023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45042</v>
      </c>
      <c r="E231" s="1" t="n">
        <v>46249</v>
      </c>
      <c r="F231" t="inlineStr">
        <is>
          <t>VÄSTMANLANDS LÄN</t>
        </is>
      </c>
      <c r="G231" t="inlineStr">
        <is>
          <t>VÄSTERÅS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46249</v>
      </c>
      <c r="F232" t="inlineStr">
        <is>
          <t>VÄSTMANLANDS LÄN</t>
        </is>
      </c>
      <c r="G232" t="inlineStr">
        <is>
          <t>VÄSTERÅS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11072-2026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46079</v>
      </c>
      <c r="E233" s="1" t="n">
        <v>46249</v>
      </c>
      <c r="F233" t="inlineStr">
        <is>
          <t>VÄSTMANLANDS LÄN</t>
        </is>
      </c>
      <c r="G233" t="inlineStr">
        <is>
          <t>VÄSTERÅS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45033</v>
      </c>
      <c r="E234" s="1" t="n">
        <v>46249</v>
      </c>
      <c r="F234" t="inlineStr">
        <is>
          <t>VÄSTMANLANDS LÄN</t>
        </is>
      </c>
      <c r="G234" t="inlineStr">
        <is>
          <t>VÄSTERÅS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46249</v>
      </c>
      <c r="F235" t="inlineStr">
        <is>
          <t>VÄSTMANLANDS LÄN</t>
        </is>
      </c>
      <c r="G235" t="inlineStr">
        <is>
          <t>VÄSTERÅS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46249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64207-2023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45279</v>
      </c>
      <c r="E237" s="1" t="n">
        <v>46249</v>
      </c>
      <c r="F237" t="inlineStr">
        <is>
          <t>VÄSTMANLANDS LÄN</t>
        </is>
      </c>
      <c r="G237" t="inlineStr">
        <is>
          <t>VÄSTERÅS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51572-2023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45222</v>
      </c>
      <c r="E238" s="1" t="n">
        <v>46249</v>
      </c>
      <c r="F238" t="inlineStr">
        <is>
          <t>VÄSTMANLANDS LÄN</t>
        </is>
      </c>
      <c r="G238" t="inlineStr">
        <is>
          <t>VÄSTERÅS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10912-2024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45370</v>
      </c>
      <c r="E239" s="1" t="n">
        <v>46249</v>
      </c>
      <c r="F239" t="inlineStr">
        <is>
          <t>VÄSTMANLANDS LÄN</t>
        </is>
      </c>
      <c r="G239" t="inlineStr">
        <is>
          <t>VÄSTERÅS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46154</v>
      </c>
      <c r="E240" s="1" t="n">
        <v>46249</v>
      </c>
      <c r="F240" t="inlineStr">
        <is>
          <t>VÄSTMANLANDS LÄN</t>
        </is>
      </c>
      <c r="G240" t="inlineStr">
        <is>
          <t>VÄSTERÅS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46154</v>
      </c>
      <c r="E241" s="1" t="n">
        <v>46249</v>
      </c>
      <c r="F241" t="inlineStr">
        <is>
          <t>VÄSTMANLANDS LÄN</t>
        </is>
      </c>
      <c r="G241" t="inlineStr">
        <is>
          <t>VÄSTERÅS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46249</v>
      </c>
      <c r="F242" t="inlineStr">
        <is>
          <t>VÄSTMANLANDS LÄN</t>
        </is>
      </c>
      <c r="G242" t="inlineStr">
        <is>
          <t>VÄSTERÅS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45257</v>
      </c>
      <c r="E243" s="1" t="n">
        <v>46249</v>
      </c>
      <c r="F243" t="inlineStr">
        <is>
          <t>VÄSTMANLANDS LÄN</t>
        </is>
      </c>
      <c r="G243" t="inlineStr">
        <is>
          <t>VÄSTERÅS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15350-2023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45019</v>
      </c>
      <c r="E244" s="1" t="n">
        <v>46249</v>
      </c>
      <c r="F244" t="inlineStr">
        <is>
          <t>VÄSTMANLANDS LÄN</t>
        </is>
      </c>
      <c r="G244" t="inlineStr">
        <is>
          <t>VÄSTERÅS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44901</v>
      </c>
      <c r="E245" s="1" t="n">
        <v>46249</v>
      </c>
      <c r="F245" t="inlineStr">
        <is>
          <t>VÄSTMANLANDS LÄN</t>
        </is>
      </c>
      <c r="G245" t="inlineStr">
        <is>
          <t>VÄSTERÅS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46249</v>
      </c>
      <c r="F246" t="inlineStr">
        <is>
          <t>VÄSTMANLANDS LÄN</t>
        </is>
      </c>
      <c r="G246" t="inlineStr">
        <is>
          <t>VÄSTERÅS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22293-2026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46249</v>
      </c>
      <c r="F247" t="inlineStr">
        <is>
          <t>VÄSTMANLANDS LÄN</t>
        </is>
      </c>
      <c r="G247" t="inlineStr">
        <is>
          <t>VÄSTERÅS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45713</v>
      </c>
      <c r="E248" s="1" t="n">
        <v>46249</v>
      </c>
      <c r="F248" t="inlineStr">
        <is>
          <t>VÄSTMANLANDS LÄN</t>
        </is>
      </c>
      <c r="G248" t="inlineStr">
        <is>
          <t>VÄSTERÅS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45638</v>
      </c>
      <c r="E249" s="1" t="n">
        <v>46249</v>
      </c>
      <c r="F249" t="inlineStr">
        <is>
          <t>VÄSTMANLANDS LÄN</t>
        </is>
      </c>
      <c r="G249" t="inlineStr">
        <is>
          <t>VÄSTERÅS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73601-2021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44552</v>
      </c>
      <c r="E250" s="1" t="n">
        <v>46249</v>
      </c>
      <c r="F250" t="inlineStr">
        <is>
          <t>VÄSTMANLANDS LÄN</t>
        </is>
      </c>
      <c r="G250" t="inlineStr">
        <is>
          <t>VÄSTERÅS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46249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32053-2023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45119</v>
      </c>
      <c r="E252" s="1" t="n">
        <v>46249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41469-2024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45560</v>
      </c>
      <c r="E253" s="1" t="n">
        <v>46249</v>
      </c>
      <c r="F253" t="inlineStr">
        <is>
          <t>VÄSTMANLANDS LÄN</t>
        </is>
      </c>
      <c r="G253" t="inlineStr">
        <is>
          <t>VÄSTERÅS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38381-2022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44812</v>
      </c>
      <c r="E254" s="1" t="n">
        <v>46249</v>
      </c>
      <c r="F254" t="inlineStr">
        <is>
          <t>VÄSTMANLANDS LÄN</t>
        </is>
      </c>
      <c r="G254" t="inlineStr">
        <is>
          <t>VÄSTERÅS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46249</v>
      </c>
      <c r="F255" t="inlineStr">
        <is>
          <t>VÄSTMANLANDS LÄN</t>
        </is>
      </c>
      <c r="G255" t="inlineStr">
        <is>
          <t>VÄSTERÅS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61258-2023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46249</v>
      </c>
      <c r="F256" t="inlineStr">
        <is>
          <t>VÄSTMANLANDS LÄN</t>
        </is>
      </c>
      <c r="G256" t="inlineStr">
        <is>
          <t>VÄSTERÅS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24402-2024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45457</v>
      </c>
      <c r="E257" s="1" t="n">
        <v>46249</v>
      </c>
      <c r="F257" t="inlineStr">
        <is>
          <t>VÄSTMANLANDS LÄN</t>
        </is>
      </c>
      <c r="G257" t="inlineStr">
        <is>
          <t>VÄSTERÅS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45162</v>
      </c>
      <c r="E258" s="1" t="n">
        <v>46249</v>
      </c>
      <c r="F258" t="inlineStr">
        <is>
          <t>VÄSTMANLANDS LÄN</t>
        </is>
      </c>
      <c r="G258" t="inlineStr">
        <is>
          <t>VÄSTERÅS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46249</v>
      </c>
      <c r="F259" t="inlineStr">
        <is>
          <t>VÄSTMANLANDS LÄN</t>
        </is>
      </c>
      <c r="G259" t="inlineStr">
        <is>
          <t>VÄSTERÅS</t>
        </is>
      </c>
      <c r="I259" t="n">
        <v>15.4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45532</v>
      </c>
      <c r="E260" s="1" t="n">
        <v>46249</v>
      </c>
      <c r="F260" t="inlineStr">
        <is>
          <t>VÄSTMANLANDS LÄN</t>
        </is>
      </c>
      <c r="G260" t="inlineStr">
        <is>
          <t>VÄSTERÅS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46249</v>
      </c>
      <c r="F261" t="inlineStr">
        <is>
          <t>VÄSTMANLANDS LÄN</t>
        </is>
      </c>
      <c r="G261" t="inlineStr">
        <is>
          <t>VÄSTERÅS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74314-2021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44559</v>
      </c>
      <c r="E262" s="1" t="n">
        <v>46249</v>
      </c>
      <c r="F262" t="inlineStr">
        <is>
          <t>VÄSTMANLANDS LÄN</t>
        </is>
      </c>
      <c r="G262" t="inlineStr">
        <is>
          <t>VÄSTERÅS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44595</v>
      </c>
      <c r="E263" s="1" t="n">
        <v>46249</v>
      </c>
      <c r="F263" t="inlineStr">
        <is>
          <t>VÄSTMANLANDS LÄN</t>
        </is>
      </c>
      <c r="G263" t="inlineStr">
        <is>
          <t>VÄSTERÅS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45218</v>
      </c>
      <c r="E264" s="1" t="n">
        <v>46249</v>
      </c>
      <c r="F264" t="inlineStr">
        <is>
          <t>VÄSTMANLANDS LÄN</t>
        </is>
      </c>
      <c r="G264" t="inlineStr">
        <is>
          <t>VÄSTERÅS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24262-2026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46169</v>
      </c>
      <c r="E265" s="1" t="n">
        <v>46249</v>
      </c>
      <c r="F265" t="inlineStr">
        <is>
          <t>VÄSTMANLANDS LÄN</t>
        </is>
      </c>
      <c r="G265" t="inlineStr">
        <is>
          <t>VÄSTERÅS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24266-2026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46169</v>
      </c>
      <c r="E266" s="1" t="n">
        <v>46249</v>
      </c>
      <c r="F266" t="inlineStr">
        <is>
          <t>VÄSTMANLANDS LÄN</t>
        </is>
      </c>
      <c r="G266" t="inlineStr">
        <is>
          <t>VÄSTERÅS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46169</v>
      </c>
      <c r="E267" s="1" t="n">
        <v>46249</v>
      </c>
      <c r="F267" t="inlineStr">
        <is>
          <t>VÄSTMANLANDS LÄN</t>
        </is>
      </c>
      <c r="G267" t="inlineStr">
        <is>
          <t>VÄSTERÅS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46169</v>
      </c>
      <c r="E268" s="1" t="n">
        <v>46249</v>
      </c>
      <c r="F268" t="inlineStr">
        <is>
          <t>VÄSTMANLANDS LÄN</t>
        </is>
      </c>
      <c r="G268" t="inlineStr">
        <is>
          <t>VÄSTERÅS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45274</v>
      </c>
      <c r="E269" s="1" t="n">
        <v>46249</v>
      </c>
      <c r="F269" t="inlineStr">
        <is>
          <t>VÄSTMANLANDS LÄN</t>
        </is>
      </c>
      <c r="G269" t="inlineStr">
        <is>
          <t>VÄSTERÅS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12258-2022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44637</v>
      </c>
      <c r="E270" s="1" t="n">
        <v>46249</v>
      </c>
      <c r="F270" t="inlineStr">
        <is>
          <t>VÄSTMANLANDS LÄN</t>
        </is>
      </c>
      <c r="G270" t="inlineStr">
        <is>
          <t>VÄSTERÅS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16214-2023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45028</v>
      </c>
      <c r="E271" s="1" t="n">
        <v>46249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45160</v>
      </c>
      <c r="E272" s="1" t="n">
        <v>46249</v>
      </c>
      <c r="F272" t="inlineStr">
        <is>
          <t>VÄSTMANLANDS LÄN</t>
        </is>
      </c>
      <c r="G272" t="inlineStr">
        <is>
          <t>VÄSTERÅS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30970-2026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46213</v>
      </c>
      <c r="E273" s="1" t="n">
        <v>46249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Sveaskog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46215</v>
      </c>
      <c r="E274" s="1" t="n">
        <v>46249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31052-2026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46215</v>
      </c>
      <c r="E275" s="1" t="n">
        <v>46249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9.800000000000001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46215</v>
      </c>
      <c r="E276" s="1" t="n">
        <v>46249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46215</v>
      </c>
      <c r="E277" s="1" t="n">
        <v>46249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46215</v>
      </c>
      <c r="E278" s="1" t="n">
        <v>46249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46170</v>
      </c>
      <c r="E279" s="1" t="n">
        <v>46249</v>
      </c>
      <c r="F279" t="inlineStr">
        <is>
          <t>VÄSTMANLANDS LÄN</t>
        </is>
      </c>
      <c r="G279" t="inlineStr">
        <is>
          <t>VÄSTERÅS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44978</v>
      </c>
      <c r="E280" s="1" t="n">
        <v>46249</v>
      </c>
      <c r="F280" t="inlineStr">
        <is>
          <t>VÄSTMANLANDS LÄN</t>
        </is>
      </c>
      <c r="G280" t="inlineStr">
        <is>
          <t>VÄSTERÅS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45545</v>
      </c>
      <c r="E281" s="1" t="n">
        <v>46249</v>
      </c>
      <c r="F281" t="inlineStr">
        <is>
          <t>VÄSTMANLANDS LÄN</t>
        </is>
      </c>
      <c r="G281" t="inlineStr">
        <is>
          <t>VÄSTERÅS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45174</v>
      </c>
      <c r="E282" s="1" t="n">
        <v>46249</v>
      </c>
      <c r="F282" t="inlineStr">
        <is>
          <t>VÄSTMANLANDS LÄN</t>
        </is>
      </c>
      <c r="G282" t="inlineStr">
        <is>
          <t>VÄSTERÅS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46215</v>
      </c>
      <c r="E283" s="1" t="n">
        <v>46249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31623-2024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45506</v>
      </c>
      <c r="E284" s="1" t="n">
        <v>46249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Kommuner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24546-2025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46249</v>
      </c>
      <c r="F285" t="inlineStr">
        <is>
          <t>VÄSTMANLANDS LÄN</t>
        </is>
      </c>
      <c r="G285" t="inlineStr">
        <is>
          <t>VÄSTERÅS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32998-2023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45125</v>
      </c>
      <c r="E286" s="1" t="n">
        <v>46249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18465-2023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45042</v>
      </c>
      <c r="E287" s="1" t="n">
        <v>46249</v>
      </c>
      <c r="F287" t="inlineStr">
        <is>
          <t>VÄSTMANLANDS LÄN</t>
        </is>
      </c>
      <c r="G287" t="inlineStr">
        <is>
          <t>VÄSTERÅS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73994-2021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44556</v>
      </c>
      <c r="E288" s="1" t="n">
        <v>46249</v>
      </c>
      <c r="F288" t="inlineStr">
        <is>
          <t>VÄSTMANLANDS LÄN</t>
        </is>
      </c>
      <c r="G288" t="inlineStr">
        <is>
          <t>VÄSTERÅS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45628</v>
      </c>
      <c r="E289" s="1" t="n">
        <v>46249</v>
      </c>
      <c r="F289" t="inlineStr">
        <is>
          <t>VÄSTMANLANDS LÄN</t>
        </is>
      </c>
      <c r="G289" t="inlineStr">
        <is>
          <t>VÄSTERÅS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73597-2021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44552</v>
      </c>
      <c r="E290" s="1" t="n">
        <v>46249</v>
      </c>
      <c r="F290" t="inlineStr">
        <is>
          <t>VÄSTMANLANDS LÄN</t>
        </is>
      </c>
      <c r="G290" t="inlineStr">
        <is>
          <t>VÄSTERÅS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56076-2023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45235</v>
      </c>
      <c r="E291" s="1" t="n">
        <v>46249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Övriga Aktiebolag</t>
        </is>
      </c>
      <c r="I291" t="n">
        <v>37.8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13376-2022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44645</v>
      </c>
      <c r="E292" s="1" t="n">
        <v>46249</v>
      </c>
      <c r="F292" t="inlineStr">
        <is>
          <t>VÄSTMANLANDS LÄN</t>
        </is>
      </c>
      <c r="G292" t="inlineStr">
        <is>
          <t>VÄSTERÅS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31618-2024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45506</v>
      </c>
      <c r="E293" s="1" t="n">
        <v>46249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Kommuner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50996-2024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46249</v>
      </c>
      <c r="F294" t="inlineStr">
        <is>
          <t>VÄSTMANLANDS LÄN</t>
        </is>
      </c>
      <c r="G294" t="inlineStr">
        <is>
          <t>VÄSTERÅS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67350-2021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44523</v>
      </c>
      <c r="E295" s="1" t="n">
        <v>46249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Övriga Aktiebolag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44636</v>
      </c>
      <c r="E296" s="1" t="n">
        <v>46249</v>
      </c>
      <c r="F296" t="inlineStr">
        <is>
          <t>VÄSTMANLANDS LÄN</t>
        </is>
      </c>
      <c r="G296" t="inlineStr">
        <is>
          <t>VÄSTERÅS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46249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Allmännings- och besparingsskogar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7378-2022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44606</v>
      </c>
      <c r="E298" s="1" t="n">
        <v>46249</v>
      </c>
      <c r="F298" t="inlineStr">
        <is>
          <t>VÄSTMANLANDS LÄN</t>
        </is>
      </c>
      <c r="G298" t="inlineStr">
        <is>
          <t>VÄSTERÅS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46249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45617</v>
      </c>
      <c r="E300" s="1" t="n">
        <v>46249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44623</v>
      </c>
      <c r="E301" s="1" t="n">
        <v>46249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26751-2026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46249</v>
      </c>
      <c r="F302" t="inlineStr">
        <is>
          <t>VÄSTMANLANDS LÄN</t>
        </is>
      </c>
      <c r="G302" t="inlineStr">
        <is>
          <t>VÄSTERÅS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15201-2022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44658</v>
      </c>
      <c r="E303" s="1" t="n">
        <v>46249</v>
      </c>
      <c r="F303" t="inlineStr">
        <is>
          <t>VÄSTMANLANDS LÄN</t>
        </is>
      </c>
      <c r="G303" t="inlineStr">
        <is>
          <t>VÄSTERÅS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26743-2026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46184</v>
      </c>
      <c r="E304" s="1" t="n">
        <v>46249</v>
      </c>
      <c r="F304" t="inlineStr">
        <is>
          <t>VÄSTMANLANDS LÄN</t>
        </is>
      </c>
      <c r="G304" t="inlineStr">
        <is>
          <t>VÄSTERÅS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26745-2026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46249</v>
      </c>
      <c r="F305" t="inlineStr">
        <is>
          <t>VÄSTMANLANDS LÄN</t>
        </is>
      </c>
      <c r="G305" t="inlineStr">
        <is>
          <t>VÄSTERÅS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44635</v>
      </c>
      <c r="E306" s="1" t="n">
        <v>46249</v>
      </c>
      <c r="F306" t="inlineStr">
        <is>
          <t>VÄSTMANLANDS LÄN</t>
        </is>
      </c>
      <c r="G306" t="inlineStr">
        <is>
          <t>VÄSTERÅS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11989-2022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44635</v>
      </c>
      <c r="E307" s="1" t="n">
        <v>46249</v>
      </c>
      <c r="F307" t="inlineStr">
        <is>
          <t>VÄSTMANLANDS LÄN</t>
        </is>
      </c>
      <c r="G307" t="inlineStr">
        <is>
          <t>VÄSTERÅS</t>
        </is>
      </c>
      <c r="I307" t="n">
        <v>12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44610</v>
      </c>
      <c r="E308" s="1" t="n">
        <v>46249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46249</v>
      </c>
      <c r="F309" t="inlineStr">
        <is>
          <t>VÄSTMANLANDS LÄN</t>
        </is>
      </c>
      <c r="G309" t="inlineStr">
        <is>
          <t>VÄSTERÅS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46249</v>
      </c>
      <c r="F310" t="inlineStr">
        <is>
          <t>VÄSTMANLANDS LÄN</t>
        </is>
      </c>
      <c r="G310" t="inlineStr">
        <is>
          <t>VÄSTERÅS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11950-2022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44635</v>
      </c>
      <c r="E311" s="1" t="n">
        <v>46249</v>
      </c>
      <c r="F311" t="inlineStr">
        <is>
          <t>VÄSTMANLANDS LÄN</t>
        </is>
      </c>
      <c r="G311" t="inlineStr">
        <is>
          <t>VÄSTERÅS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21761-2022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44708</v>
      </c>
      <c r="E312" s="1" t="n">
        <v>46249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45705</v>
      </c>
      <c r="E313" s="1" t="n">
        <v>46249</v>
      </c>
      <c r="F313" t="inlineStr">
        <is>
          <t>VÄSTMANLANDS LÄN</t>
        </is>
      </c>
      <c r="G313" t="inlineStr">
        <is>
          <t>VÄSTERÅS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31569-2025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46249</v>
      </c>
      <c r="F314" t="inlineStr">
        <is>
          <t>VÄSTMANLANDS LÄN</t>
        </is>
      </c>
      <c r="G314" t="inlineStr">
        <is>
          <t>VÄSTERÅS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46249</v>
      </c>
      <c r="F315" t="inlineStr">
        <is>
          <t>VÄSTMANLANDS LÄN</t>
        </is>
      </c>
      <c r="G315" t="inlineStr">
        <is>
          <t>VÄSTERÅS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42257-2023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46249</v>
      </c>
      <c r="F316" t="inlineStr">
        <is>
          <t>VÄSTMANLANDS LÄN</t>
        </is>
      </c>
      <c r="G316" t="inlineStr">
        <is>
          <t>VÄSTERÅS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17725-2022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44680</v>
      </c>
      <c r="E317" s="1" t="n">
        <v>46249</v>
      </c>
      <c r="F317" t="inlineStr">
        <is>
          <t>VÄSTMANLANDS LÄN</t>
        </is>
      </c>
      <c r="G317" t="inlineStr">
        <is>
          <t>VÄSTERÅS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46195</v>
      </c>
      <c r="E318" s="1" t="n">
        <v>46249</v>
      </c>
      <c r="F318" t="inlineStr">
        <is>
          <t>VÄSTMANLANDS LÄN</t>
        </is>
      </c>
      <c r="G318" t="inlineStr">
        <is>
          <t>VÄSTERÅS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27722-2022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44743</v>
      </c>
      <c r="E319" s="1" t="n">
        <v>46249</v>
      </c>
      <c r="F319" t="inlineStr">
        <is>
          <t>VÄSTMANLANDS LÄN</t>
        </is>
      </c>
      <c r="G319" t="inlineStr">
        <is>
          <t>VÄSTERÅS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45153</v>
      </c>
      <c r="E320" s="1" t="n">
        <v>46249</v>
      </c>
      <c r="F320" t="inlineStr">
        <is>
          <t>VÄSTMANLANDS LÄN</t>
        </is>
      </c>
      <c r="G320" t="inlineStr">
        <is>
          <t>VÄSTERÅS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32851-2024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45516</v>
      </c>
      <c r="E321" s="1" t="n">
        <v>46249</v>
      </c>
      <c r="F321" t="inlineStr">
        <is>
          <t>VÄSTMANLANDS LÄN</t>
        </is>
      </c>
      <c r="G321" t="inlineStr">
        <is>
          <t>VÄSTERÅS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53833-2022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44880</v>
      </c>
      <c r="E322" s="1" t="n">
        <v>46249</v>
      </c>
      <c r="F322" t="inlineStr">
        <is>
          <t>VÄSTMANLANDS LÄN</t>
        </is>
      </c>
      <c r="G322" t="inlineStr">
        <is>
          <t>VÄSTERÅS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53836-2022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44880</v>
      </c>
      <c r="E323" s="1" t="n">
        <v>46249</v>
      </c>
      <c r="F323" t="inlineStr">
        <is>
          <t>VÄSTMANLANDS LÄN</t>
        </is>
      </c>
      <c r="G323" t="inlineStr">
        <is>
          <t>VÄSTERÅS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46249</v>
      </c>
      <c r="F324" t="inlineStr">
        <is>
          <t>VÄSTMANLANDS LÄN</t>
        </is>
      </c>
      <c r="G324" t="inlineStr">
        <is>
          <t>VÄSTERÅS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31578-2025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46249</v>
      </c>
      <c r="F325" t="inlineStr">
        <is>
          <t>VÄSTMANLANDS LÄN</t>
        </is>
      </c>
      <c r="G325" t="inlineStr">
        <is>
          <t>VÄSTERÅS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28341-2026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46196</v>
      </c>
      <c r="E326" s="1" t="n">
        <v>46249</v>
      </c>
      <c r="F326" t="inlineStr">
        <is>
          <t>VÄSTMANLANDS LÄN</t>
        </is>
      </c>
      <c r="G326" t="inlineStr">
        <is>
          <t>VÄSTERÅS</t>
        </is>
      </c>
      <c r="I326" t="n">
        <v>14.1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46217</v>
      </c>
      <c r="E327" s="1" t="n">
        <v>46249</v>
      </c>
      <c r="F327" t="inlineStr">
        <is>
          <t>VÄSTMANLANDS LÄN</t>
        </is>
      </c>
      <c r="G327" t="inlineStr">
        <is>
          <t>VÄSTERÅS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46249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46249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46249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953-2023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45005</v>
      </c>
      <c r="E331" s="1" t="n">
        <v>46249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46249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46249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46249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2026-08-15T08:26:53Z</dcterms:created>
  <dcterms:modified xmlns:dcterms="http://purl.org/dc/terms/" xmlns:xsi="http://www.w3.org/2001/XMLSchema-instance" xsi:type="dcterms:W3CDTF">2026-08-15T08:26:54Z</dcterms:modified>
</cp:coreProperties>
</file>