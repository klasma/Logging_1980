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46323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46323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46323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46323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46323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46323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46323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46323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46323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46323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46323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46323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46323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46323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46323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25672-2024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45463</v>
      </c>
      <c r="E17" s="1" t="n">
        <v>46323</v>
      </c>
      <c r="F17" t="inlineStr">
        <is>
          <t>VÄSTMANLANDS LÄN</t>
        </is>
      </c>
      <c r="G17" t="inlineStr">
        <is>
          <t>VÄSTERÅS</t>
        </is>
      </c>
      <c r="I17" t="n">
        <v>11.3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Backsippa
Flentimotej
Jungfrulin
Solvända</t>
        </is>
      </c>
      <c r="W17">
        <f>HYPERLINK("https://klasma.github.io/Logging_1980/artfynd/A 25672-2024 artfynd.xlsx", "A 25672-2024")</f>
        <v/>
      </c>
      <c r="X17">
        <f>HYPERLINK("https://klasma.github.io/Logging_1980/kartor/A 25672-2024 karta.png", "A 25672-2024")</f>
        <v/>
      </c>
      <c r="Y17">
        <f>HYPERLINK("https://klasma.github.io/Logging_1980/kartor_geotiff/A 25672-2024 georefererad karta.tif", "A 25672-2024")</f>
        <v/>
      </c>
      <c r="AA17">
        <f>HYPERLINK("https://klasma.github.io/Logging_1980/klagomål/A 25672-2024 FSC-klagomål.docx", "A 25672-2024")</f>
        <v/>
      </c>
      <c r="AB17">
        <f>HYPERLINK("https://klasma.github.io/Logging_1980/klagomålsmail/A 25672-2024 FSC-klagomål mail.docx", "A 25672-2024")</f>
        <v/>
      </c>
      <c r="AC17">
        <f>HYPERLINK("https://klasma.github.io/Logging_1980/tillsyn/A 25672-2024 tillsynsbegäran.docx", "A 25672-2024")</f>
        <v/>
      </c>
      <c r="AD17">
        <f>HYPERLINK("https://klasma.github.io/Logging_1980/tillsynsmail/A 25672-2024 tillsynsbegäran mail.docx", "A 25672-2024")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46323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47228-2022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44852</v>
      </c>
      <c r="E19" s="1" t="n">
        <v>46323</v>
      </c>
      <c r="F19" t="inlineStr">
        <is>
          <t>VÄSTMANLANDS LÄN</t>
        </is>
      </c>
      <c r="G19" t="inlineStr">
        <is>
          <t>VÄSTERÅS</t>
        </is>
      </c>
      <c r="I19" t="n">
        <v>11.6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Vithornad barkskinnbagge
Xyletinus ater
Mindre märgborre
Fiskgjuse</t>
        </is>
      </c>
      <c r="W19">
        <f>HYPERLINK("https://klasma.github.io/Logging_1980/artfynd/A 47228-2022 artfynd.xlsx", "A 47228-2022")</f>
        <v/>
      </c>
      <c r="X19">
        <f>HYPERLINK("https://klasma.github.io/Logging_1980/kartor/A 47228-2022 karta.png", "A 47228-2022")</f>
        <v/>
      </c>
      <c r="Y19">
        <f>HYPERLINK("https://klasma.github.io/Logging_1980/kartor_geotiff/A 47228-2022 georefererad karta.tif", "A 47228-2022")</f>
        <v/>
      </c>
      <c r="AA19">
        <f>HYPERLINK("https://klasma.github.io/Logging_1980/klagomål/A 47228-2022 FSC-klagomål.docx", "A 47228-2022")</f>
        <v/>
      </c>
      <c r="AB19">
        <f>HYPERLINK("https://klasma.github.io/Logging_1980/klagomålsmail/A 47228-2022 FSC-klagomål mail.docx", "A 47228-2022")</f>
        <v/>
      </c>
      <c r="AC19">
        <f>HYPERLINK("https://klasma.github.io/Logging_1980/tillsyn/A 47228-2022 tillsynsbegäran.docx", "A 47228-2022")</f>
        <v/>
      </c>
      <c r="AD19">
        <f>HYPERLINK("https://klasma.github.io/Logging_1980/tillsynsmail/A 47228-2022 tillsynsbegäran mail.docx", "A 47228-2022")</f>
        <v/>
      </c>
      <c r="AE19">
        <f>HYPERLINK("https://klasma.github.io/Logging_1980/fåglar/A 47228-2022 prioriterade fågelarter.docx", "A 47228-2022")</f>
        <v/>
      </c>
    </row>
    <row r="20" ht="15" customHeight="1">
      <c r="A20" t="inlineStr">
        <is>
          <t>A 59143-2025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45988</v>
      </c>
      <c r="E20" s="1" t="n">
        <v>46323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12.4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5</v>
      </c>
      <c r="U20" t="n">
        <v>2</v>
      </c>
      <c r="V20" s="2" t="inlineStr">
        <is>
          <t>Grönpyrola
Järpe
Tjäder
Fiskgjuse</t>
        </is>
      </c>
      <c r="W20">
        <f>HYPERLINK("https://klasma.github.io/Logging_1980/artfynd/A 59143-2025 artfynd.xlsx", "A 59143-2025")</f>
        <v/>
      </c>
      <c r="X20">
        <f>HYPERLINK("https://klasma.github.io/Logging_1980/kartor/A 59143-2025 karta.png", "A 59143-2025")</f>
        <v/>
      </c>
      <c r="Y20">
        <f>HYPERLINK("https://klasma.github.io/Logging_1980/kartor_geotiff/A 59143-2025 georefererad karta.tif", "A 59143-2025")</f>
        <v/>
      </c>
      <c r="AA20">
        <f>HYPERLINK("https://klasma.github.io/Logging_1980/klagomål/A 59143-2025 FSC-klagomål.docx", "A 59143-2025")</f>
        <v/>
      </c>
      <c r="AB20">
        <f>HYPERLINK("https://klasma.github.io/Logging_1980/klagomålsmail/A 59143-2025 FSC-klagomål mail.docx", "A 59143-2025")</f>
        <v/>
      </c>
      <c r="AC20">
        <f>HYPERLINK("https://klasma.github.io/Logging_1980/tillsyn/A 59143-2025 tillsynsbegäran.docx", "A 59143-2025")</f>
        <v/>
      </c>
      <c r="AD20">
        <f>HYPERLINK("https://klasma.github.io/Logging_1980/tillsynsmail/A 59143-2025 tillsynsbegäran mail.docx", "A 59143-2025")</f>
        <v/>
      </c>
      <c r="AE20">
        <f>HYPERLINK("https://klasma.github.io/Logging_1980/fåglar/A 59143-2025 prioriterade fågelarter.docx", "A 59143-2025")</f>
        <v/>
      </c>
    </row>
    <row r="21" ht="15" customHeight="1">
      <c r="A21" t="inlineStr">
        <is>
          <t>A 16581-2026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46323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17.5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12</v>
      </c>
      <c r="U21" t="n">
        <v>7</v>
      </c>
      <c r="V21" s="2" t="inlineStr">
        <is>
          <t>Grönpyrola
Spillkråka
Tjäder
Revlummer</t>
        </is>
      </c>
      <c r="W21">
        <f>HYPERLINK("https://klasma.github.io/Logging_1980/artfynd/A 16581-2026 artfynd.xlsx", "A 16581-2026")</f>
        <v/>
      </c>
      <c r="X21">
        <f>HYPERLINK("https://klasma.github.io/Logging_1980/kartor/A 16581-2026 karta.png", "A 16581-2026")</f>
        <v/>
      </c>
      <c r="Y21">
        <f>HYPERLINK("https://klasma.github.io/Logging_1980/kartor_geotiff/A 16581-2026 georefererad karta.tif", "A 16581-2026")</f>
        <v/>
      </c>
      <c r="AA21">
        <f>HYPERLINK("https://klasma.github.io/Logging_1980/klagomål/A 16581-2026 FSC-klagomål.docx", "A 16581-2026")</f>
        <v/>
      </c>
      <c r="AB21">
        <f>HYPERLINK("https://klasma.github.io/Logging_1980/klagomålsmail/A 16581-2026 FSC-klagomål mail.docx", "A 16581-2026")</f>
        <v/>
      </c>
      <c r="AC21">
        <f>HYPERLINK("https://klasma.github.io/Logging_1980/tillsyn/A 16581-2026 tillsynsbegäran.docx", "A 16581-2026")</f>
        <v/>
      </c>
      <c r="AD21">
        <f>HYPERLINK("https://klasma.github.io/Logging_1980/tillsynsmail/A 16581-2026 tillsynsbegäran mail.docx", "A 16581-2026")</f>
        <v/>
      </c>
      <c r="AE21">
        <f>HYPERLINK("https://klasma.github.io/Logging_1980/fåglar/A 16581-2026 prioriterade fågelarter.docx", "A 16581-2026")</f>
        <v/>
      </c>
    </row>
    <row r="22" ht="15" customHeight="1">
      <c r="A22" t="inlineStr">
        <is>
          <t>A 16686-2026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46323</v>
      </c>
      <c r="F22" t="inlineStr">
        <is>
          <t>VÄSTMANLANDS LÄN</t>
        </is>
      </c>
      <c r="G22" t="inlineStr">
        <is>
          <t>VÄSTERÅS</t>
        </is>
      </c>
      <c r="I22" t="n">
        <v>2.1</v>
      </c>
      <c r="J22" t="n">
        <v>1</v>
      </c>
      <c r="K22" t="n">
        <v>2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11</v>
      </c>
      <c r="U22" t="n">
        <v>0</v>
      </c>
      <c r="V22" s="2" t="inlineStr">
        <is>
          <t>Knärot
Motaggsvamp
Blomkålssvamp
Grönpyrola</t>
        </is>
      </c>
      <c r="W22">
        <f>HYPERLINK("https://klasma.github.io/Logging_1980/artfynd/A 16686-2026 artfynd.xlsx", "A 16686-2026")</f>
        <v/>
      </c>
      <c r="X22">
        <f>HYPERLINK("https://klasma.github.io/Logging_1980/kartor/A 16686-2026 karta.png", "A 16686-2026")</f>
        <v/>
      </c>
      <c r="Y22">
        <f>HYPERLINK("https://klasma.github.io/Logging_1980/kartor_geotiff/A 16686-2026 georefererad karta.tif", "A 16686-2026")</f>
        <v/>
      </c>
      <c r="Z22">
        <f>HYPERLINK("https://klasma.github.io/Logging_1980/knärot/A 16686-2026 karta knärot.png", "A 16686-2026")</f>
        <v/>
      </c>
      <c r="AA22">
        <f>HYPERLINK("https://klasma.github.io/Logging_1980/klagomål/A 16686-2026 FSC-klagomål.docx", "A 16686-2026")</f>
        <v/>
      </c>
      <c r="AB22">
        <f>HYPERLINK("https://klasma.github.io/Logging_1980/klagomålsmail/A 16686-2026 FSC-klagomål mail.docx", "A 16686-2026")</f>
        <v/>
      </c>
      <c r="AC22">
        <f>HYPERLINK("https://klasma.github.io/Logging_1980/tillsyn/A 16686-2026 tillsynsbegäran.docx", "A 16686-2026")</f>
        <v/>
      </c>
      <c r="AD22">
        <f>HYPERLINK("https://klasma.github.io/Logging_1980/tillsynsmail/A 16686-2026 tillsynsbegäran mail.docx", "A 16686-2026")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46323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22449-2026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46155</v>
      </c>
      <c r="E24" s="1" t="n">
        <v>46323</v>
      </c>
      <c r="F24" t="inlineStr">
        <is>
          <t>VÄSTMANLANDS LÄN</t>
        </is>
      </c>
      <c r="G24" t="inlineStr">
        <is>
          <t>VÄSTERÅS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Nordfladdermus
Gråskimlig fladdermus
Större brunfladdermus
Vattenfladdermus</t>
        </is>
      </c>
      <c r="W24">
        <f>HYPERLINK("https://klasma.github.io/Logging_1980/artfynd/A 22449-2026 artfynd.xlsx", "A 22449-2026")</f>
        <v/>
      </c>
      <c r="X24">
        <f>HYPERLINK("https://klasma.github.io/Logging_1980/kartor/A 22449-2026 karta.png", "A 22449-2026")</f>
        <v/>
      </c>
      <c r="Y24">
        <f>HYPERLINK("https://klasma.github.io/Logging_1980/kartor_geotiff/A 22449-2026 georefererad karta.tif", "A 22449-2026")</f>
        <v/>
      </c>
      <c r="AA24">
        <f>HYPERLINK("https://klasma.github.io/Logging_1980/klagomål/A 22449-2026 FSC-klagomål.docx", "A 22449-2026")</f>
        <v/>
      </c>
      <c r="AB24">
        <f>HYPERLINK("https://klasma.github.io/Logging_1980/klagomålsmail/A 22449-2026 FSC-klagomål mail.docx", "A 22449-2026")</f>
        <v/>
      </c>
      <c r="AC24">
        <f>HYPERLINK("https://klasma.github.io/Logging_1980/tillsyn/A 22449-2026 tillsynsbegäran.docx", "A 22449-2026")</f>
        <v/>
      </c>
      <c r="AD24">
        <f>HYPERLINK("https://klasma.github.io/Logging_1980/tillsynsmail/A 22449-2026 tillsynsbegäran mail.docx", "A 22449-2026")</f>
        <v/>
      </c>
    </row>
    <row r="25" ht="15" customHeight="1">
      <c r="A25" t="inlineStr">
        <is>
          <t>A 41262-2023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45174</v>
      </c>
      <c r="E25" s="1" t="n">
        <v>46323</v>
      </c>
      <c r="F25" t="inlineStr">
        <is>
          <t>VÄSTMANLANDS LÄN</t>
        </is>
      </c>
      <c r="G25" t="inlineStr">
        <is>
          <t>VÄSTERÅS</t>
        </is>
      </c>
      <c r="H25" t="inlineStr">
        <is>
          <t>Kommuner</t>
        </is>
      </c>
      <c r="I25" t="n">
        <v>11.4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8</v>
      </c>
      <c r="U25" t="n">
        <v>2</v>
      </c>
      <c r="V25" s="2" t="inlineStr">
        <is>
          <t>Grönsångare
Gulsparv
Kungsfågel
Vanlig groda</t>
        </is>
      </c>
      <c r="W25">
        <f>HYPERLINK("https://klasma.github.io/Logging_1980/artfynd/A 41262-2023 artfynd.xlsx", "A 41262-2023")</f>
        <v/>
      </c>
      <c r="X25">
        <f>HYPERLINK("https://klasma.github.io/Logging_1980/kartor/A 41262-2023 karta.png", "A 41262-2023")</f>
        <v/>
      </c>
      <c r="Y25">
        <f>HYPERLINK("https://klasma.github.io/Logging_1980/kartor_geotiff/A 41262-2023 georefererad karta.tif", "A 41262-2023")</f>
        <v/>
      </c>
      <c r="AA25">
        <f>HYPERLINK("https://klasma.github.io/Logging_1980/klagomål/A 41262-2023 FSC-klagomål.docx", "A 41262-2023")</f>
        <v/>
      </c>
      <c r="AB25">
        <f>HYPERLINK("https://klasma.github.io/Logging_1980/klagomålsmail/A 41262-2023 FSC-klagomål mail.docx", "A 41262-2023")</f>
        <v/>
      </c>
      <c r="AC25">
        <f>HYPERLINK("https://klasma.github.io/Logging_1980/tillsyn/A 41262-2023 tillsynsbegäran.docx", "A 41262-2023")</f>
        <v/>
      </c>
      <c r="AD25">
        <f>HYPERLINK("https://klasma.github.io/Logging_1980/tillsynsmail/A 41262-2023 tillsynsbegäran mail.docx", "A 41262-2023")</f>
        <v/>
      </c>
      <c r="AE25">
        <f>HYPERLINK("https://klasma.github.io/Logging_1980/fåglar/A 41262-2023 prioriterade fågelarter.docx", "A 41262-2023")</f>
        <v/>
      </c>
    </row>
    <row r="26" ht="15" customHeight="1">
      <c r="A26" t="inlineStr">
        <is>
          <t>A 11804-2022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44634</v>
      </c>
      <c r="E26" s="1" t="n">
        <v>46323</v>
      </c>
      <c r="F26" t="inlineStr">
        <is>
          <t>VÄSTMANLANDS LÄN</t>
        </is>
      </c>
      <c r="G26" t="inlineStr">
        <is>
          <t>VÄSTERÅS</t>
        </is>
      </c>
      <c r="I26" t="n">
        <v>10.6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Svart trolldruva
Nattviol</t>
        </is>
      </c>
      <c r="W26">
        <f>HYPERLINK("https://klasma.github.io/Logging_1980/artfynd/A 11804-2022 artfynd.xlsx", "A 11804-2022")</f>
        <v/>
      </c>
      <c r="X26">
        <f>HYPERLINK("https://klasma.github.io/Logging_1980/kartor/A 11804-2022 karta.png", "A 11804-2022")</f>
        <v/>
      </c>
      <c r="Y26">
        <f>HYPERLINK("https://klasma.github.io/Logging_1980/kartor_geotiff/A 11804-2022 georefererad karta.tif", "A 11804-2022")</f>
        <v/>
      </c>
      <c r="AA26">
        <f>HYPERLINK("https://klasma.github.io/Logging_1980/klagomål/A 11804-2022 FSC-klagomål.docx", "A 11804-2022")</f>
        <v/>
      </c>
      <c r="AB26">
        <f>HYPERLINK("https://klasma.github.io/Logging_1980/klagomålsmail/A 11804-2022 FSC-klagomål mail.docx", "A 11804-2022")</f>
        <v/>
      </c>
      <c r="AC26">
        <f>HYPERLINK("https://klasma.github.io/Logging_1980/tillsyn/A 11804-2022 tillsynsbegäran.docx", "A 11804-2022")</f>
        <v/>
      </c>
      <c r="AD26">
        <f>HYPERLINK("https://klasma.github.io/Logging_1980/tillsynsmail/A 11804-2022 tillsynsbegäran mail.docx", "A 11804-2022")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46323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59140-2025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46323</v>
      </c>
      <c r="F28" t="inlineStr">
        <is>
          <t>VÄSTMANLANDS LÄN</t>
        </is>
      </c>
      <c r="G28" t="inlineStr">
        <is>
          <t>VÄSTERÅS</t>
        </is>
      </c>
      <c r="H28" t="inlineStr">
        <is>
          <t>Sveaskog</t>
        </is>
      </c>
      <c r="I28" t="n">
        <v>3.6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Järpe
Tjäder
Fiskgjuse</t>
        </is>
      </c>
      <c r="W28">
        <f>HYPERLINK("https://klasma.github.io/Logging_1980/artfynd/A 59140-2025 artfynd.xlsx", "A 59140-2025")</f>
        <v/>
      </c>
      <c r="X28">
        <f>HYPERLINK("https://klasma.github.io/Logging_1980/kartor/A 59140-2025 karta.png", "A 59140-2025")</f>
        <v/>
      </c>
      <c r="Y28">
        <f>HYPERLINK("https://klasma.github.io/Logging_1980/kartor_geotiff/A 59140-2025 georefererad karta.tif", "A 59140-2025")</f>
        <v/>
      </c>
      <c r="AA28">
        <f>HYPERLINK("https://klasma.github.io/Logging_1980/klagomål/A 59140-2025 FSC-klagomål.docx", "A 59140-2025")</f>
        <v/>
      </c>
      <c r="AB28">
        <f>HYPERLINK("https://klasma.github.io/Logging_1980/klagomålsmail/A 59140-2025 FSC-klagomål mail.docx", "A 59140-2025")</f>
        <v/>
      </c>
      <c r="AC28">
        <f>HYPERLINK("https://klasma.github.io/Logging_1980/tillsyn/A 59140-2025 tillsynsbegäran.docx", "A 59140-2025")</f>
        <v/>
      </c>
      <c r="AD28">
        <f>HYPERLINK("https://klasma.github.io/Logging_1980/tillsynsmail/A 59140-2025 tillsynsbegäran mail.docx", "A 59140-2025")</f>
        <v/>
      </c>
      <c r="AE28">
        <f>HYPERLINK("https://klasma.github.io/Logging_1980/fåglar/A 59140-2025 prioriterade fågelarter.docx", "A 59140-2025")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46323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39917-2026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46290</v>
      </c>
      <c r="E30" s="1" t="n">
        <v>46323</v>
      </c>
      <c r="F30" t="inlineStr">
        <is>
          <t>VÄSTMANLANDS LÄN</t>
        </is>
      </c>
      <c r="G30" t="inlineStr">
        <is>
          <t>VÄSTERÅS</t>
        </is>
      </c>
      <c r="H30" t="inlineStr">
        <is>
          <t>Sveaskog</t>
        </is>
      </c>
      <c r="I30" t="n">
        <v>6.5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3</v>
      </c>
      <c r="V30" s="2" t="inlineStr">
        <is>
          <t>Motaggsvamp
Blodticka
Revlummer</t>
        </is>
      </c>
      <c r="W30">
        <f>HYPERLINK("https://klasma.github.io/Logging_1980/artfynd/A 39917-2026 artfynd.xlsx", "A 39917-2026")</f>
        <v/>
      </c>
      <c r="X30">
        <f>HYPERLINK("https://klasma.github.io/Logging_1980/kartor/A 39917-2026 karta.png", "A 39917-2026")</f>
        <v/>
      </c>
      <c r="Y30">
        <f>HYPERLINK("https://klasma.github.io/Logging_1980/kartor_geotiff/A 39917-2026 georefererad karta.tif", "A 39917-2026")</f>
        <v/>
      </c>
      <c r="AA30">
        <f>HYPERLINK("https://klasma.github.io/Logging_1980/klagomål/A 39917-2026 FSC-klagomål.docx", "A 39917-2026")</f>
        <v/>
      </c>
      <c r="AB30">
        <f>HYPERLINK("https://klasma.github.io/Logging_1980/klagomålsmail/A 39917-2026 FSC-klagomål mail.docx", "A 39917-2026")</f>
        <v/>
      </c>
      <c r="AC30">
        <f>HYPERLINK("https://klasma.github.io/Logging_1980/tillsyn/A 39917-2026 tillsynsbegäran.docx", "A 39917-2026")</f>
        <v/>
      </c>
      <c r="AD30">
        <f>HYPERLINK("https://klasma.github.io/Logging_1980/tillsynsmail/A 39917-2026 tillsynsbegäran mail.docx", "A 39917-2026")</f>
        <v/>
      </c>
    </row>
    <row r="31" ht="15" customHeight="1">
      <c r="A31" t="inlineStr">
        <is>
          <t>A 16684-2026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46323</v>
      </c>
      <c r="F31" t="inlineStr">
        <is>
          <t>VÄSTMANLANDS LÄN</t>
        </is>
      </c>
      <c r="G31" t="inlineStr">
        <is>
          <t>VÄSTERÅS</t>
        </is>
      </c>
      <c r="I31" t="n">
        <v>7.9</v>
      </c>
      <c r="J31" t="n">
        <v>1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3</v>
      </c>
      <c r="T31" t="n">
        <v>7</v>
      </c>
      <c r="U31" t="n">
        <v>0</v>
      </c>
      <c r="V31" s="2" t="inlineStr">
        <is>
          <t>Knärot
Motaggsvamp
Ullticka</t>
        </is>
      </c>
      <c r="W31">
        <f>HYPERLINK("https://klasma.github.io/Logging_1980/artfynd/A 16684-2026 artfynd.xlsx", "A 16684-2026")</f>
        <v/>
      </c>
      <c r="X31">
        <f>HYPERLINK("https://klasma.github.io/Logging_1980/kartor/A 16684-2026 karta.png", "A 16684-2026")</f>
        <v/>
      </c>
      <c r="Y31">
        <f>HYPERLINK("https://klasma.github.io/Logging_1980/kartor_geotiff/A 16684-2026 georefererad karta.tif", "A 16684-2026")</f>
        <v/>
      </c>
      <c r="Z31">
        <f>HYPERLINK("https://klasma.github.io/Logging_1980/knärot/A 16684-2026 karta knärot.png", "A 16684-2026")</f>
        <v/>
      </c>
      <c r="AA31">
        <f>HYPERLINK("https://klasma.github.io/Logging_1980/klagomål/A 16684-2026 FSC-klagomål.docx", "A 16684-2026")</f>
        <v/>
      </c>
      <c r="AB31">
        <f>HYPERLINK("https://klasma.github.io/Logging_1980/klagomålsmail/A 16684-2026 FSC-klagomål mail.docx", "A 16684-2026")</f>
        <v/>
      </c>
      <c r="AC31">
        <f>HYPERLINK("https://klasma.github.io/Logging_1980/tillsyn/A 16684-2026 tillsynsbegäran.docx", "A 16684-2026")</f>
        <v/>
      </c>
      <c r="AD31">
        <f>HYPERLINK("https://klasma.github.io/Logging_1980/tillsynsmail/A 16684-2026 tillsynsbegäran mail.docx", "A 16684-2026")</f>
        <v/>
      </c>
    </row>
    <row r="32" ht="15" customHeight="1">
      <c r="A32" t="inlineStr">
        <is>
          <t>A 64201-2023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46323</v>
      </c>
      <c r="F32" t="inlineStr">
        <is>
          <t>VÄSTMANLANDS LÄN</t>
        </is>
      </c>
      <c r="G32" t="inlineStr">
        <is>
          <t>VÄSTERÅS</t>
        </is>
      </c>
      <c r="I32" t="n">
        <v>13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Källpraktmossa
Stubbspretmossa
Vanlig rörsvepemossa</t>
        </is>
      </c>
      <c r="W32">
        <f>HYPERLINK("https://klasma.github.io/Logging_1980/artfynd/A 64201-2023 artfynd.xlsx", "A 64201-2023")</f>
        <v/>
      </c>
      <c r="X32">
        <f>HYPERLINK("https://klasma.github.io/Logging_1980/kartor/A 64201-2023 karta.png", "A 64201-2023")</f>
        <v/>
      </c>
      <c r="Y32">
        <f>HYPERLINK("https://klasma.github.io/Logging_1980/kartor_geotiff/A 64201-2023 georefererad karta.tif", "A 64201-2023")</f>
        <v/>
      </c>
      <c r="AA32">
        <f>HYPERLINK("https://klasma.github.io/Logging_1980/klagomål/A 64201-2023 FSC-klagomål.docx", "A 64201-2023")</f>
        <v/>
      </c>
      <c r="AB32">
        <f>HYPERLINK("https://klasma.github.io/Logging_1980/klagomålsmail/A 64201-2023 FSC-klagomål mail.docx", "A 64201-2023")</f>
        <v/>
      </c>
      <c r="AC32">
        <f>HYPERLINK("https://klasma.github.io/Logging_1980/tillsyn/A 64201-2023 tillsynsbegäran.docx", "A 64201-2023")</f>
        <v/>
      </c>
      <c r="AD32">
        <f>HYPERLINK("https://klasma.github.io/Logging_1980/tillsynsmail/A 64201-2023 tillsynsbegäran mail.docx", "A 64201-2023")</f>
        <v/>
      </c>
    </row>
    <row r="33" ht="15" customHeight="1">
      <c r="A33" t="inlineStr">
        <is>
          <t>A 6249-2024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45337</v>
      </c>
      <c r="E33" s="1" t="n">
        <v>46323</v>
      </c>
      <c r="F33" t="inlineStr">
        <is>
          <t>VÄSTMANLANDS LÄN</t>
        </is>
      </c>
      <c r="G33" t="inlineStr">
        <is>
          <t>VÄSTERÅS</t>
        </is>
      </c>
      <c r="I33" t="n">
        <v>6.5</v>
      </c>
      <c r="J33" t="n">
        <v>3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Grönfink
Blåsippa
Kungsfågel</t>
        </is>
      </c>
      <c r="W33">
        <f>HYPERLINK("https://klasma.github.io/Logging_1980/artfynd/A 6249-2024 artfynd.xlsx", "A 6249-2024")</f>
        <v/>
      </c>
      <c r="X33">
        <f>HYPERLINK("https://klasma.github.io/Logging_1980/kartor/A 6249-2024 karta.png", "A 6249-2024")</f>
        <v/>
      </c>
      <c r="Y33">
        <f>HYPERLINK("https://klasma.github.io/Logging_1980/kartor_geotiff/A 6249-2024 georefererad karta.tif", "A 6249-2024")</f>
        <v/>
      </c>
      <c r="AA33">
        <f>HYPERLINK("https://klasma.github.io/Logging_1980/klagomål/A 6249-2024 FSC-klagomål.docx", "A 6249-2024")</f>
        <v/>
      </c>
      <c r="AB33">
        <f>HYPERLINK("https://klasma.github.io/Logging_1980/klagomålsmail/A 6249-2024 FSC-klagomål mail.docx", "A 6249-2024")</f>
        <v/>
      </c>
      <c r="AC33">
        <f>HYPERLINK("https://klasma.github.io/Logging_1980/tillsyn/A 6249-2024 tillsynsbegäran.docx", "A 6249-2024")</f>
        <v/>
      </c>
      <c r="AD33">
        <f>HYPERLINK("https://klasma.github.io/Logging_1980/tillsynsmail/A 6249-2024 tillsynsbegäran mail.docx", "A 6249-2024")</f>
        <v/>
      </c>
      <c r="AE33">
        <f>HYPERLINK("https://klasma.github.io/Logging_1980/fåglar/A 6249-2024 prioriterade fågelarter.docx", "A 6249-2024")</f>
        <v/>
      </c>
    </row>
    <row r="34" ht="15" customHeight="1">
      <c r="A34" t="inlineStr">
        <is>
          <t>S 4578-2023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45281</v>
      </c>
      <c r="E34" s="1" t="n">
        <v>46323</v>
      </c>
      <c r="F34" t="inlineStr">
        <is>
          <t>VÄSTMANLANDS LÄN</t>
        </is>
      </c>
      <c r="G34" t="inlineStr">
        <is>
          <t>VÄSTERÅS</t>
        </is>
      </c>
      <c r="H34" t="inlineStr">
        <is>
          <t>Övriga Aktiebolag</t>
        </is>
      </c>
      <c r="I34" t="n">
        <v>4.1</v>
      </c>
      <c r="J34" t="n">
        <v>2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Backsippa
Vårstarr
Gullviva</t>
        </is>
      </c>
      <c r="W34">
        <f>HYPERLINK("https://klasma.github.io/Logging_1980/artfynd/S 4578-2023 artfynd.xlsx", "S 4578-2023")</f>
        <v/>
      </c>
      <c r="X34">
        <f>HYPERLINK("https://klasma.github.io/Logging_1980/kartor/S 4578-2023 karta.png", "S 4578-2023")</f>
        <v/>
      </c>
      <c r="Y34">
        <f>HYPERLINK("https://klasma.github.io/Logging_1980/kartor_geotiff/S 4578-2023 georefererad karta.tif", "S 4578-2023")</f>
        <v/>
      </c>
      <c r="AA34">
        <f>HYPERLINK("https://klasma.github.io/Logging_1980/klagomål/S 4578-2023 FSC-klagomål.docx", "S 4578-2023")</f>
        <v/>
      </c>
      <c r="AB34">
        <f>HYPERLINK("https://klasma.github.io/Logging_1980/klagomålsmail/S 4578-2023 FSC-klagomål mail.docx", "S 4578-2023")</f>
        <v/>
      </c>
      <c r="AC34">
        <f>HYPERLINK("https://klasma.github.io/Logging_1980/tillsyn/S 4578-2023 tillsynsbegäran.docx", "S 4578-2023")</f>
        <v/>
      </c>
      <c r="AD34">
        <f>HYPERLINK("https://klasma.github.io/Logging_1980/tillsynsmail/S 4578-2023 tillsynsbegäran mail.docx", "S 4578-2023")</f>
        <v/>
      </c>
    </row>
    <row r="35" ht="15" customHeight="1">
      <c r="A35" t="inlineStr">
        <is>
          <t>A 17261-2022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44678</v>
      </c>
      <c r="E35" s="1" t="n">
        <v>46323</v>
      </c>
      <c r="F35" t="inlineStr">
        <is>
          <t>VÄSTMANLANDS LÄN</t>
        </is>
      </c>
      <c r="G35" t="inlineStr">
        <is>
          <t>VÄSTERÅS</t>
        </is>
      </c>
      <c r="I35" t="n">
        <v>1.1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Skumticka
Svartöra</t>
        </is>
      </c>
      <c r="W35">
        <f>HYPERLINK("https://klasma.github.io/Logging_1980/artfynd/A 17261-2022 artfynd.xlsx", "A 17261-2022")</f>
        <v/>
      </c>
      <c r="X35">
        <f>HYPERLINK("https://klasma.github.io/Logging_1980/kartor/A 17261-2022 karta.png", "A 17261-2022")</f>
        <v/>
      </c>
      <c r="Y35">
        <f>HYPERLINK("https://klasma.github.io/Logging_1980/kartor_geotiff/A 17261-2022 georefererad karta.tif", "A 17261-2022")</f>
        <v/>
      </c>
      <c r="AA35">
        <f>HYPERLINK("https://klasma.github.io/Logging_1980/klagomål/A 17261-2022 FSC-klagomål.docx", "A 17261-2022")</f>
        <v/>
      </c>
      <c r="AB35">
        <f>HYPERLINK("https://klasma.github.io/Logging_1980/klagomålsmail/A 17261-2022 FSC-klagomål mail.docx", "A 17261-2022")</f>
        <v/>
      </c>
      <c r="AC35">
        <f>HYPERLINK("https://klasma.github.io/Logging_1980/tillsyn/A 17261-2022 tillsynsbegäran.docx", "A 17261-2022")</f>
        <v/>
      </c>
      <c r="AD35">
        <f>HYPERLINK("https://klasma.github.io/Logging_1980/tillsynsmail/A 17261-2022 tillsynsbegäran mail.docx", "A 17261-2022")</f>
        <v/>
      </c>
    </row>
    <row r="36" ht="15" customHeight="1">
      <c r="A36" t="inlineStr">
        <is>
          <t>A 39918-2026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46290</v>
      </c>
      <c r="E36" s="1" t="n">
        <v>46323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Spillkråka
Revlummer</t>
        </is>
      </c>
      <c r="W36">
        <f>HYPERLINK("https://klasma.github.io/Logging_1980/artfynd/A 39918-2026 artfynd.xlsx", "A 39918-2026")</f>
        <v/>
      </c>
      <c r="X36">
        <f>HYPERLINK("https://klasma.github.io/Logging_1980/kartor/A 39918-2026 karta.png", "A 39918-2026")</f>
        <v/>
      </c>
      <c r="Y36">
        <f>HYPERLINK("https://klasma.github.io/Logging_1980/kartor_geotiff/A 39918-2026 georefererad karta.tif", "A 39918-2026")</f>
        <v/>
      </c>
      <c r="AA36">
        <f>HYPERLINK("https://klasma.github.io/Logging_1980/klagomål/A 39918-2026 FSC-klagomål.docx", "A 39918-2026")</f>
        <v/>
      </c>
      <c r="AB36">
        <f>HYPERLINK("https://klasma.github.io/Logging_1980/klagomålsmail/A 39918-2026 FSC-klagomål mail.docx", "A 39918-2026")</f>
        <v/>
      </c>
      <c r="AC36">
        <f>HYPERLINK("https://klasma.github.io/Logging_1980/tillsyn/A 39918-2026 tillsynsbegäran.docx", "A 39918-2026")</f>
        <v/>
      </c>
      <c r="AD36">
        <f>HYPERLINK("https://klasma.github.io/Logging_1980/tillsynsmail/A 39918-2026 tillsynsbegäran mail.docx", "A 39918-2026")</f>
        <v/>
      </c>
      <c r="AE36">
        <f>HYPERLINK("https://klasma.github.io/Logging_1980/fåglar/A 39918-2026 prioriterade fågelarter.docx", "A 39918-2026")</f>
        <v/>
      </c>
    </row>
    <row r="37" ht="15" customHeight="1">
      <c r="A37" t="inlineStr">
        <is>
          <t>A 30759-2022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46323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t="n">
        <v>4</v>
      </c>
      <c r="V37" s="2" t="inlineStr">
        <is>
          <t>Gullklöver
Blåsippa</t>
        </is>
      </c>
      <c r="W37">
        <f>HYPERLINK("https://klasma.github.io/Logging_1980/artfynd/A 30759-2022 artfynd.xlsx", "A 30759-2022")</f>
        <v/>
      </c>
      <c r="X37">
        <f>HYPERLINK("https://klasma.github.io/Logging_1980/kartor/A 30759-2022 karta.png", "A 30759-2022")</f>
        <v/>
      </c>
      <c r="Y37">
        <f>HYPERLINK("https://klasma.github.io/Logging_1980/kartor_geotiff/A 30759-2022 georefererad karta.tif", "A 30759-2022")</f>
        <v/>
      </c>
      <c r="AA37">
        <f>HYPERLINK("https://klasma.github.io/Logging_1980/klagomål/A 30759-2022 FSC-klagomål.docx", "A 30759-2022")</f>
        <v/>
      </c>
      <c r="AB37">
        <f>HYPERLINK("https://klasma.github.io/Logging_1980/klagomålsmail/A 30759-2022 FSC-klagomål mail.docx", "A 30759-2022")</f>
        <v/>
      </c>
      <c r="AC37">
        <f>HYPERLINK("https://klasma.github.io/Logging_1980/tillsyn/A 30759-2022 tillsynsbegäran.docx", "A 30759-2022")</f>
        <v/>
      </c>
      <c r="AD37">
        <f>HYPERLINK("https://klasma.github.io/Logging_1980/tillsynsmail/A 30759-2022 tillsynsbegäran mail.docx", "A 30759-2022")</f>
        <v/>
      </c>
    </row>
    <row r="38" ht="15" customHeight="1">
      <c r="A38" t="inlineStr">
        <is>
          <t>A 41983-2026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46303</v>
      </c>
      <c r="E38" s="1" t="n">
        <v>46323</v>
      </c>
      <c r="F38" t="inlineStr">
        <is>
          <t>VÄSTMANLANDS LÄN</t>
        </is>
      </c>
      <c r="G38" t="inlineStr">
        <is>
          <t>VÄSTERÅS</t>
        </is>
      </c>
      <c r="I38" t="n">
        <v>4.8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Spillkråka
Gröngöling</t>
        </is>
      </c>
      <c r="W38">
        <f>HYPERLINK("https://klasma.github.io/Logging_1980/artfynd/A 41983-2026 artfynd.xlsx", "A 41983-2026")</f>
        <v/>
      </c>
      <c r="X38">
        <f>HYPERLINK("https://klasma.github.io/Logging_1980/kartor/A 41983-2026 karta.png", "A 41983-2026")</f>
        <v/>
      </c>
      <c r="Y38">
        <f>HYPERLINK("https://klasma.github.io/Logging_1980/kartor_geotiff/A 41983-2026 georefererad karta.tif", "A 41983-2026")</f>
        <v/>
      </c>
      <c r="AA38">
        <f>HYPERLINK("https://klasma.github.io/Logging_1980/klagomål/A 41983-2026 FSC-klagomål.docx", "A 41983-2026")</f>
        <v/>
      </c>
      <c r="AB38">
        <f>HYPERLINK("https://klasma.github.io/Logging_1980/klagomålsmail/A 41983-2026 FSC-klagomål mail.docx", "A 41983-2026")</f>
        <v/>
      </c>
      <c r="AC38">
        <f>HYPERLINK("https://klasma.github.io/Logging_1980/tillsyn/A 41983-2026 tillsynsbegäran.docx", "A 41983-2026")</f>
        <v/>
      </c>
      <c r="AD38">
        <f>HYPERLINK("https://klasma.github.io/Logging_1980/tillsynsmail/A 41983-2026 tillsynsbegäran mail.docx", "A 41983-2026")</f>
        <v/>
      </c>
      <c r="AE38">
        <f>HYPERLINK("https://klasma.github.io/Logging_1980/fåglar/A 41983-2026 prioriterade fågelarter.docx", "A 41983-2026")</f>
        <v/>
      </c>
    </row>
    <row r="39" ht="15" customHeight="1">
      <c r="A39" t="inlineStr">
        <is>
          <t>A 9327-2026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46323</v>
      </c>
      <c r="F39" t="inlineStr">
        <is>
          <t>VÄSTMANLANDS LÄN</t>
        </is>
      </c>
      <c r="G39" t="inlineStr">
        <is>
          <t>VÄSTERÅS</t>
        </is>
      </c>
      <c r="H39" t="inlineStr">
        <is>
          <t>Kommuner</t>
        </is>
      </c>
      <c r="I39" t="n">
        <v>3.3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Tibast</t>
        </is>
      </c>
      <c r="W39">
        <f>HYPERLINK("https://klasma.github.io/Logging_1980/artfynd/A 9327-2026 artfynd.xlsx", "A 9327-2026")</f>
        <v/>
      </c>
      <c r="X39">
        <f>HYPERLINK("https://klasma.github.io/Logging_1980/kartor/A 9327-2026 karta.png", "A 9327-2026")</f>
        <v/>
      </c>
      <c r="Y39">
        <f>HYPERLINK("https://klasma.github.io/Logging_1980/kartor_geotiff/A 9327-2026 georefererad karta.tif", "A 9327-2026")</f>
        <v/>
      </c>
      <c r="AA39">
        <f>HYPERLINK("https://klasma.github.io/Logging_1980/klagomål/A 9327-2026 FSC-klagomål.docx", "A 9327-2026")</f>
        <v/>
      </c>
      <c r="AB39">
        <f>HYPERLINK("https://klasma.github.io/Logging_1980/klagomålsmail/A 9327-2026 FSC-klagomål mail.docx", "A 9327-2026")</f>
        <v/>
      </c>
      <c r="AC39">
        <f>HYPERLINK("https://klasma.github.io/Logging_1980/tillsyn/A 9327-2026 tillsynsbegäran.docx", "A 9327-2026")</f>
        <v/>
      </c>
      <c r="AD39">
        <f>HYPERLINK("https://klasma.github.io/Logging_1980/tillsynsmail/A 9327-2026 tillsynsbegäran mail.docx", "A 9327-2026")</f>
        <v/>
      </c>
    </row>
    <row r="40" ht="15" customHeight="1">
      <c r="A40" t="inlineStr">
        <is>
          <t>A 54536-2024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45617</v>
      </c>
      <c r="E40" s="1" t="n">
        <v>46323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Jungfrulin
Svinrot</t>
        </is>
      </c>
      <c r="W40">
        <f>HYPERLINK("https://klasma.github.io/Logging_1980/artfynd/A 54536-2024 artfynd.xlsx", "A 54536-2024")</f>
        <v/>
      </c>
      <c r="X40">
        <f>HYPERLINK("https://klasma.github.io/Logging_1980/kartor/A 54536-2024 karta.png", "A 54536-2024")</f>
        <v/>
      </c>
      <c r="Y40">
        <f>HYPERLINK("https://klasma.github.io/Logging_1980/kartor_geotiff/A 54536-2024 georefererad karta.tif", "A 54536-2024")</f>
        <v/>
      </c>
      <c r="AA40">
        <f>HYPERLINK("https://klasma.github.io/Logging_1980/klagomål/A 54536-2024 FSC-klagomål.docx", "A 54536-2024")</f>
        <v/>
      </c>
      <c r="AB40">
        <f>HYPERLINK("https://klasma.github.io/Logging_1980/klagomålsmail/A 54536-2024 FSC-klagomål mail.docx", "A 54536-2024")</f>
        <v/>
      </c>
      <c r="AC40">
        <f>HYPERLINK("https://klasma.github.io/Logging_1980/tillsyn/A 54536-2024 tillsynsbegäran.docx", "A 54536-2024")</f>
        <v/>
      </c>
      <c r="AD40">
        <f>HYPERLINK("https://klasma.github.io/Logging_1980/tillsynsmail/A 54536-2024 tillsynsbegäran mail.docx", "A 54536-2024")</f>
        <v/>
      </c>
    </row>
    <row r="41" ht="15" customHeight="1">
      <c r="A41" t="inlineStr">
        <is>
          <t>A 22452-2026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46155</v>
      </c>
      <c r="E41" s="1" t="n">
        <v>46323</v>
      </c>
      <c r="F41" t="inlineStr">
        <is>
          <t>VÄSTMANLANDS LÄN</t>
        </is>
      </c>
      <c r="G41" t="inlineStr">
        <is>
          <t>VÄSTERÅS</t>
        </is>
      </c>
      <c r="I41" t="n">
        <v>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Kopparödla</t>
        </is>
      </c>
      <c r="W41">
        <f>HYPERLINK("https://klasma.github.io/Logging_1980/artfynd/A 22452-2026 artfynd.xlsx", "A 22452-2026")</f>
        <v/>
      </c>
      <c r="X41">
        <f>HYPERLINK("https://klasma.github.io/Logging_1980/kartor/A 22452-2026 karta.png", "A 22452-2026")</f>
        <v/>
      </c>
      <c r="Y41">
        <f>HYPERLINK("https://klasma.github.io/Logging_1980/kartor_geotiff/A 22452-2026 georefererad karta.tif", "A 22452-2026")</f>
        <v/>
      </c>
      <c r="AA41">
        <f>HYPERLINK("https://klasma.github.io/Logging_1980/klagomål/A 22452-2026 FSC-klagomål.docx", "A 22452-2026")</f>
        <v/>
      </c>
      <c r="AB41">
        <f>HYPERLINK("https://klasma.github.io/Logging_1980/klagomålsmail/A 22452-2026 FSC-klagomål mail.docx", "A 22452-2026")</f>
        <v/>
      </c>
      <c r="AC41">
        <f>HYPERLINK("https://klasma.github.io/Logging_1980/tillsyn/A 22452-2026 tillsynsbegäran.docx", "A 22452-2026")</f>
        <v/>
      </c>
      <c r="AD41">
        <f>HYPERLINK("https://klasma.github.io/Logging_1980/tillsynsmail/A 22452-2026 tillsynsbegäran mail.docx", "A 22452-2026")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46323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30761-2022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46323</v>
      </c>
      <c r="F43" t="inlineStr">
        <is>
          <t>VÄSTMANLANDS LÄN</t>
        </is>
      </c>
      <c r="G43" t="inlineStr">
        <is>
          <t>VÄSTERÅS</t>
        </is>
      </c>
      <c r="I43" t="n">
        <v>5.2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HYPERLINK("https://klasma.github.io/Logging_1980/artfynd/A 30761-2022 artfynd.xlsx", "A 30761-2022")</f>
        <v/>
      </c>
      <c r="X43">
        <f>HYPERLINK("https://klasma.github.io/Logging_1980/kartor/A 30761-2022 karta.png", "A 30761-2022")</f>
        <v/>
      </c>
      <c r="Y43">
        <f>HYPERLINK("https://klasma.github.io/Logging_1980/kartor_geotiff/A 30761-2022 georefererad karta.tif", "A 30761-2022")</f>
        <v/>
      </c>
      <c r="AA43">
        <f>HYPERLINK("https://klasma.github.io/Logging_1980/klagomål/A 30761-2022 FSC-klagomål.docx", "A 30761-2022")</f>
        <v/>
      </c>
      <c r="AB43">
        <f>HYPERLINK("https://klasma.github.io/Logging_1980/klagomålsmail/A 30761-2022 FSC-klagomål mail.docx", "A 30761-2022")</f>
        <v/>
      </c>
      <c r="AC43">
        <f>HYPERLINK("https://klasma.github.io/Logging_1980/tillsyn/A 30761-2022 tillsynsbegäran.docx", "A 30761-2022")</f>
        <v/>
      </c>
      <c r="AD43">
        <f>HYPERLINK("https://klasma.github.io/Logging_1980/tillsynsmail/A 30761-2022 tillsynsbegäran mail.docx", "A 30761-2022")</f>
        <v/>
      </c>
      <c r="AE43">
        <f>HYPERLINK("https://klasma.github.io/Logging_1980/fåglar/A 30761-2022 prioriterade fågelarter.docx", "A 30761-2022")</f>
        <v/>
      </c>
    </row>
    <row r="44" ht="15" customHeight="1">
      <c r="A44" t="inlineStr">
        <is>
          <t>A 7534-2022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44607</v>
      </c>
      <c r="E44" s="1" t="n">
        <v>46323</v>
      </c>
      <c r="F44" t="inlineStr">
        <is>
          <t>VÄSTMANLANDS LÄN</t>
        </is>
      </c>
      <c r="G44" t="inlineStr">
        <is>
          <t>VÄSTERÅS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HYPERLINK("https://klasma.github.io/Logging_1980/artfynd/A 7534-2022 artfynd.xlsx", "A 7534-2022")</f>
        <v/>
      </c>
      <c r="X44">
        <f>HYPERLINK("https://klasma.github.io/Logging_1980/kartor/A 7534-2022 karta.png", "A 7534-2022")</f>
        <v/>
      </c>
      <c r="Y44">
        <f>HYPERLINK("https://klasma.github.io/Logging_1980/kartor_geotiff/A 7534-2022 georefererad karta.tif", "A 7534-2022")</f>
        <v/>
      </c>
      <c r="AA44">
        <f>HYPERLINK("https://klasma.github.io/Logging_1980/klagomål/A 7534-2022 FSC-klagomål.docx", "A 7534-2022")</f>
        <v/>
      </c>
      <c r="AB44">
        <f>HYPERLINK("https://klasma.github.io/Logging_1980/klagomålsmail/A 7534-2022 FSC-klagomål mail.docx", "A 7534-2022")</f>
        <v/>
      </c>
      <c r="AC44">
        <f>HYPERLINK("https://klasma.github.io/Logging_1980/tillsyn/A 7534-2022 tillsynsbegäran.docx", "A 7534-2022")</f>
        <v/>
      </c>
      <c r="AD44">
        <f>HYPERLINK("https://klasma.github.io/Logging_1980/tillsynsmail/A 7534-2022 tillsynsbegäran mail.docx", "A 7534-2022")</f>
        <v/>
      </c>
    </row>
    <row r="45" ht="15" customHeight="1">
      <c r="A45" t="inlineStr">
        <is>
          <t>A 29787-2023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46323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Kopparödla</t>
        </is>
      </c>
      <c r="W45">
        <f>HYPERLINK("https://klasma.github.io/Logging_1980/artfynd/A 29787-2023 artfynd.xlsx", "A 29787-2023")</f>
        <v/>
      </c>
      <c r="X45">
        <f>HYPERLINK("https://klasma.github.io/Logging_1980/kartor/A 29787-2023 karta.png", "A 29787-2023")</f>
        <v/>
      </c>
      <c r="Y45">
        <f>HYPERLINK("https://klasma.github.io/Logging_1980/kartor_geotiff/A 29787-2023 georefererad karta.tif", "A 29787-2023")</f>
        <v/>
      </c>
      <c r="AA45">
        <f>HYPERLINK("https://klasma.github.io/Logging_1980/klagomål/A 29787-2023 FSC-klagomål.docx", "A 29787-2023")</f>
        <v/>
      </c>
      <c r="AB45">
        <f>HYPERLINK("https://klasma.github.io/Logging_1980/klagomålsmail/A 29787-2023 FSC-klagomål mail.docx", "A 29787-2023")</f>
        <v/>
      </c>
      <c r="AC45">
        <f>HYPERLINK("https://klasma.github.io/Logging_1980/tillsyn/A 29787-2023 tillsynsbegäran.docx", "A 29787-2023")</f>
        <v/>
      </c>
      <c r="AD45">
        <f>HYPERLINK("https://klasma.github.io/Logging_1980/tillsynsmail/A 29787-2023 tillsynsbegäran mail.docx", "A 29787-2023")</f>
        <v/>
      </c>
    </row>
    <row r="46" ht="15" customHeight="1">
      <c r="A46" t="inlineStr">
        <is>
          <t>A 61059-2024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46323</v>
      </c>
      <c r="F46" t="inlineStr">
        <is>
          <t>VÄSTMANLANDS LÄN</t>
        </is>
      </c>
      <c r="G46" t="inlineStr">
        <is>
          <t>VÄSTERÅS</t>
        </is>
      </c>
      <c r="I46" t="n">
        <v>4.7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Bandad skulderbock</t>
        </is>
      </c>
      <c r="W46">
        <f>HYPERLINK("https://klasma.github.io/Logging_1980/artfynd/A 61059-2024 artfynd.xlsx", "A 61059-2024")</f>
        <v/>
      </c>
      <c r="X46">
        <f>HYPERLINK("https://klasma.github.io/Logging_1980/kartor/A 61059-2024 karta.png", "A 61059-2024")</f>
        <v/>
      </c>
      <c r="Y46">
        <f>HYPERLINK("https://klasma.github.io/Logging_1980/kartor_geotiff/A 61059-2024 georefererad karta.tif", "A 61059-2024")</f>
        <v/>
      </c>
      <c r="AA46">
        <f>HYPERLINK("https://klasma.github.io/Logging_1980/klagomål/A 61059-2024 FSC-klagomål.docx", "A 61059-2024")</f>
        <v/>
      </c>
      <c r="AB46">
        <f>HYPERLINK("https://klasma.github.io/Logging_1980/klagomålsmail/A 61059-2024 FSC-klagomål mail.docx", "A 61059-2024")</f>
        <v/>
      </c>
      <c r="AC46">
        <f>HYPERLINK("https://klasma.github.io/Logging_1980/tillsyn/A 61059-2024 tillsynsbegäran.docx", "A 61059-2024")</f>
        <v/>
      </c>
      <c r="AD46">
        <f>HYPERLINK("https://klasma.github.io/Logging_1980/tillsynsmail/A 61059-2024 tillsynsbegäran mail.docx", "A 61059-2024")</f>
        <v/>
      </c>
    </row>
    <row r="47" ht="15" customHeight="1">
      <c r="A47" t="inlineStr">
        <is>
          <t>A 5363-2025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45692</v>
      </c>
      <c r="E47" s="1" t="n">
        <v>46323</v>
      </c>
      <c r="F47" t="inlineStr">
        <is>
          <t>VÄSTMANLANDS LÄN</t>
        </is>
      </c>
      <c r="G47" t="inlineStr">
        <is>
          <t>VÄSTERÅS</t>
        </is>
      </c>
      <c r="I47" t="n">
        <v>1.2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Brunklöver</t>
        </is>
      </c>
      <c r="W47">
        <f>HYPERLINK("https://klasma.github.io/Logging_1980/artfynd/A 5363-2025 artfynd.xlsx", "A 5363-2025")</f>
        <v/>
      </c>
      <c r="X47">
        <f>HYPERLINK("https://klasma.github.io/Logging_1980/kartor/A 5363-2025 karta.png", "A 5363-2025")</f>
        <v/>
      </c>
      <c r="Y47">
        <f>HYPERLINK("https://klasma.github.io/Logging_1980/kartor_geotiff/A 5363-2025 georefererad karta.tif", "A 5363-2025")</f>
        <v/>
      </c>
      <c r="AA47">
        <f>HYPERLINK("https://klasma.github.io/Logging_1980/klagomål/A 5363-2025 FSC-klagomål.docx", "A 5363-2025")</f>
        <v/>
      </c>
      <c r="AB47">
        <f>HYPERLINK("https://klasma.github.io/Logging_1980/klagomålsmail/A 5363-2025 FSC-klagomål mail.docx", "A 5363-2025")</f>
        <v/>
      </c>
      <c r="AC47">
        <f>HYPERLINK("https://klasma.github.io/Logging_1980/tillsyn/A 5363-2025 tillsynsbegäran.docx", "A 5363-2025")</f>
        <v/>
      </c>
      <c r="AD47">
        <f>HYPERLINK("https://klasma.github.io/Logging_1980/tillsynsmail/A 5363-2025 tillsynsbegäran mail.docx", "A 5363-2025")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46323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40886-2025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45897</v>
      </c>
      <c r="E49" s="1" t="n">
        <v>46323</v>
      </c>
      <c r="F49" t="inlineStr">
        <is>
          <t>VÄSTMANLANDS LÄN</t>
        </is>
      </c>
      <c r="G49" t="inlineStr">
        <is>
          <t>VÄSTERÅS</t>
        </is>
      </c>
      <c r="I49" t="n">
        <v>1.5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Grönpyrola</t>
        </is>
      </c>
      <c r="W49">
        <f>HYPERLINK("https://klasma.github.io/Logging_1980/artfynd/A 40886-2025 artfynd.xlsx", "A 40886-2025")</f>
        <v/>
      </c>
      <c r="X49">
        <f>HYPERLINK("https://klasma.github.io/Logging_1980/kartor/A 40886-2025 karta.png", "A 40886-2025")</f>
        <v/>
      </c>
      <c r="Y49">
        <f>HYPERLINK("https://klasma.github.io/Logging_1980/kartor_geotiff/A 40886-2025 georefererad karta.tif", "A 40886-2025")</f>
        <v/>
      </c>
      <c r="AA49">
        <f>HYPERLINK("https://klasma.github.io/Logging_1980/klagomål/A 40886-2025 FSC-klagomål.docx", "A 40886-2025")</f>
        <v/>
      </c>
      <c r="AB49">
        <f>HYPERLINK("https://klasma.github.io/Logging_1980/klagomålsmail/A 40886-2025 FSC-klagomål mail.docx", "A 40886-2025")</f>
        <v/>
      </c>
      <c r="AC49">
        <f>HYPERLINK("https://klasma.github.io/Logging_1980/tillsyn/A 40886-2025 tillsynsbegäran.docx", "A 40886-2025")</f>
        <v/>
      </c>
      <c r="AD49">
        <f>HYPERLINK("https://klasma.github.io/Logging_1980/tillsynsmail/A 40886-2025 tillsynsbegäran mail.docx", "A 40886-2025")</f>
        <v/>
      </c>
    </row>
    <row r="50" ht="15" customHeight="1">
      <c r="A50" t="inlineStr">
        <is>
          <t>A 55676-2023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45232</v>
      </c>
      <c r="E50" s="1" t="n">
        <v>46323</v>
      </c>
      <c r="F50" t="inlineStr">
        <is>
          <t>VÄSTMANLANDS LÄN</t>
        </is>
      </c>
      <c r="G50" t="inlineStr">
        <is>
          <t>VÄSTERÅS</t>
        </is>
      </c>
      <c r="H50" t="inlineStr">
        <is>
          <t>Övriga Aktiebolag</t>
        </is>
      </c>
      <c r="I50" t="n">
        <v>37.9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Havsörn</t>
        </is>
      </c>
      <c r="W50">
        <f>HYPERLINK("https://klasma.github.io/Logging_1980/artfynd/A 55676-2023 artfynd.xlsx", "A 55676-2023")</f>
        <v/>
      </c>
      <c r="X50">
        <f>HYPERLINK("https://klasma.github.io/Logging_1980/kartor/A 55676-2023 karta.png", "A 55676-2023")</f>
        <v/>
      </c>
      <c r="Y50">
        <f>HYPERLINK("https://klasma.github.io/Logging_1980/kartor_geotiff/A 55676-2023 georefererad karta.tif", "A 55676-2023")</f>
        <v/>
      </c>
      <c r="AA50">
        <f>HYPERLINK("https://klasma.github.io/Logging_1980/klagomål/A 55676-2023 FSC-klagomål.docx", "A 55676-2023")</f>
        <v/>
      </c>
      <c r="AB50">
        <f>HYPERLINK("https://klasma.github.io/Logging_1980/klagomålsmail/A 55676-2023 FSC-klagomål mail.docx", "A 55676-2023")</f>
        <v/>
      </c>
      <c r="AC50">
        <f>HYPERLINK("https://klasma.github.io/Logging_1980/tillsyn/A 55676-2023 tillsynsbegäran.docx", "A 55676-2023")</f>
        <v/>
      </c>
      <c r="AD50">
        <f>HYPERLINK("https://klasma.github.io/Logging_1980/tillsynsmail/A 55676-2023 tillsynsbegäran mail.docx", "A 55676-2023")</f>
        <v/>
      </c>
      <c r="AE50">
        <f>HYPERLINK("https://klasma.github.io/Logging_1980/fåglar/A 55676-2023 prioriterade fågelarter.docx", "A 55676-2023")</f>
        <v/>
      </c>
    </row>
    <row r="51" ht="15" customHeight="1">
      <c r="A51" t="inlineStr">
        <is>
          <t>A 61254-2023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45264</v>
      </c>
      <c r="E51" s="1" t="n">
        <v>46323</v>
      </c>
      <c r="F51" t="inlineStr">
        <is>
          <t>VÄSTMANLANDS LÄN</t>
        </is>
      </c>
      <c r="G51" t="inlineStr">
        <is>
          <t>VÄSTERÅS</t>
        </is>
      </c>
      <c r="I51" t="n">
        <v>0.8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Mistel</t>
        </is>
      </c>
      <c r="W51">
        <f>HYPERLINK("https://klasma.github.io/Logging_1980/artfynd/A 61254-2023 artfynd.xlsx", "A 61254-2023")</f>
        <v/>
      </c>
      <c r="X51">
        <f>HYPERLINK("https://klasma.github.io/Logging_1980/kartor/A 61254-2023 karta.png", "A 61254-2023")</f>
        <v/>
      </c>
      <c r="Y51">
        <f>HYPERLINK("https://klasma.github.io/Logging_1980/kartor_geotiff/A 61254-2023 georefererad karta.tif", "A 61254-2023")</f>
        <v/>
      </c>
      <c r="AA51">
        <f>HYPERLINK("https://klasma.github.io/Logging_1980/klagomål/A 61254-2023 FSC-klagomål.docx", "A 61254-2023")</f>
        <v/>
      </c>
      <c r="AB51">
        <f>HYPERLINK("https://klasma.github.io/Logging_1980/klagomålsmail/A 61254-2023 FSC-klagomål mail.docx", "A 61254-2023")</f>
        <v/>
      </c>
      <c r="AC51">
        <f>HYPERLINK("https://klasma.github.io/Logging_1980/tillsyn/A 61254-2023 tillsynsbegäran.docx", "A 61254-2023")</f>
        <v/>
      </c>
      <c r="AD51">
        <f>HYPERLINK("https://klasma.github.io/Logging_1980/tillsynsmail/A 61254-2023 tillsynsbegäran mail.docx", "A 61254-2023")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46323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12905-2022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46323</v>
      </c>
      <c r="F53" t="inlineStr">
        <is>
          <t>VÄSTMANLANDS LÄN</t>
        </is>
      </c>
      <c r="G53" t="inlineStr">
        <is>
          <t>VÄSTERÅS</t>
        </is>
      </c>
      <c r="H53" t="inlineStr">
        <is>
          <t>Övriga Aktiebolag</t>
        </is>
      </c>
      <c r="I53" t="n">
        <v>23.9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HYPERLINK("https://klasma.github.io/Logging_1980/artfynd/A 12905-2022 artfynd.xlsx", "A 12905-2022")</f>
        <v/>
      </c>
      <c r="X53">
        <f>HYPERLINK("https://klasma.github.io/Logging_1980/kartor/A 12905-2022 karta.png", "A 12905-2022")</f>
        <v/>
      </c>
      <c r="Y53">
        <f>HYPERLINK("https://klasma.github.io/Logging_1980/kartor_geotiff/A 12905-2022 georefererad karta.tif", "A 12905-2022")</f>
        <v/>
      </c>
      <c r="AA53">
        <f>HYPERLINK("https://klasma.github.io/Logging_1980/klagomål/A 12905-2022 FSC-klagomål.docx", "A 12905-2022")</f>
        <v/>
      </c>
      <c r="AB53">
        <f>HYPERLINK("https://klasma.github.io/Logging_1980/klagomålsmail/A 12905-2022 FSC-klagomål mail.docx", "A 12905-2022")</f>
        <v/>
      </c>
      <c r="AC53">
        <f>HYPERLINK("https://klasma.github.io/Logging_1980/tillsyn/A 12905-2022 tillsynsbegäran.docx", "A 12905-2022")</f>
        <v/>
      </c>
      <c r="AD53">
        <f>HYPERLINK("https://klasma.github.io/Logging_1980/tillsynsmail/A 12905-2022 tillsynsbegäran mail.docx", "A 12905-2022")</f>
        <v/>
      </c>
    </row>
    <row r="54" ht="15" customHeight="1">
      <c r="A54" t="inlineStr">
        <is>
          <t>A 58395-2022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46323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Korskovall</t>
        </is>
      </c>
      <c r="W54">
        <f>HYPERLINK("https://klasma.github.io/Logging_1980/artfynd/A 58395-2022 artfynd.xlsx", "A 58395-2022")</f>
        <v/>
      </c>
      <c r="X54">
        <f>HYPERLINK("https://klasma.github.io/Logging_1980/kartor/A 58395-2022 karta.png", "A 58395-2022")</f>
        <v/>
      </c>
      <c r="Y54">
        <f>HYPERLINK("https://klasma.github.io/Logging_1980/kartor_geotiff/A 58395-2022 georefererad karta.tif", "A 58395-2022")</f>
        <v/>
      </c>
      <c r="AA54">
        <f>HYPERLINK("https://klasma.github.io/Logging_1980/klagomål/A 58395-2022 FSC-klagomål.docx", "A 58395-2022")</f>
        <v/>
      </c>
      <c r="AB54">
        <f>HYPERLINK("https://klasma.github.io/Logging_1980/klagomålsmail/A 58395-2022 FSC-klagomål mail.docx", "A 58395-2022")</f>
        <v/>
      </c>
      <c r="AC54">
        <f>HYPERLINK("https://klasma.github.io/Logging_1980/tillsyn/A 58395-2022 tillsynsbegäran.docx", "A 58395-2022")</f>
        <v/>
      </c>
      <c r="AD54">
        <f>HYPERLINK("https://klasma.github.io/Logging_1980/tillsynsmail/A 58395-2022 tillsynsbegäran mail.docx", "A 58395-2022")</f>
        <v/>
      </c>
    </row>
    <row r="55" ht="15" customHeight="1">
      <c r="A55" t="inlineStr">
        <is>
          <t>A 59144-2025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46323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HYPERLINK("https://klasma.github.io/Logging_1980/artfynd/A 59144-2025 artfynd.xlsx", "A 59144-2025")</f>
        <v/>
      </c>
      <c r="X55">
        <f>HYPERLINK("https://klasma.github.io/Logging_1980/kartor/A 59144-2025 karta.png", "A 59144-2025")</f>
        <v/>
      </c>
      <c r="Y55">
        <f>HYPERLINK("https://klasma.github.io/Logging_1980/kartor_geotiff/A 59144-2025 georefererad karta.tif", "A 59144-2025")</f>
        <v/>
      </c>
      <c r="AA55">
        <f>HYPERLINK("https://klasma.github.io/Logging_1980/klagomål/A 59144-2025 FSC-klagomål.docx", "A 59144-2025")</f>
        <v/>
      </c>
      <c r="AB55">
        <f>HYPERLINK("https://klasma.github.io/Logging_1980/klagomålsmail/A 59144-2025 FSC-klagomål mail.docx", "A 59144-2025")</f>
        <v/>
      </c>
      <c r="AC55">
        <f>HYPERLINK("https://klasma.github.io/Logging_1980/tillsyn/A 59144-2025 tillsynsbegäran.docx", "A 59144-2025")</f>
        <v/>
      </c>
      <c r="AD55">
        <f>HYPERLINK("https://klasma.github.io/Logging_1980/tillsynsmail/A 59144-2025 tillsynsbegäran mail.docx", "A 59144-2025")</f>
        <v/>
      </c>
    </row>
    <row r="56" ht="15" customHeight="1">
      <c r="A56" t="inlineStr">
        <is>
          <t>A 59520-2024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46323</v>
      </c>
      <c r="F56" t="inlineStr">
        <is>
          <t>VÄSTMANLANDS LÄN</t>
        </is>
      </c>
      <c r="G56" t="inlineStr">
        <is>
          <t>VÄSTERÅS</t>
        </is>
      </c>
      <c r="I56" t="n">
        <v>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Brunklöver</t>
        </is>
      </c>
      <c r="W56">
        <f>HYPERLINK("https://klasma.github.io/Logging_1980/artfynd/A 59520-2024 artfynd.xlsx", "A 59520-2024")</f>
        <v/>
      </c>
      <c r="X56">
        <f>HYPERLINK("https://klasma.github.io/Logging_1980/kartor/A 59520-2024 karta.png", "A 59520-2024")</f>
        <v/>
      </c>
      <c r="Y56">
        <f>HYPERLINK("https://klasma.github.io/Logging_1980/kartor_geotiff/A 59520-2024 georefererad karta.tif", "A 59520-2024")</f>
        <v/>
      </c>
      <c r="AA56">
        <f>HYPERLINK("https://klasma.github.io/Logging_1980/klagomål/A 59520-2024 FSC-klagomål.docx", "A 59520-2024")</f>
        <v/>
      </c>
      <c r="AB56">
        <f>HYPERLINK("https://klasma.github.io/Logging_1980/klagomålsmail/A 59520-2024 FSC-klagomål mail.docx", "A 59520-2024")</f>
        <v/>
      </c>
      <c r="AC56">
        <f>HYPERLINK("https://klasma.github.io/Logging_1980/tillsyn/A 59520-2024 tillsynsbegäran.docx", "A 59520-2024")</f>
        <v/>
      </c>
      <c r="AD56">
        <f>HYPERLINK("https://klasma.github.io/Logging_1980/tillsynsmail/A 59520-2024 tillsynsbegäran mail.docx", "A 59520-2024")</f>
        <v/>
      </c>
    </row>
    <row r="57" ht="15" customHeight="1">
      <c r="A57" t="inlineStr">
        <is>
          <t>A 46189-2023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45196</v>
      </c>
      <c r="E57" s="1" t="n">
        <v>46323</v>
      </c>
      <c r="F57" t="inlineStr">
        <is>
          <t>VÄSTMANLANDS LÄN</t>
        </is>
      </c>
      <c r="G57" t="inlineStr">
        <is>
          <t>VÄSTERÅS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Gullviva</t>
        </is>
      </c>
      <c r="W57">
        <f>HYPERLINK("https://klasma.github.io/Logging_1980/artfynd/A 46189-2023 artfynd.xlsx", "A 46189-2023")</f>
        <v/>
      </c>
      <c r="X57">
        <f>HYPERLINK("https://klasma.github.io/Logging_1980/kartor/A 46189-2023 karta.png", "A 46189-2023")</f>
        <v/>
      </c>
      <c r="Y57">
        <f>HYPERLINK("https://klasma.github.io/Logging_1980/kartor_geotiff/A 46189-2023 georefererad karta.tif", "A 46189-2023")</f>
        <v/>
      </c>
      <c r="AA57">
        <f>HYPERLINK("https://klasma.github.io/Logging_1980/klagomål/A 46189-2023 FSC-klagomål.docx", "A 46189-2023")</f>
        <v/>
      </c>
      <c r="AB57">
        <f>HYPERLINK("https://klasma.github.io/Logging_1980/klagomålsmail/A 46189-2023 FSC-klagomål mail.docx", "A 46189-2023")</f>
        <v/>
      </c>
      <c r="AC57">
        <f>HYPERLINK("https://klasma.github.io/Logging_1980/tillsyn/A 46189-2023 tillsynsbegäran.docx", "A 46189-2023")</f>
        <v/>
      </c>
      <c r="AD57">
        <f>HYPERLINK("https://klasma.github.io/Logging_1980/tillsynsmail/A 46189-2023 tillsynsbegäran mail.docx", "A 46189-2023")</f>
        <v/>
      </c>
    </row>
    <row r="58" ht="15" customHeight="1">
      <c r="A58" t="inlineStr">
        <is>
          <t>A 8362-2022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44610</v>
      </c>
      <c r="E58" s="1" t="n">
        <v>46323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Köpingfibbla</t>
        </is>
      </c>
      <c r="W58">
        <f>HYPERLINK("https://klasma.github.io/Logging_1980/artfynd/A 8362-2022 artfynd.xlsx", "A 8362-2022")</f>
        <v/>
      </c>
      <c r="X58">
        <f>HYPERLINK("https://klasma.github.io/Logging_1980/kartor/A 8362-2022 karta.png", "A 8362-2022")</f>
        <v/>
      </c>
      <c r="Y58">
        <f>HYPERLINK("https://klasma.github.io/Logging_1980/kartor_geotiff/A 8362-2022 georefererad karta.tif", "A 8362-2022")</f>
        <v/>
      </c>
      <c r="AA58">
        <f>HYPERLINK("https://klasma.github.io/Logging_1980/klagomål/A 8362-2022 FSC-klagomål.docx", "A 8362-2022")</f>
        <v/>
      </c>
      <c r="AB58">
        <f>HYPERLINK("https://klasma.github.io/Logging_1980/klagomålsmail/A 8362-2022 FSC-klagomål mail.docx", "A 8362-2022")</f>
        <v/>
      </c>
      <c r="AC58">
        <f>HYPERLINK("https://klasma.github.io/Logging_1980/tillsyn/A 8362-2022 tillsynsbegäran.docx", "A 8362-2022")</f>
        <v/>
      </c>
      <c r="AD58">
        <f>HYPERLINK("https://klasma.github.io/Logging_1980/tillsynsmail/A 8362-2022 tillsynsbegäran mail.docx", "A 8362-2022")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46323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26568-2022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46323</v>
      </c>
      <c r="F60" t="inlineStr">
        <is>
          <t>VÄSTMANLANDS LÄN</t>
        </is>
      </c>
      <c r="G60" t="inlineStr">
        <is>
          <t>VÄSTERÅS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HYPERLINK("https://klasma.github.io/Logging_1980/artfynd/A 26568-2022 artfynd.xlsx", "A 26568-2022")</f>
        <v/>
      </c>
      <c r="X60">
        <f>HYPERLINK("https://klasma.github.io/Logging_1980/kartor/A 26568-2022 karta.png", "A 26568-2022")</f>
        <v/>
      </c>
      <c r="Y60">
        <f>HYPERLINK("https://klasma.github.io/Logging_1980/kartor_geotiff/A 26568-2022 georefererad karta.tif", "A 26568-2022")</f>
        <v/>
      </c>
      <c r="AA60">
        <f>HYPERLINK("https://klasma.github.io/Logging_1980/klagomål/A 26568-2022 FSC-klagomål.docx", "A 26568-2022")</f>
        <v/>
      </c>
      <c r="AB60">
        <f>HYPERLINK("https://klasma.github.io/Logging_1980/klagomålsmail/A 26568-2022 FSC-klagomål mail.docx", "A 26568-2022")</f>
        <v/>
      </c>
      <c r="AC60">
        <f>HYPERLINK("https://klasma.github.io/Logging_1980/tillsyn/A 26568-2022 tillsynsbegäran.docx", "A 26568-2022")</f>
        <v/>
      </c>
      <c r="AD60">
        <f>HYPERLINK("https://klasma.github.io/Logging_1980/tillsynsmail/A 26568-2022 tillsynsbegäran mail.docx", "A 26568-2022")</f>
        <v/>
      </c>
    </row>
    <row r="61" ht="15" customHeight="1">
      <c r="A61" t="inlineStr">
        <is>
          <t>A 51147-2023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46323</v>
      </c>
      <c r="F61" t="inlineStr">
        <is>
          <t>VÄSTMANLANDS LÄN</t>
        </is>
      </c>
      <c r="G61" t="inlineStr">
        <is>
          <t>VÄSTERÅS</t>
        </is>
      </c>
      <c r="I61" t="n">
        <v>1.4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Mindre märgborre</t>
        </is>
      </c>
      <c r="W61">
        <f>HYPERLINK("https://klasma.github.io/Logging_1980/artfynd/A 51147-2023 artfynd.xlsx", "A 51147-2023")</f>
        <v/>
      </c>
      <c r="X61">
        <f>HYPERLINK("https://klasma.github.io/Logging_1980/kartor/A 51147-2023 karta.png", "A 51147-2023")</f>
        <v/>
      </c>
      <c r="Y61">
        <f>HYPERLINK("https://klasma.github.io/Logging_1980/kartor_geotiff/A 51147-2023 georefererad karta.tif", "A 51147-2023")</f>
        <v/>
      </c>
      <c r="AA61">
        <f>HYPERLINK("https://klasma.github.io/Logging_1980/klagomål/A 51147-2023 FSC-klagomål.docx", "A 51147-2023")</f>
        <v/>
      </c>
      <c r="AB61">
        <f>HYPERLINK("https://klasma.github.io/Logging_1980/klagomålsmail/A 51147-2023 FSC-klagomål mail.docx", "A 51147-2023")</f>
        <v/>
      </c>
      <c r="AC61">
        <f>HYPERLINK("https://klasma.github.io/Logging_1980/tillsyn/A 51147-2023 tillsynsbegäran.docx", "A 51147-2023")</f>
        <v/>
      </c>
      <c r="AD61">
        <f>HYPERLINK("https://klasma.github.io/Logging_1980/tillsynsmail/A 51147-2023 tillsynsbegäran mail.docx", "A 51147-2023")</f>
        <v/>
      </c>
    </row>
    <row r="62" ht="15" customHeight="1">
      <c r="A62" t="inlineStr">
        <is>
          <t>A 39915-2026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46290</v>
      </c>
      <c r="E62" s="1" t="n">
        <v>46323</v>
      </c>
      <c r="F62" t="inlineStr">
        <is>
          <t>VÄSTMANLANDS LÄN</t>
        </is>
      </c>
      <c r="G62" t="inlineStr">
        <is>
          <t>VÄSTERÅS</t>
        </is>
      </c>
      <c r="H62" t="inlineStr">
        <is>
          <t>Sveaskog</t>
        </is>
      </c>
      <c r="I62" t="n">
        <v>4.1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Lopplummer (aggregat)</t>
        </is>
      </c>
      <c r="W62">
        <f>HYPERLINK("https://klasma.github.io/Logging_1980/artfynd/A 39915-2026 artfynd.xlsx", "A 39915-2026")</f>
        <v/>
      </c>
      <c r="X62">
        <f>HYPERLINK("https://klasma.github.io/Logging_1980/kartor/A 39915-2026 karta.png", "A 39915-2026")</f>
        <v/>
      </c>
      <c r="Y62">
        <f>HYPERLINK("https://klasma.github.io/Logging_1980/kartor_geotiff/A 39915-2026 georefererad karta.tif", "A 39915-2026")</f>
        <v/>
      </c>
      <c r="AA62">
        <f>HYPERLINK("https://klasma.github.io/Logging_1980/klagomål/A 39915-2026 FSC-klagomål.docx", "A 39915-2026")</f>
        <v/>
      </c>
      <c r="AB62">
        <f>HYPERLINK("https://klasma.github.io/Logging_1980/klagomålsmail/A 39915-2026 FSC-klagomål mail.docx", "A 39915-2026")</f>
        <v/>
      </c>
      <c r="AC62">
        <f>HYPERLINK("https://klasma.github.io/Logging_1980/tillsyn/A 39915-2026 tillsynsbegäran.docx", "A 39915-2026")</f>
        <v/>
      </c>
      <c r="AD62">
        <f>HYPERLINK("https://klasma.github.io/Logging_1980/tillsynsmail/A 39915-2026 tillsynsbegäran mail.docx", "A 39915-2026")</f>
        <v/>
      </c>
    </row>
    <row r="63" ht="15" customHeight="1">
      <c r="A63" t="inlineStr">
        <is>
          <t>A 39919-2026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46323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HYPERLINK("https://klasma.github.io/Logging_1980/artfynd/A 39919-2026 artfynd.xlsx", "A 39919-2026")</f>
        <v/>
      </c>
      <c r="X63">
        <f>HYPERLINK("https://klasma.github.io/Logging_1980/kartor/A 39919-2026 karta.png", "A 39919-2026")</f>
        <v/>
      </c>
      <c r="Y63">
        <f>HYPERLINK("https://klasma.github.io/Logging_1980/kartor_geotiff/A 39919-2026 georefererad karta.tif", "A 39919-2026")</f>
        <v/>
      </c>
      <c r="AA63">
        <f>HYPERLINK("https://klasma.github.io/Logging_1980/klagomål/A 39919-2026 FSC-klagomål.docx", "A 39919-2026")</f>
        <v/>
      </c>
      <c r="AB63">
        <f>HYPERLINK("https://klasma.github.io/Logging_1980/klagomålsmail/A 39919-2026 FSC-klagomål mail.docx", "A 39919-2026")</f>
        <v/>
      </c>
      <c r="AC63">
        <f>HYPERLINK("https://klasma.github.io/Logging_1980/tillsyn/A 39919-2026 tillsynsbegäran.docx", "A 39919-2026")</f>
        <v/>
      </c>
      <c r="AD63">
        <f>HYPERLINK("https://klasma.github.io/Logging_1980/tillsynsmail/A 39919-2026 tillsynsbegäran mail.docx", "A 39919-2026")</f>
        <v/>
      </c>
      <c r="AE63">
        <f>HYPERLINK("https://klasma.github.io/Logging_1980/fåglar/A 39919-2026 prioriterade fågelarter.docx", "A 39919-2026")</f>
        <v/>
      </c>
    </row>
    <row r="64" ht="15" customHeight="1">
      <c r="A64" t="inlineStr">
        <is>
          <t>A 50193-2022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46323</v>
      </c>
      <c r="F64" t="inlineStr">
        <is>
          <t>VÄSTMANLANDS LÄN</t>
        </is>
      </c>
      <c r="G64" t="inlineStr">
        <is>
          <t>VÄSTERÅS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Vedticka</t>
        </is>
      </c>
      <c r="W64">
        <f>HYPERLINK("https://klasma.github.io/Logging_1980/artfynd/A 50193-2022 artfynd.xlsx", "A 50193-2022")</f>
        <v/>
      </c>
      <c r="X64">
        <f>HYPERLINK("https://klasma.github.io/Logging_1980/kartor/A 50193-2022 karta.png", "A 50193-2022")</f>
        <v/>
      </c>
      <c r="Y64">
        <f>HYPERLINK("https://klasma.github.io/Logging_1980/kartor_geotiff/A 50193-2022 georefererad karta.tif", "A 50193-2022")</f>
        <v/>
      </c>
      <c r="AA64">
        <f>HYPERLINK("https://klasma.github.io/Logging_1980/klagomål/A 50193-2022 FSC-klagomål.docx", "A 50193-2022")</f>
        <v/>
      </c>
      <c r="AB64">
        <f>HYPERLINK("https://klasma.github.io/Logging_1980/klagomålsmail/A 50193-2022 FSC-klagomål mail.docx", "A 50193-2022")</f>
        <v/>
      </c>
      <c r="AC64">
        <f>HYPERLINK("https://klasma.github.io/Logging_1980/tillsyn/A 50193-2022 tillsynsbegäran.docx", "A 50193-2022")</f>
        <v/>
      </c>
      <c r="AD64">
        <f>HYPERLINK("https://klasma.github.io/Logging_1980/tillsynsmail/A 50193-2022 tillsynsbegäran mail.docx", "A 50193-2022")</f>
        <v/>
      </c>
    </row>
    <row r="65" ht="15" customHeight="1">
      <c r="A65" t="inlineStr">
        <is>
          <t>A 1594-2023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44935</v>
      </c>
      <c r="E65" s="1" t="n">
        <v>46323</v>
      </c>
      <c r="F65" t="inlineStr">
        <is>
          <t>VÄSTMANLANDS LÄN</t>
        </is>
      </c>
      <c r="G65" t="inlineStr">
        <is>
          <t>VÄSTERÅS</t>
        </is>
      </c>
      <c r="I65" t="n">
        <v>10.9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Sparvuggla</t>
        </is>
      </c>
      <c r="W65">
        <f>HYPERLINK("https://klasma.github.io/Logging_1980/artfynd/A 1594-2023 artfynd.xlsx", "A 1594-2023")</f>
        <v/>
      </c>
      <c r="X65">
        <f>HYPERLINK("https://klasma.github.io/Logging_1980/kartor/A 1594-2023 karta.png", "A 1594-2023")</f>
        <v/>
      </c>
      <c r="Y65">
        <f>HYPERLINK("https://klasma.github.io/Logging_1980/kartor_geotiff/A 1594-2023 georefererad karta.tif", "A 1594-2023")</f>
        <v/>
      </c>
      <c r="AA65">
        <f>HYPERLINK("https://klasma.github.io/Logging_1980/klagomål/A 1594-2023 FSC-klagomål.docx", "A 1594-2023")</f>
        <v/>
      </c>
      <c r="AB65">
        <f>HYPERLINK("https://klasma.github.io/Logging_1980/klagomålsmail/A 1594-2023 FSC-klagomål mail.docx", "A 1594-2023")</f>
        <v/>
      </c>
      <c r="AC65">
        <f>HYPERLINK("https://klasma.github.io/Logging_1980/tillsyn/A 1594-2023 tillsynsbegäran.docx", "A 1594-2023")</f>
        <v/>
      </c>
      <c r="AD65">
        <f>HYPERLINK("https://klasma.github.io/Logging_1980/tillsynsmail/A 1594-2023 tillsynsbegäran mail.docx", "A 1594-2023")</f>
        <v/>
      </c>
      <c r="AE65">
        <f>HYPERLINK("https://klasma.github.io/Logging_1980/fåglar/A 1594-2023 prioriterade fågelarter.docx", "A 1594-2023")</f>
        <v/>
      </c>
    </row>
    <row r="66" ht="15" customHeight="1">
      <c r="A66" t="inlineStr">
        <is>
          <t>A 22378-2026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46154</v>
      </c>
      <c r="E66" s="1" t="n">
        <v>46323</v>
      </c>
      <c r="F66" t="inlineStr">
        <is>
          <t>VÄSTMANLANDS LÄN</t>
        </is>
      </c>
      <c r="G66" t="inlineStr">
        <is>
          <t>VÄSTERÅS</t>
        </is>
      </c>
      <c r="I66" t="n">
        <v>5.6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HYPERLINK("https://klasma.github.io/Logging_1980/artfynd/A 22378-2026 artfynd.xlsx", "A 22378-2026")</f>
        <v/>
      </c>
      <c r="X66">
        <f>HYPERLINK("https://klasma.github.io/Logging_1980/kartor/A 22378-2026 karta.png", "A 22378-2026")</f>
        <v/>
      </c>
      <c r="Y66">
        <f>HYPERLINK("https://klasma.github.io/Logging_1980/kartor_geotiff/A 22378-2026 georefererad karta.tif", "A 22378-2026")</f>
        <v/>
      </c>
      <c r="AA66">
        <f>HYPERLINK("https://klasma.github.io/Logging_1980/klagomål/A 22378-2026 FSC-klagomål.docx", "A 22378-2026")</f>
        <v/>
      </c>
      <c r="AB66">
        <f>HYPERLINK("https://klasma.github.io/Logging_1980/klagomålsmail/A 22378-2026 FSC-klagomål mail.docx", "A 22378-2026")</f>
        <v/>
      </c>
      <c r="AC66">
        <f>HYPERLINK("https://klasma.github.io/Logging_1980/tillsyn/A 22378-2026 tillsynsbegäran.docx", "A 22378-2026")</f>
        <v/>
      </c>
      <c r="AD66">
        <f>HYPERLINK("https://klasma.github.io/Logging_1980/tillsynsmail/A 22378-2026 tillsynsbegäran mail.docx", "A 22378-2026")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46323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46323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46323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46323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46323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46323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65678-2021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46323</v>
      </c>
      <c r="F73" t="inlineStr">
        <is>
          <t>VÄSTMANLANDS LÄN</t>
        </is>
      </c>
      <c r="G73" t="inlineStr">
        <is>
          <t>VÄSTERÅS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46323</v>
      </c>
      <c r="F74" t="inlineStr">
        <is>
          <t>VÄSTMANLANDS LÄN</t>
        </is>
      </c>
      <c r="G74" t="inlineStr">
        <is>
          <t>VÄSTERÅS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46323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46323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46323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46323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46323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46323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46323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46323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46323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46323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46323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46323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46323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46323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46323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10499-2022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44623</v>
      </c>
      <c r="E90" s="1" t="n">
        <v>46323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45019</v>
      </c>
      <c r="E91" s="1" t="n">
        <v>46323</v>
      </c>
      <c r="F91" t="inlineStr">
        <is>
          <t>VÄSTMANLANDS LÄN</t>
        </is>
      </c>
      <c r="G91" t="inlineStr">
        <is>
          <t>VÄSTERÅS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18467-2023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45042</v>
      </c>
      <c r="E92" s="1" t="n">
        <v>46323</v>
      </c>
      <c r="F92" t="inlineStr">
        <is>
          <t>VÄSTMANLANDS LÄN</t>
        </is>
      </c>
      <c r="G92" t="inlineStr">
        <is>
          <t>VÄSTERÅS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63851-2021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44509</v>
      </c>
      <c r="E93" s="1" t="n">
        <v>46323</v>
      </c>
      <c r="F93" t="inlineStr">
        <is>
          <t>VÄSTMANLANDS LÄN</t>
        </is>
      </c>
      <c r="G93" t="inlineStr">
        <is>
          <t>VÄSTERÅS</t>
        </is>
      </c>
      <c r="I93" t="n">
        <v>11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46323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46323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45033</v>
      </c>
      <c r="E96" s="1" t="n">
        <v>46323</v>
      </c>
      <c r="F96" t="inlineStr">
        <is>
          <t>VÄSTMANLANDS LÄN</t>
        </is>
      </c>
      <c r="G96" t="inlineStr">
        <is>
          <t>VÄSTERÅS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13367-2022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46323</v>
      </c>
      <c r="F97" t="inlineStr">
        <is>
          <t>VÄSTMANLANDS LÄN</t>
        </is>
      </c>
      <c r="G97" t="inlineStr">
        <is>
          <t>VÄSTERÅS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45639</v>
      </c>
      <c r="E98" s="1" t="n">
        <v>46323</v>
      </c>
      <c r="F98" t="inlineStr">
        <is>
          <t>VÄSTMANLANDS LÄN</t>
        </is>
      </c>
      <c r="G98" t="inlineStr">
        <is>
          <t>VÄSTERÅS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44699</v>
      </c>
      <c r="E99" s="1" t="n">
        <v>46323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67353-2021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46323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Övriga Aktiebolag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44958</v>
      </c>
      <c r="E101" s="1" t="n">
        <v>46323</v>
      </c>
      <c r="F101" t="inlineStr">
        <is>
          <t>VÄSTMANLANDS LÄN</t>
        </is>
      </c>
      <c r="G101" t="inlineStr">
        <is>
          <t>VÄSTERÅS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46323</v>
      </c>
      <c r="F102" t="inlineStr">
        <is>
          <t>VÄSTMANLANDS LÄN</t>
        </is>
      </c>
      <c r="G102" t="inlineStr">
        <is>
          <t>VÄSTERÅS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45628</v>
      </c>
      <c r="E103" s="1" t="n">
        <v>46323</v>
      </c>
      <c r="F103" t="inlineStr">
        <is>
          <t>VÄSTMANLANDS LÄN</t>
        </is>
      </c>
      <c r="G103" t="inlineStr">
        <is>
          <t>VÄSTERÅS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18457-2023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45042</v>
      </c>
      <c r="E104" s="1" t="n">
        <v>46323</v>
      </c>
      <c r="F104" t="inlineStr">
        <is>
          <t>VÄSTMANLANDS LÄN</t>
        </is>
      </c>
      <c r="G104" t="inlineStr">
        <is>
          <t>VÄSTERÅS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10912-2024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45370</v>
      </c>
      <c r="E105" s="1" t="n">
        <v>46323</v>
      </c>
      <c r="F105" t="inlineStr">
        <is>
          <t>VÄSTMANLANDS LÄN</t>
        </is>
      </c>
      <c r="G105" t="inlineStr">
        <is>
          <t>VÄSTERÅS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44825</v>
      </c>
      <c r="E106" s="1" t="n">
        <v>46323</v>
      </c>
      <c r="F106" t="inlineStr">
        <is>
          <t>VÄSTMANLANDS LÄN</t>
        </is>
      </c>
      <c r="G106" t="inlineStr">
        <is>
          <t>VÄSTERÅS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44792</v>
      </c>
      <c r="E107" s="1" t="n">
        <v>46323</v>
      </c>
      <c r="F107" t="inlineStr">
        <is>
          <t>VÄSTMANLANDS LÄN</t>
        </is>
      </c>
      <c r="G107" t="inlineStr">
        <is>
          <t>VÄSTERÅS</t>
        </is>
      </c>
      <c r="I107" t="n">
        <v>9.6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45027</v>
      </c>
      <c r="E108" s="1" t="n">
        <v>46323</v>
      </c>
      <c r="F108" t="inlineStr">
        <is>
          <t>VÄSTMANLANDS LÄN</t>
        </is>
      </c>
      <c r="G108" t="inlineStr">
        <is>
          <t>VÄSTERÅS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45027</v>
      </c>
      <c r="E109" s="1" t="n">
        <v>46323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45414</v>
      </c>
      <c r="E110" s="1" t="n">
        <v>46323</v>
      </c>
      <c r="F110" t="inlineStr">
        <is>
          <t>VÄSTMANLANDS LÄN</t>
        </is>
      </c>
      <c r="G110" t="inlineStr">
        <is>
          <t>VÄSTERÅS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44826</v>
      </c>
      <c r="E111" s="1" t="n">
        <v>46323</v>
      </c>
      <c r="F111" t="inlineStr">
        <is>
          <t>VÄSTMANLANDS LÄN</t>
        </is>
      </c>
      <c r="G111" t="inlineStr">
        <is>
          <t>VÄSTERÅS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12649-2023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44999</v>
      </c>
      <c r="E112" s="1" t="n">
        <v>46323</v>
      </c>
      <c r="F112" t="inlineStr">
        <is>
          <t>VÄSTMANLANDS LÄN</t>
        </is>
      </c>
      <c r="G112" t="inlineStr">
        <is>
          <t>VÄSTERÅS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45019</v>
      </c>
      <c r="E113" s="1" t="n">
        <v>46323</v>
      </c>
      <c r="F113" t="inlineStr">
        <is>
          <t>VÄSTMANLANDS LÄN</t>
        </is>
      </c>
      <c r="G113" t="inlineStr">
        <is>
          <t>VÄSTERÅS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52015-2024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45607</v>
      </c>
      <c r="E114" s="1" t="n">
        <v>46323</v>
      </c>
      <c r="F114" t="inlineStr">
        <is>
          <t>VÄSTMANLANDS LÄN</t>
        </is>
      </c>
      <c r="G114" t="inlineStr">
        <is>
          <t>VÄSTERÅS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3118-2022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44582</v>
      </c>
      <c r="E115" s="1" t="n">
        <v>46323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Övriga Aktiebolag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46323</v>
      </c>
      <c r="F116" t="inlineStr">
        <is>
          <t>VÄSTMANLANDS LÄN</t>
        </is>
      </c>
      <c r="G116" t="inlineStr">
        <is>
          <t>VÄSTERÅS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45713</v>
      </c>
      <c r="E117" s="1" t="n">
        <v>46323</v>
      </c>
      <c r="F117" t="inlineStr">
        <is>
          <t>VÄSTMANLANDS LÄN</t>
        </is>
      </c>
      <c r="G117" t="inlineStr">
        <is>
          <t>VÄSTERÅS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45453</v>
      </c>
      <c r="E118" s="1" t="n">
        <v>46323</v>
      </c>
      <c r="F118" t="inlineStr">
        <is>
          <t>VÄSTMANLANDS LÄN</t>
        </is>
      </c>
      <c r="G118" t="inlineStr">
        <is>
          <t>VÄSTERÅS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15273-2024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45400</v>
      </c>
      <c r="E119" s="1" t="n">
        <v>46323</v>
      </c>
      <c r="F119" t="inlineStr">
        <is>
          <t>VÄSTMANLANDS LÄN</t>
        </is>
      </c>
      <c r="G119" t="inlineStr">
        <is>
          <t>VÄSTERÅS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45456</v>
      </c>
      <c r="E120" s="1" t="n">
        <v>46323</v>
      </c>
      <c r="F120" t="inlineStr">
        <is>
          <t>VÄSTMANLANDS LÄN</t>
        </is>
      </c>
      <c r="G120" t="inlineStr">
        <is>
          <t>VÄSTERÅS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45296</v>
      </c>
      <c r="E121" s="1" t="n">
        <v>46323</v>
      </c>
      <c r="F121" t="inlineStr">
        <is>
          <t>VÄSTMANLANDS LÄN</t>
        </is>
      </c>
      <c r="G121" t="inlineStr">
        <is>
          <t>VÄSTERÅS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46323</v>
      </c>
      <c r="F122" t="inlineStr">
        <is>
          <t>VÄSTMANLANDS LÄN</t>
        </is>
      </c>
      <c r="G122" t="inlineStr">
        <is>
          <t>VÄSTERÅS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7437-2025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45705</v>
      </c>
      <c r="E123" s="1" t="n">
        <v>46323</v>
      </c>
      <c r="F123" t="inlineStr">
        <is>
          <t>VÄSTMANLANDS LÄN</t>
        </is>
      </c>
      <c r="G123" t="inlineStr">
        <is>
          <t>VÄSTERÅS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45223</v>
      </c>
      <c r="E124" s="1" t="n">
        <v>46323</v>
      </c>
      <c r="F124" t="inlineStr">
        <is>
          <t>VÄSTMANLANDS LÄN</t>
        </is>
      </c>
      <c r="G124" t="inlineStr">
        <is>
          <t>VÄSTERÅS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46323</v>
      </c>
      <c r="F125" t="inlineStr">
        <is>
          <t>VÄSTMANLANDS LÄN</t>
        </is>
      </c>
      <c r="G125" t="inlineStr">
        <is>
          <t>VÄSTERÅS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49232-2024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45595</v>
      </c>
      <c r="E126" s="1" t="n">
        <v>46323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Övriga Aktiebolag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39127-2022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44816</v>
      </c>
      <c r="E127" s="1" t="n">
        <v>46323</v>
      </c>
      <c r="F127" t="inlineStr">
        <is>
          <t>VÄSTMANLANDS LÄN</t>
        </is>
      </c>
      <c r="G127" t="inlineStr">
        <is>
          <t>VÄSTERÅS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46323</v>
      </c>
      <c r="F128" t="inlineStr">
        <is>
          <t>VÄSTMANLANDS LÄN</t>
        </is>
      </c>
      <c r="G128" t="inlineStr">
        <is>
          <t>VÄSTERÅS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10225-2023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44986</v>
      </c>
      <c r="E129" s="1" t="n">
        <v>46323</v>
      </c>
      <c r="F129" t="inlineStr">
        <is>
          <t>VÄSTMANLANDS LÄN</t>
        </is>
      </c>
      <c r="G129" t="inlineStr">
        <is>
          <t>VÄSTERÅS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46156-2022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44847</v>
      </c>
      <c r="E130" s="1" t="n">
        <v>46323</v>
      </c>
      <c r="F130" t="inlineStr">
        <is>
          <t>VÄSTMANLANDS LÄN</t>
        </is>
      </c>
      <c r="G130" t="inlineStr">
        <is>
          <t>VÄSTERÅS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46323</v>
      </c>
      <c r="F131" t="inlineStr">
        <is>
          <t>VÄSTMANLANDS LÄN</t>
        </is>
      </c>
      <c r="G131" t="inlineStr">
        <is>
          <t>VÄSTERÅS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45083</v>
      </c>
      <c r="E132" s="1" t="n">
        <v>46323</v>
      </c>
      <c r="F132" t="inlineStr">
        <is>
          <t>VÄSTMANLANDS LÄN</t>
        </is>
      </c>
      <c r="G132" t="inlineStr">
        <is>
          <t>VÄSTERÅS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44695-2022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46323</v>
      </c>
      <c r="F133" t="inlineStr">
        <is>
          <t>VÄSTMANLANDS LÄN</t>
        </is>
      </c>
      <c r="G133" t="inlineStr">
        <is>
          <t>VÄSTERÅS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23641-2023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45077</v>
      </c>
      <c r="E134" s="1" t="n">
        <v>46323</v>
      </c>
      <c r="F134" t="inlineStr">
        <is>
          <t>VÄSTMANLANDS LÄN</t>
        </is>
      </c>
      <c r="G134" t="inlineStr">
        <is>
          <t>VÄSTERÅS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52569-2022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44874</v>
      </c>
      <c r="E135" s="1" t="n">
        <v>46323</v>
      </c>
      <c r="F135" t="inlineStr">
        <is>
          <t>VÄSTMANLANDS LÄN</t>
        </is>
      </c>
      <c r="G135" t="inlineStr">
        <is>
          <t>VÄSTERÅS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46323</v>
      </c>
      <c r="F136" t="inlineStr">
        <is>
          <t>VÄSTMANLANDS LÄN</t>
        </is>
      </c>
      <c r="G136" t="inlineStr">
        <is>
          <t>VÄSTERÅS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46323</v>
      </c>
      <c r="F137" t="inlineStr">
        <is>
          <t>VÄSTMANLANDS LÄN</t>
        </is>
      </c>
      <c r="G137" t="inlineStr">
        <is>
          <t>VÄSTERÅS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45019</v>
      </c>
      <c r="E138" s="1" t="n">
        <v>46323</v>
      </c>
      <c r="F138" t="inlineStr">
        <is>
          <t>VÄSTMANLANDS LÄN</t>
        </is>
      </c>
      <c r="G138" t="inlineStr">
        <is>
          <t>VÄSTERÅS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61069-2022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44908</v>
      </c>
      <c r="E139" s="1" t="n">
        <v>46323</v>
      </c>
      <c r="F139" t="inlineStr">
        <is>
          <t>VÄSTMANLANDS LÄN</t>
        </is>
      </c>
      <c r="G139" t="inlineStr">
        <is>
          <t>VÄSTERÅS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46323</v>
      </c>
      <c r="F140" t="inlineStr">
        <is>
          <t>VÄSTMANLANDS LÄN</t>
        </is>
      </c>
      <c r="G140" t="inlineStr">
        <is>
          <t>VÄSTERÅS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45735</v>
      </c>
      <c r="E141" s="1" t="n">
        <v>46323</v>
      </c>
      <c r="F141" t="inlineStr">
        <is>
          <t>VÄSTMANLANDS LÄN</t>
        </is>
      </c>
      <c r="G141" t="inlineStr">
        <is>
          <t>VÄSTERÅS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46323</v>
      </c>
      <c r="F142" t="inlineStr">
        <is>
          <t>VÄSTMANLANDS LÄN</t>
        </is>
      </c>
      <c r="G142" t="inlineStr">
        <is>
          <t>VÄSTERÅS</t>
        </is>
      </c>
      <c r="I142" t="n">
        <v>13.9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18482-2023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45042</v>
      </c>
      <c r="E143" s="1" t="n">
        <v>46323</v>
      </c>
      <c r="F143" t="inlineStr">
        <is>
          <t>VÄSTMANLANDS LÄN</t>
        </is>
      </c>
      <c r="G143" t="inlineStr">
        <is>
          <t>VÄSTERÅS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61258-2023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45264</v>
      </c>
      <c r="E144" s="1" t="n">
        <v>46323</v>
      </c>
      <c r="F144" t="inlineStr">
        <is>
          <t>VÄSTMANLANDS LÄN</t>
        </is>
      </c>
      <c r="G144" t="inlineStr">
        <is>
          <t>VÄSTERÅS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38538-2023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46323</v>
      </c>
      <c r="F145" t="inlineStr">
        <is>
          <t>VÄSTMANLANDS LÄN</t>
        </is>
      </c>
      <c r="G145" t="inlineStr">
        <is>
          <t>VÄSTERÅS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44893</v>
      </c>
      <c r="E146" s="1" t="n">
        <v>46323</v>
      </c>
      <c r="F146" t="inlineStr">
        <is>
          <t>VÄSTMANLANDS LÄN</t>
        </is>
      </c>
      <c r="G146" t="inlineStr">
        <is>
          <t>VÄSTERÅS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44874</v>
      </c>
      <c r="E147" s="1" t="n">
        <v>46323</v>
      </c>
      <c r="F147" t="inlineStr">
        <is>
          <t>VÄSTMANLANDS LÄN</t>
        </is>
      </c>
      <c r="G147" t="inlineStr">
        <is>
          <t>VÄSTERÅS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45378</v>
      </c>
      <c r="E148" s="1" t="n">
        <v>46323</v>
      </c>
      <c r="F148" t="inlineStr">
        <is>
          <t>VÄSTMANLANDS LÄN</t>
        </is>
      </c>
      <c r="G148" t="inlineStr">
        <is>
          <t>VÄSTERÅS</t>
        </is>
      </c>
      <c r="I148" t="n">
        <v>15.4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46323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statliga verk och myndigheter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45223</v>
      </c>
      <c r="E150" s="1" t="n">
        <v>46323</v>
      </c>
      <c r="F150" t="inlineStr">
        <is>
          <t>VÄSTMANLANDS LÄN</t>
        </is>
      </c>
      <c r="G150" t="inlineStr">
        <is>
          <t>VÄSTERÅS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44875</v>
      </c>
      <c r="E151" s="1" t="n">
        <v>46323</v>
      </c>
      <c r="F151" t="inlineStr">
        <is>
          <t>VÄSTMANLANDS LÄN</t>
        </is>
      </c>
      <c r="G151" t="inlineStr">
        <is>
          <t>VÄSTERÅS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70642-2021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46323</v>
      </c>
      <c r="F152" t="inlineStr">
        <is>
          <t>VÄSTMANLANDS LÄN</t>
        </is>
      </c>
      <c r="G152" t="inlineStr">
        <is>
          <t>VÄSTERÅS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46323</v>
      </c>
      <c r="F153" t="inlineStr">
        <is>
          <t>VÄSTMANLANDS LÄN</t>
        </is>
      </c>
      <c r="G153" t="inlineStr">
        <is>
          <t>VÄSTERÅS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46323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45279</v>
      </c>
      <c r="E155" s="1" t="n">
        <v>46323</v>
      </c>
      <c r="F155" t="inlineStr">
        <is>
          <t>VÄSTMANLANDS LÄN</t>
        </is>
      </c>
      <c r="G155" t="inlineStr">
        <is>
          <t>VÄSTERÅS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45222</v>
      </c>
      <c r="E156" s="1" t="n">
        <v>46323</v>
      </c>
      <c r="F156" t="inlineStr">
        <is>
          <t>VÄSTMANLANDS LÄN</t>
        </is>
      </c>
      <c r="G156" t="inlineStr">
        <is>
          <t>VÄSTERÅS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46323</v>
      </c>
      <c r="F157" t="inlineStr">
        <is>
          <t>VÄSTMANLANDS LÄN</t>
        </is>
      </c>
      <c r="G157" t="inlineStr">
        <is>
          <t>VÄSTERÅS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57873-2022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44899</v>
      </c>
      <c r="E158" s="1" t="n">
        <v>46323</v>
      </c>
      <c r="F158" t="inlineStr">
        <is>
          <t>VÄSTMANLANDS LÄN</t>
        </is>
      </c>
      <c r="G158" t="inlineStr">
        <is>
          <t>VÄSTERÅS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59765-2023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45257</v>
      </c>
      <c r="E159" s="1" t="n">
        <v>46323</v>
      </c>
      <c r="F159" t="inlineStr">
        <is>
          <t>VÄSTMANLANDS LÄN</t>
        </is>
      </c>
      <c r="G159" t="inlineStr">
        <is>
          <t>VÄSTERÅS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58231-2022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44901</v>
      </c>
      <c r="E160" s="1" t="n">
        <v>46323</v>
      </c>
      <c r="F160" t="inlineStr">
        <is>
          <t>VÄSTMANLANDS LÄN</t>
        </is>
      </c>
      <c r="G160" t="inlineStr">
        <is>
          <t>VÄSTERÅS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45366</v>
      </c>
      <c r="E161" s="1" t="n">
        <v>46323</v>
      </c>
      <c r="F161" t="inlineStr">
        <is>
          <t>VÄSTMANLANDS LÄN</t>
        </is>
      </c>
      <c r="G161" t="inlineStr">
        <is>
          <t>VÄSTERÅS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44914</v>
      </c>
      <c r="E162" s="1" t="n">
        <v>46323</v>
      </c>
      <c r="F162" t="inlineStr">
        <is>
          <t>VÄSTMANLANDS LÄN</t>
        </is>
      </c>
      <c r="G162" t="inlineStr">
        <is>
          <t>VÄSTERÅS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46323</v>
      </c>
      <c r="F163" t="inlineStr">
        <is>
          <t>VÄSTMANLANDS LÄN</t>
        </is>
      </c>
      <c r="G163" t="inlineStr">
        <is>
          <t>VÄSTERÅS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46323</v>
      </c>
      <c r="F164" t="inlineStr">
        <is>
          <t>VÄSTMANLANDS LÄN</t>
        </is>
      </c>
      <c r="G164" t="inlineStr">
        <is>
          <t>VÄSTERÅS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44936</v>
      </c>
      <c r="E165" s="1" t="n">
        <v>46323</v>
      </c>
      <c r="F165" t="inlineStr">
        <is>
          <t>VÄSTMANLANDS LÄN</t>
        </is>
      </c>
      <c r="G165" t="inlineStr">
        <is>
          <t>VÄSTERÅS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46323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Övriga statliga verk och myndigheter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73601-2021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44552</v>
      </c>
      <c r="E167" s="1" t="n">
        <v>46323</v>
      </c>
      <c r="F167" t="inlineStr">
        <is>
          <t>VÄSTMANLANDS LÄN</t>
        </is>
      </c>
      <c r="G167" t="inlineStr">
        <is>
          <t>VÄSTERÅS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45119</v>
      </c>
      <c r="E168" s="1" t="n">
        <v>46323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Sveaskog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44812</v>
      </c>
      <c r="E169" s="1" t="n">
        <v>46323</v>
      </c>
      <c r="F169" t="inlineStr">
        <is>
          <t>VÄSTMANLANDS LÄN</t>
        </is>
      </c>
      <c r="G169" t="inlineStr">
        <is>
          <t>VÄSTERÅS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45457</v>
      </c>
      <c r="E170" s="1" t="n">
        <v>46323</v>
      </c>
      <c r="F170" t="inlineStr">
        <is>
          <t>VÄSTMANLANDS LÄN</t>
        </is>
      </c>
      <c r="G170" t="inlineStr">
        <is>
          <t>VÄSTERÅS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35700-2024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45532</v>
      </c>
      <c r="E171" s="1" t="n">
        <v>46323</v>
      </c>
      <c r="F171" t="inlineStr">
        <is>
          <t>VÄSTMANLANDS LÄN</t>
        </is>
      </c>
      <c r="G171" t="inlineStr">
        <is>
          <t>VÄSTERÅS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46323</v>
      </c>
      <c r="F172" t="inlineStr">
        <is>
          <t>VÄSTMANLANDS LÄN</t>
        </is>
      </c>
      <c r="G172" t="inlineStr">
        <is>
          <t>VÄSTERÅS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44636</v>
      </c>
      <c r="E173" s="1" t="n">
        <v>46323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Kommuner</t>
        </is>
      </c>
      <c r="I173" t="n">
        <v>12.9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44636</v>
      </c>
      <c r="E174" s="1" t="n">
        <v>46323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Kommuner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74314-2021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44559</v>
      </c>
      <c r="E175" s="1" t="n">
        <v>46323</v>
      </c>
      <c r="F175" t="inlineStr">
        <is>
          <t>VÄSTMANLANDS LÄN</t>
        </is>
      </c>
      <c r="G175" t="inlineStr">
        <is>
          <t>VÄSTERÅS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44595</v>
      </c>
      <c r="E176" s="1" t="n">
        <v>46323</v>
      </c>
      <c r="F176" t="inlineStr">
        <is>
          <t>VÄSTMANLANDS LÄN</t>
        </is>
      </c>
      <c r="G176" t="inlineStr">
        <is>
          <t>VÄSTERÅS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45218</v>
      </c>
      <c r="E177" s="1" t="n">
        <v>46323</v>
      </c>
      <c r="F177" t="inlineStr">
        <is>
          <t>VÄSTMANLANDS LÄN</t>
        </is>
      </c>
      <c r="G177" t="inlineStr">
        <is>
          <t>VÄSTERÅS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17808-2023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45037</v>
      </c>
      <c r="E178" s="1" t="n">
        <v>46323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Sveaskog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46323</v>
      </c>
      <c r="F179" t="inlineStr">
        <is>
          <t>VÄSTMANLANDS LÄN</t>
        </is>
      </c>
      <c r="G179" t="inlineStr">
        <is>
          <t>VÄSTERÅS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12258-2022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44637</v>
      </c>
      <c r="E180" s="1" t="n">
        <v>46323</v>
      </c>
      <c r="F180" t="inlineStr">
        <is>
          <t>VÄSTMANLANDS LÄN</t>
        </is>
      </c>
      <c r="G180" t="inlineStr">
        <is>
          <t>VÄSTERÅS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16214-2023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45028</v>
      </c>
      <c r="E181" s="1" t="n">
        <v>46323</v>
      </c>
      <c r="F181" t="inlineStr">
        <is>
          <t>VÄSTMANLANDS LÄN</t>
        </is>
      </c>
      <c r="G181" t="inlineStr">
        <is>
          <t>VÄSTERÅS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45160</v>
      </c>
      <c r="E182" s="1" t="n">
        <v>46323</v>
      </c>
      <c r="F182" t="inlineStr">
        <is>
          <t>VÄSTMANLANDS LÄN</t>
        </is>
      </c>
      <c r="G182" t="inlineStr">
        <is>
          <t>VÄSTERÅS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44999</v>
      </c>
      <c r="E183" s="1" t="n">
        <v>46323</v>
      </c>
      <c r="F183" t="inlineStr">
        <is>
          <t>VÄSTMANLANDS LÄN</t>
        </is>
      </c>
      <c r="G183" t="inlineStr">
        <is>
          <t>VÄSTERÅS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44977</v>
      </c>
      <c r="E184" s="1" t="n">
        <v>46323</v>
      </c>
      <c r="F184" t="inlineStr">
        <is>
          <t>VÄSTMANLANDS LÄN</t>
        </is>
      </c>
      <c r="G184" t="inlineStr">
        <is>
          <t>VÄSTERÅS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22978-2022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44717</v>
      </c>
      <c r="E185" s="1" t="n">
        <v>46323</v>
      </c>
      <c r="F185" t="inlineStr">
        <is>
          <t>VÄSTMANLANDS LÄN</t>
        </is>
      </c>
      <c r="G185" t="inlineStr">
        <is>
          <t>VÄSTERÅS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46323</v>
      </c>
      <c r="F186" t="inlineStr">
        <is>
          <t>VÄSTMANLANDS LÄN</t>
        </is>
      </c>
      <c r="G186" t="inlineStr">
        <is>
          <t>VÄSTERÅS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46323</v>
      </c>
      <c r="F187" t="inlineStr">
        <is>
          <t>VÄSTMANLANDS LÄN</t>
        </is>
      </c>
      <c r="G187" t="inlineStr">
        <is>
          <t>VÄSTERÅS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44978</v>
      </c>
      <c r="E188" s="1" t="n">
        <v>46323</v>
      </c>
      <c r="F188" t="inlineStr">
        <is>
          <t>VÄSTMANLANDS LÄN</t>
        </is>
      </c>
      <c r="G188" t="inlineStr">
        <is>
          <t>VÄSTERÅS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46323</v>
      </c>
      <c r="F189" t="inlineStr">
        <is>
          <t>VÄSTMANLANDS LÄN</t>
        </is>
      </c>
      <c r="G189" t="inlineStr">
        <is>
          <t>VÄSTERÅS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44662</v>
      </c>
      <c r="E190" s="1" t="n">
        <v>46323</v>
      </c>
      <c r="F190" t="inlineStr">
        <is>
          <t>VÄSTMANLANDS LÄN</t>
        </is>
      </c>
      <c r="G190" t="inlineStr">
        <is>
          <t>VÄSTERÅS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45125</v>
      </c>
      <c r="E191" s="1" t="n">
        <v>46323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Sveaskog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59142-2025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46323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18465-2023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45042</v>
      </c>
      <c r="E193" s="1" t="n">
        <v>46323</v>
      </c>
      <c r="F193" t="inlineStr">
        <is>
          <t>VÄSTMANLANDS LÄN</t>
        </is>
      </c>
      <c r="G193" t="inlineStr">
        <is>
          <t>VÄSTERÅS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73994-2021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44556</v>
      </c>
      <c r="E194" s="1" t="n">
        <v>46323</v>
      </c>
      <c r="F194" t="inlineStr">
        <is>
          <t>VÄSTMANLANDS LÄN</t>
        </is>
      </c>
      <c r="G194" t="inlineStr">
        <is>
          <t>VÄSTERÅS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56902-2024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46323</v>
      </c>
      <c r="F195" t="inlineStr">
        <is>
          <t>VÄSTMANLANDS LÄN</t>
        </is>
      </c>
      <c r="G195" t="inlineStr">
        <is>
          <t>VÄSTERÅS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73597-2021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46323</v>
      </c>
      <c r="F196" t="inlineStr">
        <is>
          <t>VÄSTMANLANDS LÄN</t>
        </is>
      </c>
      <c r="G196" t="inlineStr">
        <is>
          <t>VÄSTERÅS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28341-2026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46323</v>
      </c>
      <c r="F197" t="inlineStr">
        <is>
          <t>VÄSTMANLANDS LÄN</t>
        </is>
      </c>
      <c r="G197" t="inlineStr">
        <is>
          <t>VÄSTERÅS</t>
        </is>
      </c>
      <c r="I197" t="n">
        <v>14.1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44645</v>
      </c>
      <c r="E198" s="1" t="n">
        <v>46323</v>
      </c>
      <c r="F198" t="inlineStr">
        <is>
          <t>VÄSTMANLANDS LÄN</t>
        </is>
      </c>
      <c r="G198" t="inlineStr">
        <is>
          <t>VÄSTERÅS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31618-2024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45506</v>
      </c>
      <c r="E199" s="1" t="n">
        <v>46323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Kommuner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67350-2021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44523</v>
      </c>
      <c r="E200" s="1" t="n">
        <v>46323</v>
      </c>
      <c r="F200" t="inlineStr">
        <is>
          <t>VÄSTMANLANDS LÄN</t>
        </is>
      </c>
      <c r="G200" t="inlineStr">
        <is>
          <t>VÄSTERÅS</t>
        </is>
      </c>
      <c r="H200" t="inlineStr">
        <is>
          <t>Övriga Aktiebolag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46030</v>
      </c>
      <c r="E201" s="1" t="n">
        <v>46323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Allmännings- och besparingsskogar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46323</v>
      </c>
      <c r="F202" t="inlineStr">
        <is>
          <t>VÄSTMANLANDS LÄN</t>
        </is>
      </c>
      <c r="G202" t="inlineStr">
        <is>
          <t>VÄSTERÅS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7378-2022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44606</v>
      </c>
      <c r="E203" s="1" t="n">
        <v>46323</v>
      </c>
      <c r="F203" t="inlineStr">
        <is>
          <t>VÄSTMANLANDS LÄN</t>
        </is>
      </c>
      <c r="G203" t="inlineStr">
        <is>
          <t>VÄSTERÅS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45169</v>
      </c>
      <c r="E204" s="1" t="n">
        <v>46323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44623</v>
      </c>
      <c r="E205" s="1" t="n">
        <v>46323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44658</v>
      </c>
      <c r="E206" s="1" t="n">
        <v>46323</v>
      </c>
      <c r="F206" t="inlineStr">
        <is>
          <t>VÄSTMANLANDS LÄN</t>
        </is>
      </c>
      <c r="G206" t="inlineStr">
        <is>
          <t>VÄSTERÅS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11983-2022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44635</v>
      </c>
      <c r="E207" s="1" t="n">
        <v>46323</v>
      </c>
      <c r="F207" t="inlineStr">
        <is>
          <t>VÄSTMANLANDS LÄN</t>
        </is>
      </c>
      <c r="G207" t="inlineStr">
        <is>
          <t>VÄSTERÅS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11989-2022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44635</v>
      </c>
      <c r="E208" s="1" t="n">
        <v>46323</v>
      </c>
      <c r="F208" t="inlineStr">
        <is>
          <t>VÄSTMANLANDS LÄN</t>
        </is>
      </c>
      <c r="G208" t="inlineStr">
        <is>
          <t>VÄSTERÅS</t>
        </is>
      </c>
      <c r="I208" t="n">
        <v>12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44610</v>
      </c>
      <c r="E209" s="1" t="n">
        <v>46323</v>
      </c>
      <c r="F209" t="inlineStr">
        <is>
          <t>VÄSTMANLANDS LÄN</t>
        </is>
      </c>
      <c r="G209" t="inlineStr">
        <is>
          <t>VÄSTERÅS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11950-2022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44635</v>
      </c>
      <c r="E210" s="1" t="n">
        <v>46323</v>
      </c>
      <c r="F210" t="inlineStr">
        <is>
          <t>VÄSTMANLANDS LÄN</t>
        </is>
      </c>
      <c r="G210" t="inlineStr">
        <is>
          <t>VÄSTERÅS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45545</v>
      </c>
      <c r="E211" s="1" t="n">
        <v>46323</v>
      </c>
      <c r="F211" t="inlineStr">
        <is>
          <t>VÄSTMANLANDS LÄN</t>
        </is>
      </c>
      <c r="G211" t="inlineStr">
        <is>
          <t>VÄSTERÅS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44708</v>
      </c>
      <c r="E212" s="1" t="n">
        <v>46323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45705</v>
      </c>
      <c r="E213" s="1" t="n">
        <v>46323</v>
      </c>
      <c r="F213" t="inlineStr">
        <is>
          <t>VÄSTMANLANDS LÄN</t>
        </is>
      </c>
      <c r="G213" t="inlineStr">
        <is>
          <t>VÄSTERÅS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31058-2026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46215</v>
      </c>
      <c r="E214" s="1" t="n">
        <v>46323</v>
      </c>
      <c r="F214" t="inlineStr">
        <is>
          <t>VÄSTMANLANDS LÄN</t>
        </is>
      </c>
      <c r="G214" t="inlineStr">
        <is>
          <t>VÄSTERÅS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46215</v>
      </c>
      <c r="E215" s="1" t="n">
        <v>46323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31623-2024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45506</v>
      </c>
      <c r="E216" s="1" t="n">
        <v>46323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Kommuner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46217</v>
      </c>
      <c r="E217" s="1" t="n">
        <v>46323</v>
      </c>
      <c r="F217" t="inlineStr">
        <is>
          <t>VÄSTMANLANDS LÄN</t>
        </is>
      </c>
      <c r="G217" t="inlineStr">
        <is>
          <t>VÄSTERÅS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45180</v>
      </c>
      <c r="E218" s="1" t="n">
        <v>46323</v>
      </c>
      <c r="F218" t="inlineStr">
        <is>
          <t>VÄSTMANLANDS LÄN</t>
        </is>
      </c>
      <c r="G218" t="inlineStr">
        <is>
          <t>VÄSTERÅS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26743-2026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46323</v>
      </c>
      <c r="F219" t="inlineStr">
        <is>
          <t>VÄSTMANLANDS LÄN</t>
        </is>
      </c>
      <c r="G219" t="inlineStr">
        <is>
          <t>VÄSTERÅS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45798</v>
      </c>
      <c r="E220" s="1" t="n">
        <v>46323</v>
      </c>
      <c r="F220" t="inlineStr">
        <is>
          <t>VÄSTMANLANDS LÄN</t>
        </is>
      </c>
      <c r="G220" t="inlineStr">
        <is>
          <t>VÄSTERÅS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44680</v>
      </c>
      <c r="E221" s="1" t="n">
        <v>46323</v>
      </c>
      <c r="F221" t="inlineStr">
        <is>
          <t>VÄSTMANLANDS LÄN</t>
        </is>
      </c>
      <c r="G221" t="inlineStr">
        <is>
          <t>VÄSTERÅS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46323</v>
      </c>
      <c r="F222" t="inlineStr">
        <is>
          <t>VÄSTMANLANDS LÄN</t>
        </is>
      </c>
      <c r="G222" t="inlineStr">
        <is>
          <t>VÄSTERÅS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27722-2022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44743</v>
      </c>
      <c r="E223" s="1" t="n">
        <v>46323</v>
      </c>
      <c r="F223" t="inlineStr">
        <is>
          <t>VÄSTMANLANDS LÄN</t>
        </is>
      </c>
      <c r="G223" t="inlineStr">
        <is>
          <t>VÄSTERÅS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36641-2023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46323</v>
      </c>
      <c r="F224" t="inlineStr">
        <is>
          <t>VÄSTMANLANDS LÄN</t>
        </is>
      </c>
      <c r="G224" t="inlineStr">
        <is>
          <t>VÄSTERÅS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46323</v>
      </c>
      <c r="F225" t="inlineStr">
        <is>
          <t>VÄSTMANLANDS LÄN</t>
        </is>
      </c>
      <c r="G225" t="inlineStr">
        <is>
          <t>VÄSTERÅS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44664</v>
      </c>
      <c r="E226" s="1" t="n">
        <v>46323</v>
      </c>
      <c r="F226" t="inlineStr">
        <is>
          <t>VÄSTMANLANDS LÄN</t>
        </is>
      </c>
      <c r="G226" t="inlineStr">
        <is>
          <t>VÄSTERÅS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8871-2026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46323</v>
      </c>
      <c r="F227" t="inlineStr">
        <is>
          <t>VÄSTMANLANDS LÄN</t>
        </is>
      </c>
      <c r="G227" t="inlineStr">
        <is>
          <t>VÄSTERÅS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8870-2026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46323</v>
      </c>
      <c r="F228" t="inlineStr">
        <is>
          <t>VÄSTMANLANDS LÄN</t>
        </is>
      </c>
      <c r="G228" t="inlineStr">
        <is>
          <t>VÄSTERÅS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46059</v>
      </c>
      <c r="E229" s="1" t="n">
        <v>46323</v>
      </c>
      <c r="F229" t="inlineStr">
        <is>
          <t>VÄSTMANLANDS LÄN</t>
        </is>
      </c>
      <c r="G229" t="inlineStr">
        <is>
          <t>VÄSTERÅS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7797-2026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46062</v>
      </c>
      <c r="E230" s="1" t="n">
        <v>46323</v>
      </c>
      <c r="F230" t="inlineStr">
        <is>
          <t>VÄSTMANLANDS LÄN</t>
        </is>
      </c>
      <c r="G230" t="inlineStr">
        <is>
          <t>VÄSTERÅS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51230-2023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45219</v>
      </c>
      <c r="E231" s="1" t="n">
        <v>46323</v>
      </c>
      <c r="F231" t="inlineStr">
        <is>
          <t>VÄSTMANLANDS LÄN</t>
        </is>
      </c>
      <c r="G231" t="inlineStr">
        <is>
          <t>VÄSTERÅS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23765-2022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44722</v>
      </c>
      <c r="E232" s="1" t="n">
        <v>46323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Sveaskog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26556-2022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44739</v>
      </c>
      <c r="E233" s="1" t="n">
        <v>46323</v>
      </c>
      <c r="F233" t="inlineStr">
        <is>
          <t>VÄSTMANLANDS LÄN</t>
        </is>
      </c>
      <c r="G233" t="inlineStr">
        <is>
          <t>VÄSTERÅS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64202-2023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45279</v>
      </c>
      <c r="E234" s="1" t="n">
        <v>46323</v>
      </c>
      <c r="F234" t="inlineStr">
        <is>
          <t>VÄSTMANLANDS LÄN</t>
        </is>
      </c>
      <c r="G234" t="inlineStr">
        <is>
          <t>VÄSTERÅS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64793-2023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45282</v>
      </c>
      <c r="E235" s="1" t="n">
        <v>46323</v>
      </c>
      <c r="F235" t="inlineStr">
        <is>
          <t>VÄSTMANLANDS LÄN</t>
        </is>
      </c>
      <c r="G235" t="inlineStr">
        <is>
          <t>VÄSTERÅS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46323</v>
      </c>
      <c r="F236" t="inlineStr">
        <is>
          <t>VÄSTMANLANDS LÄN</t>
        </is>
      </c>
      <c r="G236" t="inlineStr">
        <is>
          <t>VÄSTERÅS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52027-2025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45952</v>
      </c>
      <c r="E237" s="1" t="n">
        <v>46323</v>
      </c>
      <c r="F237" t="inlineStr">
        <is>
          <t>VÄSTMANLANDS LÄN</t>
        </is>
      </c>
      <c r="G237" t="inlineStr">
        <is>
          <t>VÄSTERÅS</t>
        </is>
      </c>
      <c r="H237" t="inlineStr">
        <is>
          <t>Övriga statliga verk och myndigheter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46323</v>
      </c>
      <c r="F238" t="inlineStr">
        <is>
          <t>VÄSTMANLANDS LÄN</t>
        </is>
      </c>
      <c r="G238" t="inlineStr">
        <is>
          <t>VÄSTERÅS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11520-2026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46323</v>
      </c>
      <c r="F239" t="inlineStr">
        <is>
          <t>VÄSTMANLANDS LÄN</t>
        </is>
      </c>
      <c r="G239" t="inlineStr">
        <is>
          <t>VÄSTERÅS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10870-2026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46078</v>
      </c>
      <c r="E240" s="1" t="n">
        <v>46323</v>
      </c>
      <c r="F240" t="inlineStr">
        <is>
          <t>VÄSTMANLANDS LÄN</t>
        </is>
      </c>
      <c r="G240" t="inlineStr">
        <is>
          <t>VÄSTERÅS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13614-2022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44648</v>
      </c>
      <c r="E241" s="1" t="n">
        <v>46323</v>
      </c>
      <c r="F241" t="inlineStr">
        <is>
          <t>VÄSTMANLANDS LÄN</t>
        </is>
      </c>
      <c r="G241" t="inlineStr">
        <is>
          <t>VÄSTERÅS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44594</v>
      </c>
      <c r="E242" s="1" t="n">
        <v>46323</v>
      </c>
      <c r="F242" t="inlineStr">
        <is>
          <t>VÄSTMANLANDS LÄN</t>
        </is>
      </c>
      <c r="G242" t="inlineStr">
        <is>
          <t>VÄSTERÅS</t>
        </is>
      </c>
      <c r="I242" t="n">
        <v>20.3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11739-2026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46323</v>
      </c>
      <c r="F243" t="inlineStr">
        <is>
          <t>VÄSTMANLANDS LÄN</t>
        </is>
      </c>
      <c r="G243" t="inlineStr">
        <is>
          <t>VÄSTERÅS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46116-2022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44847</v>
      </c>
      <c r="E244" s="1" t="n">
        <v>46323</v>
      </c>
      <c r="F244" t="inlineStr">
        <is>
          <t>VÄSTMANLANDS LÄN</t>
        </is>
      </c>
      <c r="G244" t="inlineStr">
        <is>
          <t>VÄSTERÅS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44961</v>
      </c>
      <c r="E245" s="1" t="n">
        <v>46323</v>
      </c>
      <c r="F245" t="inlineStr">
        <is>
          <t>VÄSTMANLANDS LÄN</t>
        </is>
      </c>
      <c r="G245" t="inlineStr">
        <is>
          <t>VÄSTERÅS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46290</v>
      </c>
      <c r="E246" s="1" t="n">
        <v>46323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46290</v>
      </c>
      <c r="E247" s="1" t="n">
        <v>46323</v>
      </c>
      <c r="F247" t="inlineStr">
        <is>
          <t>VÄSTMANLANDS LÄN</t>
        </is>
      </c>
      <c r="G247" t="inlineStr">
        <is>
          <t>VÄSTERÅS</t>
        </is>
      </c>
      <c r="H247" t="inlineStr">
        <is>
          <t>Sveaskog</t>
        </is>
      </c>
      <c r="I247" t="n">
        <v>12.2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39557-2026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46289</v>
      </c>
      <c r="E248" s="1" t="n">
        <v>46323</v>
      </c>
      <c r="F248" t="inlineStr">
        <is>
          <t>VÄSTMANLANDS LÄN</t>
        </is>
      </c>
      <c r="G248" t="inlineStr">
        <is>
          <t>VÄSTERÅS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39556-2026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46289</v>
      </c>
      <c r="E249" s="1" t="n">
        <v>46323</v>
      </c>
      <c r="F249" t="inlineStr">
        <is>
          <t>VÄSTMANLANDS LÄN</t>
        </is>
      </c>
      <c r="G249" t="inlineStr">
        <is>
          <t>VÄSTERÅS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46290</v>
      </c>
      <c r="E250" s="1" t="n">
        <v>46323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67352-2021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44523</v>
      </c>
      <c r="E251" s="1" t="n">
        <v>46323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Övriga Aktiebolag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44671</v>
      </c>
      <c r="E252" s="1" t="n">
        <v>46323</v>
      </c>
      <c r="F252" t="inlineStr">
        <is>
          <t>VÄSTMANLANDS LÄN</t>
        </is>
      </c>
      <c r="G252" t="inlineStr">
        <is>
          <t>VÄSTERÅS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14885-2026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46323</v>
      </c>
      <c r="F253" t="inlineStr">
        <is>
          <t>VÄSTMANLANDS LÄN</t>
        </is>
      </c>
      <c r="G253" t="inlineStr">
        <is>
          <t>VÄSTERÅS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22700-2024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45448</v>
      </c>
      <c r="E254" s="1" t="n">
        <v>46323</v>
      </c>
      <c r="F254" t="inlineStr">
        <is>
          <t>VÄSTMANLANDS LÄN</t>
        </is>
      </c>
      <c r="G254" t="inlineStr">
        <is>
          <t>VÄSTERÅS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39017-2026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46287</v>
      </c>
      <c r="E255" s="1" t="n">
        <v>46323</v>
      </c>
      <c r="F255" t="inlineStr">
        <is>
          <t>VÄSTMANLANDS LÄN</t>
        </is>
      </c>
      <c r="G255" t="inlineStr">
        <is>
          <t>VÄSTERÅS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46112</v>
      </c>
      <c r="E256" s="1" t="n">
        <v>46323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16671-2026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46112</v>
      </c>
      <c r="E257" s="1" t="n">
        <v>46323</v>
      </c>
      <c r="F257" t="inlineStr">
        <is>
          <t>VÄSTMANLANDS LÄN</t>
        </is>
      </c>
      <c r="G257" t="inlineStr">
        <is>
          <t>VÄSTERÅS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16685-2026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46112</v>
      </c>
      <c r="E258" s="1" t="n">
        <v>46323</v>
      </c>
      <c r="F258" t="inlineStr">
        <is>
          <t>VÄSTMANLANDS LÄN</t>
        </is>
      </c>
      <c r="G258" t="inlineStr">
        <is>
          <t>VÄSTERÅS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16579-2026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46112</v>
      </c>
      <c r="E259" s="1" t="n">
        <v>46323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Sveaskog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46112</v>
      </c>
      <c r="E260" s="1" t="n">
        <v>46323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14926-2022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44657</v>
      </c>
      <c r="E261" s="1" t="n">
        <v>46323</v>
      </c>
      <c r="F261" t="inlineStr">
        <is>
          <t>VÄSTMANLANDS LÄN</t>
        </is>
      </c>
      <c r="G261" t="inlineStr">
        <is>
          <t>VÄSTERÅS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46323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Kommuner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17499-2026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46120</v>
      </c>
      <c r="E263" s="1" t="n">
        <v>46323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Allmännings- och besparingsskogar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29746-2022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44755</v>
      </c>
      <c r="E264" s="1" t="n">
        <v>46323</v>
      </c>
      <c r="F264" t="inlineStr">
        <is>
          <t>VÄSTMANLANDS LÄN</t>
        </is>
      </c>
      <c r="G264" t="inlineStr">
        <is>
          <t>VÄSTERÅS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11137-2023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44987</v>
      </c>
      <c r="E265" s="1" t="n">
        <v>46323</v>
      </c>
      <c r="F265" t="inlineStr">
        <is>
          <t>VÄSTMANLANDS LÄN</t>
        </is>
      </c>
      <c r="G265" t="inlineStr">
        <is>
          <t>VÄSTERÅS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45019</v>
      </c>
      <c r="E266" s="1" t="n">
        <v>46323</v>
      </c>
      <c r="F266" t="inlineStr">
        <is>
          <t>VÄSTMANLANDS LÄN</t>
        </is>
      </c>
      <c r="G266" t="inlineStr">
        <is>
          <t>VÄSTERÅS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8346-2022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44610</v>
      </c>
      <c r="E267" s="1" t="n">
        <v>46323</v>
      </c>
      <c r="F267" t="inlineStr">
        <is>
          <t>VÄSTMANLANDS LÄN</t>
        </is>
      </c>
      <c r="G267" t="inlineStr">
        <is>
          <t>VÄSTERÅS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46080</v>
      </c>
      <c r="E268" s="1" t="n">
        <v>46323</v>
      </c>
      <c r="F268" t="inlineStr">
        <is>
          <t>VÄSTMANLANDS LÄN</t>
        </is>
      </c>
      <c r="G268" t="inlineStr">
        <is>
          <t>VÄSTERÅS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21926-2024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45443</v>
      </c>
      <c r="E269" s="1" t="n">
        <v>46323</v>
      </c>
      <c r="F269" t="inlineStr">
        <is>
          <t>VÄSTMANLANDS LÄN</t>
        </is>
      </c>
      <c r="G269" t="inlineStr">
        <is>
          <t>VÄSTERÅS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31055-2026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46215</v>
      </c>
      <c r="E270" s="1" t="n">
        <v>46323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Sveaskog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22832-2023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45072</v>
      </c>
      <c r="E271" s="1" t="n">
        <v>46323</v>
      </c>
      <c r="F271" t="inlineStr">
        <is>
          <t>VÄSTMANLANDS LÄN</t>
        </is>
      </c>
      <c r="G271" t="inlineStr">
        <is>
          <t>VÄSTERÅS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56076-2023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45235</v>
      </c>
      <c r="E272" s="1" t="n">
        <v>46323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Övriga Aktiebolag</t>
        </is>
      </c>
      <c r="I272" t="n">
        <v>37.8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45553</v>
      </c>
      <c r="E273" s="1" t="n">
        <v>46323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Kyrkan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50996-2024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45603</v>
      </c>
      <c r="E274" s="1" t="n">
        <v>46323</v>
      </c>
      <c r="F274" t="inlineStr">
        <is>
          <t>VÄSTMANLANDS LÄN</t>
        </is>
      </c>
      <c r="G274" t="inlineStr">
        <is>
          <t>VÄSTERÅS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45804-2024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45579</v>
      </c>
      <c r="E275" s="1" t="n">
        <v>46323</v>
      </c>
      <c r="F275" t="inlineStr">
        <is>
          <t>VÄSTMANLANDS LÄN</t>
        </is>
      </c>
      <c r="G275" t="inlineStr">
        <is>
          <t>VÄSTERÅS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11325-2026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46080</v>
      </c>
      <c r="E276" s="1" t="n">
        <v>46323</v>
      </c>
      <c r="F276" t="inlineStr">
        <is>
          <t>VÄSTMANLANDS LÄN</t>
        </is>
      </c>
      <c r="G276" t="inlineStr">
        <is>
          <t>VÄSTERÅS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44600</v>
      </c>
      <c r="E277" s="1" t="n">
        <v>46323</v>
      </c>
      <c r="F277" t="inlineStr">
        <is>
          <t>VÄSTMANLANDS LÄN</t>
        </is>
      </c>
      <c r="G277" t="inlineStr">
        <is>
          <t>VÄSTERÅS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45110</v>
      </c>
      <c r="E278" s="1" t="n">
        <v>46323</v>
      </c>
      <c r="F278" t="inlineStr">
        <is>
          <t>VÄSTMANLANDS LÄN</t>
        </is>
      </c>
      <c r="G278" t="inlineStr">
        <is>
          <t>VÄSTERÅS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51004-2024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46323</v>
      </c>
      <c r="F279" t="inlineStr">
        <is>
          <t>VÄSTMANLANDS LÄN</t>
        </is>
      </c>
      <c r="G279" t="inlineStr">
        <is>
          <t>VÄSTERÅS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61249-2021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44498</v>
      </c>
      <c r="E280" s="1" t="n">
        <v>46323</v>
      </c>
      <c r="F280" t="inlineStr">
        <is>
          <t>VÄSTMANLANDS LÄN</t>
        </is>
      </c>
      <c r="G280" t="inlineStr">
        <is>
          <t>VÄSTERÅS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46303</v>
      </c>
      <c r="E281" s="1" t="n">
        <v>46323</v>
      </c>
      <c r="F281" t="inlineStr">
        <is>
          <t>VÄSTMANLANDS LÄN</t>
        </is>
      </c>
      <c r="G281" t="inlineStr">
        <is>
          <t>VÄSTERÅS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41987-2026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46303</v>
      </c>
      <c r="E282" s="1" t="n">
        <v>46323</v>
      </c>
      <c r="F282" t="inlineStr">
        <is>
          <t>VÄSTMANLANDS LÄN</t>
        </is>
      </c>
      <c r="G282" t="inlineStr">
        <is>
          <t>VÄSTERÅS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41988-2026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46303</v>
      </c>
      <c r="E283" s="1" t="n">
        <v>46323</v>
      </c>
      <c r="F283" t="inlineStr">
        <is>
          <t>VÄSTMANLANDS LÄN</t>
        </is>
      </c>
      <c r="G283" t="inlineStr">
        <is>
          <t>VÄSTERÅS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8727-2023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44978</v>
      </c>
      <c r="E284" s="1" t="n">
        <v>46323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Kyrkan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46303</v>
      </c>
      <c r="E285" s="1" t="n">
        <v>46323</v>
      </c>
      <c r="F285" t="inlineStr">
        <is>
          <t>VÄSTMANLANDS LÄN</t>
        </is>
      </c>
      <c r="G285" t="inlineStr">
        <is>
          <t>VÄSTERÅS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47101-2025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45929</v>
      </c>
      <c r="E286" s="1" t="n">
        <v>46323</v>
      </c>
      <c r="F286" t="inlineStr">
        <is>
          <t>VÄSTMANLANDS LÄN</t>
        </is>
      </c>
      <c r="G286" t="inlineStr">
        <is>
          <t>VÄSTERÅS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46215</v>
      </c>
      <c r="E287" s="1" t="n">
        <v>46323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19927-2026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46136</v>
      </c>
      <c r="E288" s="1" t="n">
        <v>46323</v>
      </c>
      <c r="F288" t="inlineStr">
        <is>
          <t>VÄSTMANLANDS LÄN</t>
        </is>
      </c>
      <c r="G288" t="inlineStr">
        <is>
          <t>VÄSTERÅS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35682-2026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46265</v>
      </c>
      <c r="E289" s="1" t="n">
        <v>46323</v>
      </c>
      <c r="F289" t="inlineStr">
        <is>
          <t>VÄSTMANLANDS LÄN</t>
        </is>
      </c>
      <c r="G289" t="inlineStr">
        <is>
          <t>VÄSTERÅS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46215</v>
      </c>
      <c r="E290" s="1" t="n">
        <v>46323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Sveaskog</t>
        </is>
      </c>
      <c r="I290" t="n">
        <v>9.800000000000001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46323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58577-2023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45251</v>
      </c>
      <c r="E292" s="1" t="n">
        <v>46323</v>
      </c>
      <c r="F292" t="inlineStr">
        <is>
          <t>VÄSTMANLANDS LÄN</t>
        </is>
      </c>
      <c r="G292" t="inlineStr">
        <is>
          <t>VÄSTERÅS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44659</v>
      </c>
      <c r="E293" s="1" t="n">
        <v>46323</v>
      </c>
      <c r="F293" t="inlineStr">
        <is>
          <t>VÄSTMANLANDS LÄN</t>
        </is>
      </c>
      <c r="G293" t="inlineStr">
        <is>
          <t>VÄSTERÅS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45281</v>
      </c>
      <c r="E294" s="1" t="n">
        <v>46323</v>
      </c>
      <c r="F294" t="inlineStr">
        <is>
          <t>VÄSTMANLANDS LÄN</t>
        </is>
      </c>
      <c r="G294" t="inlineStr">
        <is>
          <t>VÄSTERÅS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44574</v>
      </c>
      <c r="E295" s="1" t="n">
        <v>46323</v>
      </c>
      <c r="F295" t="inlineStr">
        <is>
          <t>VÄSTMANLANDS LÄN</t>
        </is>
      </c>
      <c r="G295" t="inlineStr">
        <is>
          <t>VÄSTERÅS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46323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14851-2024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45398</v>
      </c>
      <c r="E297" s="1" t="n">
        <v>46323</v>
      </c>
      <c r="F297" t="inlineStr">
        <is>
          <t>VÄSTMANLANDS LÄN</t>
        </is>
      </c>
      <c r="G297" t="inlineStr">
        <is>
          <t>VÄSTERÅS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32350-2023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45110</v>
      </c>
      <c r="E298" s="1" t="n">
        <v>46323</v>
      </c>
      <c r="F298" t="inlineStr">
        <is>
          <t>VÄSTMANLANDS LÄN</t>
        </is>
      </c>
      <c r="G298" t="inlineStr">
        <is>
          <t>VÄSTERÅS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36650-2026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46272</v>
      </c>
      <c r="E299" s="1" t="n">
        <v>46323</v>
      </c>
      <c r="F299" t="inlineStr">
        <is>
          <t>VÄSTMANLANDS LÄN</t>
        </is>
      </c>
      <c r="G299" t="inlineStr">
        <is>
          <t>VÄSTERÅS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55684-2023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45232</v>
      </c>
      <c r="E300" s="1" t="n">
        <v>46323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Övriga Aktiebolag</t>
        </is>
      </c>
      <c r="I300" t="n">
        <v>29.4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39810-2024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45553</v>
      </c>
      <c r="E301" s="1" t="n">
        <v>46323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Kyrkan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46274</v>
      </c>
      <c r="E302" s="1" t="n">
        <v>46323</v>
      </c>
      <c r="F302" t="inlineStr">
        <is>
          <t>VÄSTMANLANDS LÄN</t>
        </is>
      </c>
      <c r="G302" t="inlineStr">
        <is>
          <t>VÄSTERÅS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46274</v>
      </c>
      <c r="E303" s="1" t="n">
        <v>46323</v>
      </c>
      <c r="F303" t="inlineStr">
        <is>
          <t>VÄSTMANLANDS LÄN</t>
        </is>
      </c>
      <c r="G303" t="inlineStr">
        <is>
          <t>VÄSTERÅS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31569-2025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45833</v>
      </c>
      <c r="E304" s="1" t="n">
        <v>46323</v>
      </c>
      <c r="F304" t="inlineStr">
        <is>
          <t>VÄSTMANLANDS LÄN</t>
        </is>
      </c>
      <c r="G304" t="inlineStr">
        <is>
          <t>VÄSTERÅS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46154</v>
      </c>
      <c r="E305" s="1" t="n">
        <v>46323</v>
      </c>
      <c r="F305" t="inlineStr">
        <is>
          <t>VÄSTMANLANDS LÄN</t>
        </is>
      </c>
      <c r="G305" t="inlineStr">
        <is>
          <t>VÄSTERÅS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44679-2026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46322</v>
      </c>
      <c r="E306" s="1" t="n">
        <v>46323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Sveaskog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46322</v>
      </c>
      <c r="E307" s="1" t="n">
        <v>46323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22370-2026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46154</v>
      </c>
      <c r="E308" s="1" t="n">
        <v>46323</v>
      </c>
      <c r="F308" t="inlineStr">
        <is>
          <t>VÄSTMANLANDS LÄN</t>
        </is>
      </c>
      <c r="G308" t="inlineStr">
        <is>
          <t>VÄSTERÅS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44682-2026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46322</v>
      </c>
      <c r="E309" s="1" t="n">
        <v>46323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32851-2024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45516</v>
      </c>
      <c r="E310" s="1" t="n">
        <v>46323</v>
      </c>
      <c r="F310" t="inlineStr">
        <is>
          <t>VÄSTMANLANDS LÄN</t>
        </is>
      </c>
      <c r="G310" t="inlineStr">
        <is>
          <t>VÄSTERÅS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53833-2022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44880</v>
      </c>
      <c r="E311" s="1" t="n">
        <v>46323</v>
      </c>
      <c r="F311" t="inlineStr">
        <is>
          <t>VÄSTMANLANDS LÄN</t>
        </is>
      </c>
      <c r="G311" t="inlineStr">
        <is>
          <t>VÄSTERÅS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53836-2022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44880</v>
      </c>
      <c r="E312" s="1" t="n">
        <v>46323</v>
      </c>
      <c r="F312" t="inlineStr">
        <is>
          <t>VÄSTMANLANDS LÄN</t>
        </is>
      </c>
      <c r="G312" t="inlineStr">
        <is>
          <t>VÄSTERÅS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45833</v>
      </c>
      <c r="E313" s="1" t="n">
        <v>46323</v>
      </c>
      <c r="F313" t="inlineStr">
        <is>
          <t>VÄSTMANLANDS LÄN</t>
        </is>
      </c>
      <c r="G313" t="inlineStr">
        <is>
          <t>VÄSTERÅS</t>
        </is>
      </c>
      <c r="I313" t="n">
        <v>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31578-2025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46323</v>
      </c>
      <c r="F314" t="inlineStr">
        <is>
          <t>VÄSTMANLANDS LÄN</t>
        </is>
      </c>
      <c r="G314" t="inlineStr">
        <is>
          <t>VÄSTERÅS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45761</v>
      </c>
      <c r="E315" s="1" t="n">
        <v>46323</v>
      </c>
      <c r="F315" t="inlineStr">
        <is>
          <t>VÄSTMANLANDS LÄN</t>
        </is>
      </c>
      <c r="G315" t="inlineStr">
        <is>
          <t>VÄSTERÅS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23347-2026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46162</v>
      </c>
      <c r="E316" s="1" t="n">
        <v>46323</v>
      </c>
      <c r="F316" t="inlineStr">
        <is>
          <t>VÄSTMANLANDS LÄN</t>
        </is>
      </c>
      <c r="G316" t="inlineStr">
        <is>
          <t>VÄSTERÅS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23497-2026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46323</v>
      </c>
      <c r="F317" t="inlineStr">
        <is>
          <t>VÄSTMANLANDS LÄN</t>
        </is>
      </c>
      <c r="G317" t="inlineStr">
        <is>
          <t>VÄSTERÅS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24262-2026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46323</v>
      </c>
      <c r="F318" t="inlineStr">
        <is>
          <t>VÄSTMANLANDS LÄN</t>
        </is>
      </c>
      <c r="G318" t="inlineStr">
        <is>
          <t>VÄSTERÅS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24266-2026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46169</v>
      </c>
      <c r="E319" s="1" t="n">
        <v>46323</v>
      </c>
      <c r="F319" t="inlineStr">
        <is>
          <t>VÄSTMANLANDS LÄN</t>
        </is>
      </c>
      <c r="G319" t="inlineStr">
        <is>
          <t>VÄSTERÅS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46169</v>
      </c>
      <c r="E320" s="1" t="n">
        <v>46323</v>
      </c>
      <c r="F320" t="inlineStr">
        <is>
          <t>VÄSTMANLANDS LÄN</t>
        </is>
      </c>
      <c r="G320" t="inlineStr">
        <is>
          <t>VÄSTERÅS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46169</v>
      </c>
      <c r="E321" s="1" t="n">
        <v>46323</v>
      </c>
      <c r="F321" t="inlineStr">
        <is>
          <t>VÄSTMANLANDS LÄN</t>
        </is>
      </c>
      <c r="G321" t="inlineStr">
        <is>
          <t>VÄSTERÅS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63483-2023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45274</v>
      </c>
      <c r="E322" s="1" t="n">
        <v>46323</v>
      </c>
      <c r="F322" t="inlineStr">
        <is>
          <t>VÄSTMANLANDS LÄN</t>
        </is>
      </c>
      <c r="G322" t="inlineStr">
        <is>
          <t>VÄSTERÅS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46323</v>
      </c>
      <c r="F323" t="inlineStr">
        <is>
          <t>VÄSTMANLANDS LÄN</t>
        </is>
      </c>
      <c r="G323" t="inlineStr">
        <is>
          <t>VÄSTERÅS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46323</v>
      </c>
      <c r="F324" t="inlineStr">
        <is>
          <t>VÄSTMANLANDS LÄN</t>
        </is>
      </c>
      <c r="G324" t="inlineStr">
        <is>
          <t>VÄSTERÅS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46323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Allmännings- och besparingsskogar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46323</v>
      </c>
      <c r="F326" t="inlineStr">
        <is>
          <t>VÄSTMANLANDS LÄN</t>
        </is>
      </c>
      <c r="G326" t="inlineStr">
        <is>
          <t>VÄSTERÅS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46323</v>
      </c>
      <c r="F327" t="inlineStr">
        <is>
          <t>VÄSTMANLANDS LÄN</t>
        </is>
      </c>
      <c r="G327" t="inlineStr">
        <is>
          <t>VÄSTERÅS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46323</v>
      </c>
      <c r="F328" t="inlineStr">
        <is>
          <t>VÄSTMANLANDS LÄN</t>
        </is>
      </c>
      <c r="G328" t="inlineStr">
        <is>
          <t>VÄSTERÅS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46195</v>
      </c>
      <c r="E329" s="1" t="n">
        <v>46323</v>
      </c>
      <c r="F329" t="inlineStr">
        <is>
          <t>VÄSTMANLANDS LÄN</t>
        </is>
      </c>
      <c r="G329" t="inlineStr">
        <is>
          <t>VÄSTERÅS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951-2020</t>
        </is>
      </c>
      <c r="B330" t="inlineStr">
        <is>
          <t>samrådsanmälan</t>
        </is>
      </c>
      <c r="C330" t="inlineStr">
        <is>
          <t>Åtgärd i nyckelbiotop</t>
        </is>
      </c>
      <c r="D330" s="1" t="n">
        <v>43948</v>
      </c>
      <c r="E330" s="1" t="n">
        <v>46323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Kommuner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3639-2022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44740</v>
      </c>
      <c r="E331" s="1" t="n">
        <v>46323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1415-2022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44634</v>
      </c>
      <c r="E332" s="1" t="n">
        <v>46323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Kyrkan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953-2023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45005</v>
      </c>
      <c r="E333" s="1" t="n">
        <v>46323</v>
      </c>
      <c r="F333" t="inlineStr">
        <is>
          <t>VÄSTMANLANDS LÄN</t>
        </is>
      </c>
      <c r="G333" t="inlineStr">
        <is>
          <t>VÄSTERÅS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696-2026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46091</v>
      </c>
      <c r="E334" s="1" t="n">
        <v>46323</v>
      </c>
      <c r="F334" t="inlineStr">
        <is>
          <t>VÄSTMANLANDS LÄN</t>
        </is>
      </c>
      <c r="G334" t="inlineStr">
        <is>
          <t>VÄSTERÅS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949-2026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46113</v>
      </c>
      <c r="E335" s="1" t="n">
        <v>46323</v>
      </c>
      <c r="F335" t="inlineStr">
        <is>
          <t>VÄSTMANLANDS LÄN</t>
        </is>
      </c>
      <c r="G335" t="inlineStr">
        <is>
          <t>VÄSTERÅS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1468-2026</t>
        </is>
      </c>
      <c r="B336" t="inlineStr">
        <is>
          <t>samrådsanmälan</t>
        </is>
      </c>
      <c r="C336" t="inlineStr">
        <is>
          <t>Dikesrensning</t>
        </is>
      </c>
      <c r="D336" s="1" t="n">
        <v>46134</v>
      </c>
      <c r="E336" s="1" t="n">
        <v>46323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Sveaskog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2026-10-28T03:11:05Z</dcterms:created>
  <dcterms:modified xmlns:dcterms="http://purl.org/dc/terms/" xmlns:xsi="http://www.w3.org/2001/XMLSchema-instance" xsi:type="dcterms:W3CDTF">2026-10-28T03:11:06Z</dcterms:modified>
</cp:coreProperties>
</file>