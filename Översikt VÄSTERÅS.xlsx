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46273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46273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46273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46273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46273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46273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44852</v>
      </c>
      <c r="E18" s="1" t="n">
        <v>46273</v>
      </c>
      <c r="F18" t="inlineStr">
        <is>
          <t>VÄSTMANLANDS LÄN</t>
        </is>
      </c>
      <c r="G18" t="inlineStr">
        <is>
          <t>VÄSTERÅS</t>
        </is>
      </c>
      <c r="I18" t="n">
        <v>11.6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Vithornad barkskinnbagge
Xyletinus ater
Mindre märgborre
Fiskgjuse</t>
        </is>
      </c>
      <c r="W18">
        <f>HYPERLINK("https://klasma.github.io/Logging_1980/artfynd/A 47228-2022 artfynd.xlsx", "A 47228-2022")</f>
        <v/>
      </c>
      <c r="X18">
        <f>HYPERLINK("https://klasma.github.io/Logging_1980/kartor/A 47228-2022 karta.png", "A 47228-2022")</f>
        <v/>
      </c>
      <c r="Y18">
        <f>HYPERLINK("https://klasma.github.io/Logging_1980/kartor_geotiff/A 47228-2022 georefererad karta.tif", "A 47228-2022")</f>
        <v/>
      </c>
      <c r="AA18">
        <f>HYPERLINK("https://klasma.github.io/Logging_1980/klagomål/A 47228-2022 FSC-klagomål.docx", "A 47228-2022")</f>
        <v/>
      </c>
      <c r="AB18">
        <f>HYPERLINK("https://klasma.github.io/Logging_1980/klagomålsmail/A 47228-2022 FSC-klagomål mail.docx", "A 47228-2022")</f>
        <v/>
      </c>
      <c r="AC18">
        <f>HYPERLINK("https://klasma.github.io/Logging_1980/tillsyn/A 47228-2022 tillsynsbegäran.docx", "A 47228-2022")</f>
        <v/>
      </c>
      <c r="AD18">
        <f>HYPERLINK("https://klasma.github.io/Logging_1980/tillsynsmail/A 47228-2022 tillsynsbegäran mail.docx", "A 47228-2022")</f>
        <v/>
      </c>
      <c r="AE18">
        <f>HYPERLINK("https://klasma.github.io/Logging_1980/fåglar/A 47228-2022 prioriterade fågelarter.docx", "A 47228-2022")</f>
        <v/>
      </c>
    </row>
    <row r="19" ht="15" customHeight="1">
      <c r="A19" t="inlineStr">
        <is>
          <t>A 22449-2026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46273</v>
      </c>
      <c r="F19" t="inlineStr">
        <is>
          <t>VÄSTMANLANDS LÄN</t>
        </is>
      </c>
      <c r="G19" t="inlineStr">
        <is>
          <t>VÄSTERÅS</t>
        </is>
      </c>
      <c r="I19" t="n">
        <v>1.5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Nordfladdermus
Gråskimlig fladdermus
Större brunfladdermus
Vattenfladdermus</t>
        </is>
      </c>
      <c r="W19">
        <f>HYPERLINK("https://klasma.github.io/Logging_1980/artfynd/A 22449-2026 artfynd.xlsx", "A 22449-2026")</f>
        <v/>
      </c>
      <c r="X19">
        <f>HYPERLINK("https://klasma.github.io/Logging_1980/kartor/A 22449-2026 karta.png", "A 22449-2026")</f>
        <v/>
      </c>
      <c r="Y19">
        <f>HYPERLINK("https://klasma.github.io/Logging_1980/kartor_geotiff/A 22449-2026 georefererad karta.tif", "A 22449-2026")</f>
        <v/>
      </c>
      <c r="AA19">
        <f>HYPERLINK("https://klasma.github.io/Logging_1980/klagomål/A 22449-2026 FSC-klagomål.docx", "A 22449-2026")</f>
        <v/>
      </c>
      <c r="AB19">
        <f>HYPERLINK("https://klasma.github.io/Logging_1980/klagomålsmail/A 22449-2026 FSC-klagomål mail.docx", "A 22449-2026")</f>
        <v/>
      </c>
      <c r="AC19">
        <f>HYPERLINK("https://klasma.github.io/Logging_1980/tillsyn/A 22449-2026 tillsynsbegäran.docx", "A 22449-2026")</f>
        <v/>
      </c>
      <c r="AD19">
        <f>HYPERLINK("https://klasma.github.io/Logging_1980/tillsynsmail/A 22449-2026 tillsynsbegäran mail.docx", "A 22449-2026")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46273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46273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46273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Gullklöver
Svinrot
Hasselticka
Kopparödla</t>
        </is>
      </c>
      <c r="W22">
        <f>HYPERLINK("https://klasma.github.io/Logging_1980/artfynd/A 47695-2023 artfynd.xlsx", "A 47695-2023")</f>
        <v/>
      </c>
      <c r="X22">
        <f>HYPERLINK("https://klasma.github.io/Logging_1980/kartor/A 47695-2023 karta.png", "A 47695-2023")</f>
        <v/>
      </c>
      <c r="Y22">
        <f>HYPERLINK("https://klasma.github.io/Logging_1980/kartor_geotiff/A 47695-2023 georefererad karta.tif", "A 47695-2023")</f>
        <v/>
      </c>
      <c r="AA22">
        <f>HYPERLINK("https://klasma.github.io/Logging_1980/klagomål/A 47695-2023 FSC-klagomål.docx", "A 47695-2023")</f>
        <v/>
      </c>
      <c r="AB22">
        <f>HYPERLINK("https://klasma.github.io/Logging_1980/klagomålsmail/A 47695-2023 FSC-klagomål mail.docx", "A 47695-2023")</f>
        <v/>
      </c>
      <c r="AC22">
        <f>HYPERLINK("https://klasma.github.io/Logging_1980/tillsyn/A 47695-2023 tillsynsbegäran.docx", "A 47695-2023")</f>
        <v/>
      </c>
      <c r="AD22">
        <f>HYPERLINK("https://klasma.github.io/Logging_1980/tillsynsmail/A 47695-2023 tillsynsbegäran mail.docx", "A 47695-2023")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46273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46273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46273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6249-2024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45337</v>
      </c>
      <c r="E26" s="1" t="n">
        <v>46273</v>
      </c>
      <c r="F26" t="inlineStr">
        <is>
          <t>VÄSTMANLANDS LÄN</t>
        </is>
      </c>
      <c r="G26" t="inlineStr">
        <is>
          <t>VÄSTERÅS</t>
        </is>
      </c>
      <c r="I26" t="n">
        <v>6.5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Blåsippa
Kungsfågel</t>
        </is>
      </c>
      <c r="W26">
        <f>HYPERLINK("https://klasma.github.io/Logging_1980/artfynd/A 6249-2024 artfynd.xlsx", "A 6249-2024")</f>
        <v/>
      </c>
      <c r="X26">
        <f>HYPERLINK("https://klasma.github.io/Logging_1980/kartor/A 6249-2024 karta.png", "A 6249-2024")</f>
        <v/>
      </c>
      <c r="Y26">
        <f>HYPERLINK("https://klasma.github.io/Logging_1980/kartor_geotiff/A 6249-2024 georefererad karta.tif", "A 6249-2024")</f>
        <v/>
      </c>
      <c r="AA26">
        <f>HYPERLINK("https://klasma.github.io/Logging_1980/klagomål/A 6249-2024 FSC-klagomål.docx", "A 6249-2024")</f>
        <v/>
      </c>
      <c r="AB26">
        <f>HYPERLINK("https://klasma.github.io/Logging_1980/klagomålsmail/A 6249-2024 FSC-klagomål mail.docx", "A 6249-2024")</f>
        <v/>
      </c>
      <c r="AC26">
        <f>HYPERLINK("https://klasma.github.io/Logging_1980/tillsyn/A 6249-2024 tillsynsbegäran.docx", "A 6249-2024")</f>
        <v/>
      </c>
      <c r="AD26">
        <f>HYPERLINK("https://klasma.github.io/Logging_1980/tillsynsmail/A 6249-2024 tillsynsbegäran mail.docx", "A 6249-2024")</f>
        <v/>
      </c>
      <c r="AE26">
        <f>HYPERLINK("https://klasma.github.io/Logging_1980/fåglar/A 6249-2024 prioriterade fågelarter.docx", "A 6249-2024")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46273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16684-2026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46273</v>
      </c>
      <c r="F28" t="inlineStr">
        <is>
          <t>VÄSTMANLANDS LÄN</t>
        </is>
      </c>
      <c r="G28" t="inlineStr">
        <is>
          <t>VÄSTERÅS</t>
        </is>
      </c>
      <c r="I28" t="n">
        <v>7.9</v>
      </c>
      <c r="J28" t="n">
        <v>1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7</v>
      </c>
      <c r="U28" t="n">
        <v>0</v>
      </c>
      <c r="V28" s="2" t="inlineStr">
        <is>
          <t>Knärot
Motaggsvamp
Ullticka</t>
        </is>
      </c>
      <c r="W28">
        <f>HYPERLINK("https://klasma.github.io/Logging_1980/artfynd/A 16684-2026 artfynd.xlsx", "A 16684-2026")</f>
        <v/>
      </c>
      <c r="X28">
        <f>HYPERLINK("https://klasma.github.io/Logging_1980/kartor/A 16684-2026 karta.png", "A 16684-2026")</f>
        <v/>
      </c>
      <c r="Y28">
        <f>HYPERLINK("https://klasma.github.io/Logging_1980/kartor_geotiff/A 16684-2026 georefererad karta.tif", "A 16684-2026")</f>
        <v/>
      </c>
      <c r="Z28">
        <f>HYPERLINK("https://klasma.github.io/Logging_1980/knärot/A 16684-2026 karta knärot.png", "A 16684-2026")</f>
        <v/>
      </c>
      <c r="AA28">
        <f>HYPERLINK("https://klasma.github.io/Logging_1980/klagomål/A 16684-2026 FSC-klagomål.docx", "A 16684-2026")</f>
        <v/>
      </c>
      <c r="AB28">
        <f>HYPERLINK("https://klasma.github.io/Logging_1980/klagomålsmail/A 16684-2026 FSC-klagomål mail.docx", "A 16684-2026")</f>
        <v/>
      </c>
      <c r="AC28">
        <f>HYPERLINK("https://klasma.github.io/Logging_1980/tillsyn/A 16684-2026 tillsynsbegäran.docx", "A 16684-2026")</f>
        <v/>
      </c>
      <c r="AD28">
        <f>HYPERLINK("https://klasma.github.io/Logging_1980/tillsynsmail/A 16684-2026 tillsynsbegäran mail.docx", "A 16684-2026")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46273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46273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46273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46273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9327-2026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46273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3.3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 trolldruva
Tibast</t>
        </is>
      </c>
      <c r="W33">
        <f>HYPERLINK("https://klasma.github.io/Logging_1980/artfynd/A 9327-2026 artfynd.xlsx", "A 9327-2026")</f>
        <v/>
      </c>
      <c r="X33">
        <f>HYPERLINK("https://klasma.github.io/Logging_1980/kartor/A 9327-2026 karta.png", "A 9327-2026")</f>
        <v/>
      </c>
      <c r="Y33">
        <f>HYPERLINK("https://klasma.github.io/Logging_1980/kartor_geotiff/A 9327-2026 georefererad karta.tif", "A 9327-2026")</f>
        <v/>
      </c>
      <c r="AA33">
        <f>HYPERLINK("https://klasma.github.io/Logging_1980/klagomål/A 9327-2026 FSC-klagomål.docx", "A 9327-2026")</f>
        <v/>
      </c>
      <c r="AB33">
        <f>HYPERLINK("https://klasma.github.io/Logging_1980/klagomålsmail/A 9327-2026 FSC-klagomål mail.docx", "A 9327-2026")</f>
        <v/>
      </c>
      <c r="AC33">
        <f>HYPERLINK("https://klasma.github.io/Logging_1980/tillsyn/A 9327-2026 tillsynsbegäran.docx", "A 9327-2026")</f>
        <v/>
      </c>
      <c r="AD33">
        <f>HYPERLINK("https://klasma.github.io/Logging_1980/tillsynsmail/A 9327-2026 tillsynsbegäran mail.docx", "A 9327-2026")</f>
        <v/>
      </c>
    </row>
    <row r="34" ht="15" customHeight="1">
      <c r="A34" t="inlineStr">
        <is>
          <t>A 22452-2026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46155</v>
      </c>
      <c r="E34" s="1" t="n">
        <v>46273</v>
      </c>
      <c r="F34" t="inlineStr">
        <is>
          <t>VÄSTMANLANDS LÄN</t>
        </is>
      </c>
      <c r="G34" t="inlineStr">
        <is>
          <t>VÄSTERÅS</t>
        </is>
      </c>
      <c r="I34" t="n">
        <v>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Kopparödla</t>
        </is>
      </c>
      <c r="W34">
        <f>HYPERLINK("https://klasma.github.io/Logging_1980/artfynd/A 22452-2026 artfynd.xlsx", "A 22452-2026")</f>
        <v/>
      </c>
      <c r="X34">
        <f>HYPERLINK("https://klasma.github.io/Logging_1980/kartor/A 22452-2026 karta.png", "A 22452-2026")</f>
        <v/>
      </c>
      <c r="Y34">
        <f>HYPERLINK("https://klasma.github.io/Logging_1980/kartor_geotiff/A 22452-2026 georefererad karta.tif", "A 22452-2026")</f>
        <v/>
      </c>
      <c r="AA34">
        <f>HYPERLINK("https://klasma.github.io/Logging_1980/klagomål/A 22452-2026 FSC-klagomål.docx", "A 22452-2026")</f>
        <v/>
      </c>
      <c r="AB34">
        <f>HYPERLINK("https://klasma.github.io/Logging_1980/klagomålsmail/A 22452-2026 FSC-klagomål mail.docx", "A 22452-2026")</f>
        <v/>
      </c>
      <c r="AC34">
        <f>HYPERLINK("https://klasma.github.io/Logging_1980/tillsyn/A 22452-2026 tillsynsbegäran.docx", "A 22452-2026")</f>
        <v/>
      </c>
      <c r="AD34">
        <f>HYPERLINK("https://klasma.github.io/Logging_1980/tillsynsmail/A 22452-2026 tillsynsbegäran mail.docx", "A 22452-2026")</f>
        <v/>
      </c>
    </row>
    <row r="35" ht="15" customHeight="1">
      <c r="A35" t="inlineStr">
        <is>
          <t>A 59566-2021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44491</v>
      </c>
      <c r="E35" s="1" t="n">
        <v>46273</v>
      </c>
      <c r="F35" t="inlineStr">
        <is>
          <t>VÄSTMANLANDS LÄN</t>
        </is>
      </c>
      <c r="G35" t="inlineStr">
        <is>
          <t>VÄSTERÅS</t>
        </is>
      </c>
      <c r="I35" t="n">
        <v>2.1</v>
      </c>
      <c r="J35" t="n">
        <v>1</v>
      </c>
      <c r="K35" t="n">
        <v>1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4</v>
      </c>
      <c r="U35" t="n">
        <v>0</v>
      </c>
      <c r="V35" s="2" t="inlineStr">
        <is>
          <t>Bombmurkla
Vanlig flatbagge</t>
        </is>
      </c>
      <c r="W35">
        <f>HYPERLINK("https://klasma.github.io/Logging_1980/artfynd/A 59566-2021 artfynd.xlsx", "A 59566-2021")</f>
        <v/>
      </c>
      <c r="X35">
        <f>HYPERLINK("https://klasma.github.io/Logging_1980/kartor/A 59566-2021 karta.png", "A 59566-2021")</f>
        <v/>
      </c>
      <c r="Y35">
        <f>HYPERLINK("https://klasma.github.io/Logging_1980/kartor_geotiff/A 59566-2021 georefererad karta.tif", "A 59566-2021")</f>
        <v/>
      </c>
      <c r="AA35">
        <f>HYPERLINK("https://klasma.github.io/Logging_1980/klagomål/A 59566-2021 FSC-klagomål.docx", "A 59566-2021")</f>
        <v/>
      </c>
      <c r="AB35">
        <f>HYPERLINK("https://klasma.github.io/Logging_1980/klagomålsmail/A 59566-2021 FSC-klagomål mail.docx", "A 59566-2021")</f>
        <v/>
      </c>
      <c r="AC35">
        <f>HYPERLINK("https://klasma.github.io/Logging_1980/tillsyn/A 59566-2021 tillsynsbegäran.docx", "A 59566-2021")</f>
        <v/>
      </c>
      <c r="AD35">
        <f>HYPERLINK("https://klasma.github.io/Logging_1980/tillsynsmail/A 59566-2021 tillsynsbegäran mail.docx", "A 59566-2021")</f>
        <v/>
      </c>
    </row>
    <row r="36" ht="15" customHeight="1">
      <c r="A36" t="inlineStr">
        <is>
          <t>A 59143-2025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46273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12.4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Fiskgjuse</t>
        </is>
      </c>
      <c r="W36">
        <f>HYPERLINK("https://klasma.github.io/Logging_1980/artfynd/A 59143-2025 artfynd.xlsx", "A 59143-2025")</f>
        <v/>
      </c>
      <c r="X36">
        <f>HYPERLINK("https://klasma.github.io/Logging_1980/kartor/A 59143-2025 karta.png", "A 59143-2025")</f>
        <v/>
      </c>
      <c r="Y36">
        <f>HYPERLINK("https://klasma.github.io/Logging_1980/kartor_geotiff/A 59143-2025 georefererad karta.tif", "A 59143-2025")</f>
        <v/>
      </c>
      <c r="AA36">
        <f>HYPERLINK("https://klasma.github.io/Logging_1980/klagomål/A 59143-2025 FSC-klagomål.docx", "A 59143-2025")</f>
        <v/>
      </c>
      <c r="AB36">
        <f>HYPERLINK("https://klasma.github.io/Logging_1980/klagomålsmail/A 59143-2025 FSC-klagomål mail.docx", "A 59143-2025")</f>
        <v/>
      </c>
      <c r="AC36">
        <f>HYPERLINK("https://klasma.github.io/Logging_1980/tillsyn/A 59143-2025 tillsynsbegäran.docx", "A 59143-2025")</f>
        <v/>
      </c>
      <c r="AD36">
        <f>HYPERLINK("https://klasma.github.io/Logging_1980/tillsynsmail/A 59143-2025 tillsynsbegäran mail.docx", "A 59143-2025")</f>
        <v/>
      </c>
      <c r="AE36">
        <f>HYPERLINK("https://klasma.github.io/Logging_1980/fåglar/A 59143-2025 prioriterade fågelarter.docx", "A 59143-2025")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46273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t="n">
        <v>4</v>
      </c>
      <c r="V37" s="2" t="inlineStr">
        <is>
          <t>Gullklöver
Blåsippa</t>
        </is>
      </c>
      <c r="W37">
        <f>HYPERLINK("https://klasma.github.io/Logging_1980/artfynd/A 30759-2022 artfynd.xlsx", "A 30759-2022")</f>
        <v/>
      </c>
      <c r="X37">
        <f>HYPERLINK("https://klasma.github.io/Logging_1980/kartor/A 30759-2022 karta.png", "A 30759-2022")</f>
        <v/>
      </c>
      <c r="Y37">
        <f>HYPERLINK("https://klasma.github.io/Logging_1980/kartor_geotiff/A 30759-2022 georefererad karta.tif", "A 30759-2022")</f>
        <v/>
      </c>
      <c r="AA37">
        <f>HYPERLINK("https://klasma.github.io/Logging_1980/klagomål/A 30759-2022 FSC-klagomål.docx", "A 30759-2022")</f>
        <v/>
      </c>
      <c r="AB37">
        <f>HYPERLINK("https://klasma.github.io/Logging_1980/klagomålsmail/A 30759-2022 FSC-klagomål mail.docx", "A 30759-2022")</f>
        <v/>
      </c>
      <c r="AC37">
        <f>HYPERLINK("https://klasma.github.io/Logging_1980/tillsyn/A 30759-2022 tillsynsbegäran.docx", "A 30759-2022")</f>
        <v/>
      </c>
      <c r="AD37">
        <f>HYPERLINK("https://klasma.github.io/Logging_1980/tillsynsmail/A 30759-2022 tillsynsbegäran mail.docx", "A 30759-2022")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46273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46273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46273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46273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46273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29787-2023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46273</v>
      </c>
      <c r="F43" t="inlineStr">
        <is>
          <t>VÄSTMANLANDS LÄN</t>
        </is>
      </c>
      <c r="G43" t="inlineStr">
        <is>
          <t>VÄSTERÅS</t>
        </is>
      </c>
      <c r="H43" t="inlineStr">
        <is>
          <t>Sveaskog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HYPERLINK("https://klasma.github.io/Logging_1980/artfynd/A 29787-2023 artfynd.xlsx", "A 29787-2023")</f>
        <v/>
      </c>
      <c r="X43">
        <f>HYPERLINK("https://klasma.github.io/Logging_1980/kartor/A 29787-2023 karta.png", "A 29787-2023")</f>
        <v/>
      </c>
      <c r="Y43">
        <f>HYPERLINK("https://klasma.github.io/Logging_1980/kartor_geotiff/A 29787-2023 georefererad karta.tif", "A 29787-2023")</f>
        <v/>
      </c>
      <c r="AA43">
        <f>HYPERLINK("https://klasma.github.io/Logging_1980/klagomål/A 29787-2023 FSC-klagomål.docx", "A 29787-2023")</f>
        <v/>
      </c>
      <c r="AB43">
        <f>HYPERLINK("https://klasma.github.io/Logging_1980/klagomålsmail/A 29787-2023 FSC-klagomål mail.docx", "A 29787-2023")</f>
        <v/>
      </c>
      <c r="AC43">
        <f>HYPERLINK("https://klasma.github.io/Logging_1980/tillsyn/A 29787-2023 tillsynsbegäran.docx", "A 29787-2023")</f>
        <v/>
      </c>
      <c r="AD43">
        <f>HYPERLINK("https://klasma.github.io/Logging_1980/tillsynsmail/A 29787-2023 tillsynsbegäran mail.docx", "A 29787-2023")</f>
        <v/>
      </c>
    </row>
    <row r="44" ht="15" customHeight="1">
      <c r="A44" t="inlineStr">
        <is>
          <t>A 61059-2024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46273</v>
      </c>
      <c r="F44" t="inlineStr">
        <is>
          <t>VÄSTMANLANDS LÄN</t>
        </is>
      </c>
      <c r="G44" t="inlineStr">
        <is>
          <t>VÄSTERÅS</t>
        </is>
      </c>
      <c r="I44" t="n">
        <v>4.7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Bandad skulderbock</t>
        </is>
      </c>
      <c r="W44">
        <f>HYPERLINK("https://klasma.github.io/Logging_1980/artfynd/A 61059-2024 artfynd.xlsx", "A 61059-2024")</f>
        <v/>
      </c>
      <c r="X44">
        <f>HYPERLINK("https://klasma.github.io/Logging_1980/kartor/A 61059-2024 karta.png", "A 61059-2024")</f>
        <v/>
      </c>
      <c r="Y44">
        <f>HYPERLINK("https://klasma.github.io/Logging_1980/kartor_geotiff/A 61059-2024 georefererad karta.tif", "A 61059-2024")</f>
        <v/>
      </c>
      <c r="AA44">
        <f>HYPERLINK("https://klasma.github.io/Logging_1980/klagomål/A 61059-2024 FSC-klagomål.docx", "A 61059-2024")</f>
        <v/>
      </c>
      <c r="AB44">
        <f>HYPERLINK("https://klasma.github.io/Logging_1980/klagomålsmail/A 61059-2024 FSC-klagomål mail.docx", "A 61059-2024")</f>
        <v/>
      </c>
      <c r="AC44">
        <f>HYPERLINK("https://klasma.github.io/Logging_1980/tillsyn/A 61059-2024 tillsynsbegäran.docx", "A 61059-2024")</f>
        <v/>
      </c>
      <c r="AD44">
        <f>HYPERLINK("https://klasma.github.io/Logging_1980/tillsynsmail/A 61059-2024 tillsynsbegäran mail.docx", "A 61059-2024")</f>
        <v/>
      </c>
    </row>
    <row r="45" ht="15" customHeight="1">
      <c r="A45" t="inlineStr">
        <is>
          <t>A 40886-2025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46273</v>
      </c>
      <c r="F45" t="inlineStr">
        <is>
          <t>VÄSTMANLANDS LÄN</t>
        </is>
      </c>
      <c r="G45" t="inlineStr">
        <is>
          <t>VÄSTERÅS</t>
        </is>
      </c>
      <c r="I45" t="n">
        <v>1.5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HYPERLINK("https://klasma.github.io/Logging_1980/artfynd/A 40886-2025 artfynd.xlsx", "A 40886-2025")</f>
        <v/>
      </c>
      <c r="X45">
        <f>HYPERLINK("https://klasma.github.io/Logging_1980/kartor/A 40886-2025 karta.png", "A 40886-2025")</f>
        <v/>
      </c>
      <c r="Y45">
        <f>HYPERLINK("https://klasma.github.io/Logging_1980/kartor_geotiff/A 40886-2025 georefererad karta.tif", "A 40886-2025")</f>
        <v/>
      </c>
      <c r="AA45">
        <f>HYPERLINK("https://klasma.github.io/Logging_1980/klagomål/A 40886-2025 FSC-klagomål.docx", "A 40886-2025")</f>
        <v/>
      </c>
      <c r="AB45">
        <f>HYPERLINK("https://klasma.github.io/Logging_1980/klagomålsmail/A 40886-2025 FSC-klagomål mail.docx", "A 40886-2025")</f>
        <v/>
      </c>
      <c r="AC45">
        <f>HYPERLINK("https://klasma.github.io/Logging_1980/tillsyn/A 40886-2025 tillsynsbegäran.docx", "A 40886-2025")</f>
        <v/>
      </c>
      <c r="AD45">
        <f>HYPERLINK("https://klasma.github.io/Logging_1980/tillsynsmail/A 40886-2025 tillsynsbegäran mail.docx", "A 40886-2025")</f>
        <v/>
      </c>
    </row>
    <row r="46" ht="15" customHeight="1">
      <c r="A46" t="inlineStr">
        <is>
          <t>A 1594-2023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44935</v>
      </c>
      <c r="E46" s="1" t="n">
        <v>46273</v>
      </c>
      <c r="F46" t="inlineStr">
        <is>
          <t>VÄSTMANLANDS LÄN</t>
        </is>
      </c>
      <c r="G46" t="inlineStr">
        <is>
          <t>VÄSTERÅS</t>
        </is>
      </c>
      <c r="I46" t="n">
        <v>10.9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Sparvuggla</t>
        </is>
      </c>
      <c r="W46">
        <f>HYPERLINK("https://klasma.github.io/Logging_1980/artfynd/A 1594-2023 artfynd.xlsx", "A 1594-2023")</f>
        <v/>
      </c>
      <c r="X46">
        <f>HYPERLINK("https://klasma.github.io/Logging_1980/kartor/A 1594-2023 karta.png", "A 1594-2023")</f>
        <v/>
      </c>
      <c r="Y46">
        <f>HYPERLINK("https://klasma.github.io/Logging_1980/kartor_geotiff/A 1594-2023 georefererad karta.tif", "A 1594-2023")</f>
        <v/>
      </c>
      <c r="AA46">
        <f>HYPERLINK("https://klasma.github.io/Logging_1980/klagomål/A 1594-2023 FSC-klagomål.docx", "A 1594-2023")</f>
        <v/>
      </c>
      <c r="AB46">
        <f>HYPERLINK("https://klasma.github.io/Logging_1980/klagomålsmail/A 1594-2023 FSC-klagomål mail.docx", "A 1594-2023")</f>
        <v/>
      </c>
      <c r="AC46">
        <f>HYPERLINK("https://klasma.github.io/Logging_1980/tillsyn/A 1594-2023 tillsynsbegäran.docx", "A 1594-2023")</f>
        <v/>
      </c>
      <c r="AD46">
        <f>HYPERLINK("https://klasma.github.io/Logging_1980/tillsynsmail/A 1594-2023 tillsynsbegäran mail.docx", "A 1594-2023")</f>
        <v/>
      </c>
      <c r="AE46">
        <f>HYPERLINK("https://klasma.github.io/Logging_1980/fåglar/A 1594-2023 prioriterade fågelarter.docx", "A 1594-2023")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46273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46273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22378-2026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46273</v>
      </c>
      <c r="F49" t="inlineStr">
        <is>
          <t>VÄSTMANLANDS LÄN</t>
        </is>
      </c>
      <c r="G49" t="inlineStr">
        <is>
          <t>VÄSTERÅS</t>
        </is>
      </c>
      <c r="I49" t="n">
        <v>5.6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HYPERLINK("https://klasma.github.io/Logging_1980/artfynd/A 22378-2026 artfynd.xlsx", "A 22378-2026")</f>
        <v/>
      </c>
      <c r="X49">
        <f>HYPERLINK("https://klasma.github.io/Logging_1980/kartor/A 22378-2026 karta.png", "A 22378-2026")</f>
        <v/>
      </c>
      <c r="Y49">
        <f>HYPERLINK("https://klasma.github.io/Logging_1980/kartor_geotiff/A 22378-2026 georefererad karta.tif", "A 22378-2026")</f>
        <v/>
      </c>
      <c r="AA49">
        <f>HYPERLINK("https://klasma.github.io/Logging_1980/klagomål/A 22378-2026 FSC-klagomål.docx", "A 22378-2026")</f>
        <v/>
      </c>
      <c r="AB49">
        <f>HYPERLINK("https://klasma.github.io/Logging_1980/klagomålsmail/A 22378-2026 FSC-klagomål mail.docx", "A 22378-2026")</f>
        <v/>
      </c>
      <c r="AC49">
        <f>HYPERLINK("https://klasma.github.io/Logging_1980/tillsyn/A 22378-2026 tillsynsbegäran.docx", "A 22378-2026")</f>
        <v/>
      </c>
      <c r="AD49">
        <f>HYPERLINK("https://klasma.github.io/Logging_1980/tillsynsmail/A 22378-2026 tillsynsbegäran mail.docx", "A 22378-2026")</f>
        <v/>
      </c>
    </row>
    <row r="50" ht="15" customHeight="1">
      <c r="A50" t="inlineStr">
        <is>
          <t>A 58395-2022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46273</v>
      </c>
      <c r="F50" t="inlineStr">
        <is>
          <t>VÄSTMANLANDS LÄN</t>
        </is>
      </c>
      <c r="G50" t="inlineStr">
        <is>
          <t>VÄSTERÅS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Korskovall</t>
        </is>
      </c>
      <c r="W50">
        <f>HYPERLINK("https://klasma.github.io/Logging_1980/artfynd/A 58395-2022 artfynd.xlsx", "A 58395-2022")</f>
        <v/>
      </c>
      <c r="X50">
        <f>HYPERLINK("https://klasma.github.io/Logging_1980/kartor/A 58395-2022 karta.png", "A 58395-2022")</f>
        <v/>
      </c>
      <c r="Y50">
        <f>HYPERLINK("https://klasma.github.io/Logging_1980/kartor_geotiff/A 58395-2022 georefererad karta.tif", "A 58395-2022")</f>
        <v/>
      </c>
      <c r="AA50">
        <f>HYPERLINK("https://klasma.github.io/Logging_1980/klagomål/A 58395-2022 FSC-klagomål.docx", "A 58395-2022")</f>
        <v/>
      </c>
      <c r="AB50">
        <f>HYPERLINK("https://klasma.github.io/Logging_1980/klagomålsmail/A 58395-2022 FSC-klagomål mail.docx", "A 58395-2022")</f>
        <v/>
      </c>
      <c r="AC50">
        <f>HYPERLINK("https://klasma.github.io/Logging_1980/tillsyn/A 58395-2022 tillsynsbegäran.docx", "A 58395-2022")</f>
        <v/>
      </c>
      <c r="AD50">
        <f>HYPERLINK("https://klasma.github.io/Logging_1980/tillsynsmail/A 58395-2022 tillsynsbegäran mail.docx", "A 58395-2022")</f>
        <v/>
      </c>
    </row>
    <row r="51" ht="15" customHeight="1">
      <c r="A51" t="inlineStr">
        <is>
          <t>A 59144-2025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46273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HYPERLINK("https://klasma.github.io/Logging_1980/artfynd/A 59144-2025 artfynd.xlsx", "A 59144-2025")</f>
        <v/>
      </c>
      <c r="X51">
        <f>HYPERLINK("https://klasma.github.io/Logging_1980/kartor/A 59144-2025 karta.png", "A 59144-2025")</f>
        <v/>
      </c>
      <c r="Y51">
        <f>HYPERLINK("https://klasma.github.io/Logging_1980/kartor_geotiff/A 59144-2025 georefererad karta.tif", "A 59144-2025")</f>
        <v/>
      </c>
      <c r="AA51">
        <f>HYPERLINK("https://klasma.github.io/Logging_1980/klagomål/A 59144-2025 FSC-klagomål.docx", "A 59144-2025")</f>
        <v/>
      </c>
      <c r="AB51">
        <f>HYPERLINK("https://klasma.github.io/Logging_1980/klagomålsmail/A 59144-2025 FSC-klagomål mail.docx", "A 59144-2025")</f>
        <v/>
      </c>
      <c r="AC51">
        <f>HYPERLINK("https://klasma.github.io/Logging_1980/tillsyn/A 59144-2025 tillsynsbegäran.docx", "A 59144-2025")</f>
        <v/>
      </c>
      <c r="AD51">
        <f>HYPERLINK("https://klasma.github.io/Logging_1980/tillsynsmail/A 59144-2025 tillsynsbegäran mail.docx", "A 59144-2025")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46273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31976-2026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46232</v>
      </c>
      <c r="E53" s="1" t="n">
        <v>46273</v>
      </c>
      <c r="F53" t="inlineStr">
        <is>
          <t>VÄSTMANLANDS LÄN</t>
        </is>
      </c>
      <c r="G53" t="inlineStr">
        <is>
          <t>VÄSTERÅS</t>
        </is>
      </c>
      <c r="H53" t="inlineStr">
        <is>
          <t>Övriga Aktiebolag</t>
        </is>
      </c>
      <c r="I53" t="n">
        <v>14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Rostfläck</t>
        </is>
      </c>
      <c r="W53">
        <f>HYPERLINK("https://klasma.github.io/Logging_1980/artfynd/A 31976-2026 artfynd.xlsx", "A 31976-2026")</f>
        <v/>
      </c>
      <c r="X53">
        <f>HYPERLINK("https://klasma.github.io/Logging_1980/kartor/A 31976-2026 karta.png", "A 31976-2026")</f>
        <v/>
      </c>
      <c r="Y53">
        <f>HYPERLINK("https://klasma.github.io/Logging_1980/kartor_geotiff/A 31976-2026 georefererad karta.tif", "A 31976-2026")</f>
        <v/>
      </c>
      <c r="AA53">
        <f>HYPERLINK("https://klasma.github.io/Logging_1980/klagomål/A 31976-2026 FSC-klagomål.docx", "A 31976-2026")</f>
        <v/>
      </c>
      <c r="AB53">
        <f>HYPERLINK("https://klasma.github.io/Logging_1980/klagomålsmail/A 31976-2026 FSC-klagomål mail.docx", "A 31976-2026")</f>
        <v/>
      </c>
      <c r="AC53">
        <f>HYPERLINK("https://klasma.github.io/Logging_1980/tillsyn/A 31976-2026 tillsynsbegäran.docx", "A 31976-2026")</f>
        <v/>
      </c>
      <c r="AD53">
        <f>HYPERLINK("https://klasma.github.io/Logging_1980/tillsynsmail/A 31976-2026 tillsynsbegäran mail.docx", "A 31976-2026")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46273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46273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HYPERLINK("https://klasma.github.io/Logging_1980/artfynd/A 46189-2023 artfynd.xlsx", "A 46189-2023")</f>
        <v/>
      </c>
      <c r="X55">
        <f>HYPERLINK("https://klasma.github.io/Logging_1980/kartor/A 46189-2023 karta.png", "A 46189-2023")</f>
        <v/>
      </c>
      <c r="Y55">
        <f>HYPERLINK("https://klasma.github.io/Logging_1980/kartor_geotiff/A 46189-2023 georefererad karta.tif", "A 46189-2023")</f>
        <v/>
      </c>
      <c r="AA55">
        <f>HYPERLINK("https://klasma.github.io/Logging_1980/klagomål/A 46189-2023 FSC-klagomål.docx", "A 46189-2023")</f>
        <v/>
      </c>
      <c r="AB55">
        <f>HYPERLINK("https://klasma.github.io/Logging_1980/klagomålsmail/A 46189-2023 FSC-klagomål mail.docx", "A 46189-2023")</f>
        <v/>
      </c>
      <c r="AC55">
        <f>HYPERLINK("https://klasma.github.io/Logging_1980/tillsyn/A 46189-2023 tillsynsbegäran.docx", "A 46189-2023")</f>
        <v/>
      </c>
      <c r="AD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46273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Köpingfibbla</t>
        </is>
      </c>
      <c r="W56">
        <f>HYPERLINK("https://klasma.github.io/Logging_1980/artfynd/A 8362-2022 artfynd.xlsx", "A 8362-2022")</f>
        <v/>
      </c>
      <c r="X56">
        <f>HYPERLINK("https://klasma.github.io/Logging_1980/kartor/A 8362-2022 karta.png", "A 8362-2022")</f>
        <v/>
      </c>
      <c r="Y56">
        <f>HYPERLINK("https://klasma.github.io/Logging_1980/kartor_geotiff/A 8362-2022 georefererad karta.tif", "A 8362-2022")</f>
        <v/>
      </c>
      <c r="AA56">
        <f>HYPERLINK("https://klasma.github.io/Logging_1980/klagomål/A 8362-2022 FSC-klagomål.docx", "A 8362-2022")</f>
        <v/>
      </c>
      <c r="AB56">
        <f>HYPERLINK("https://klasma.github.io/Logging_1980/klagomålsmail/A 8362-2022 FSC-klagomål mail.docx", "A 8362-2022")</f>
        <v/>
      </c>
      <c r="AC56">
        <f>HYPERLINK("https://klasma.github.io/Logging_1980/tillsyn/A 8362-2022 tillsynsbegäran.docx", "A 8362-2022")</f>
        <v/>
      </c>
      <c r="AD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46273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46273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50193-2022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46273</v>
      </c>
      <c r="F59" t="inlineStr">
        <is>
          <t>VÄSTMANLANDS LÄN</t>
        </is>
      </c>
      <c r="G59" t="inlineStr">
        <is>
          <t>VÄSTERÅS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HYPERLINK("https://klasma.github.io/Logging_1980/artfynd/A 50193-2022 artfynd.xlsx", "A 50193-2022")</f>
        <v/>
      </c>
      <c r="X59">
        <f>HYPERLINK("https://klasma.github.io/Logging_1980/kartor/A 50193-2022 karta.png", "A 50193-2022")</f>
        <v/>
      </c>
      <c r="Y59">
        <f>HYPERLINK("https://klasma.github.io/Logging_1980/kartor_geotiff/A 50193-2022 georefererad karta.tif", "A 50193-2022")</f>
        <v/>
      </c>
      <c r="AA59">
        <f>HYPERLINK("https://klasma.github.io/Logging_1980/klagomål/A 50193-2022 FSC-klagomål.docx", "A 50193-2022")</f>
        <v/>
      </c>
      <c r="AB59">
        <f>HYPERLINK("https://klasma.github.io/Logging_1980/klagomålsmail/A 50193-2022 FSC-klagomål mail.docx", "A 50193-2022")</f>
        <v/>
      </c>
      <c r="AC59">
        <f>HYPERLINK("https://klasma.github.io/Logging_1980/tillsyn/A 50193-2022 tillsynsbegäran.docx", "A 50193-2022")</f>
        <v/>
      </c>
      <c r="AD59">
        <f>HYPERLINK("https://klasma.github.io/Logging_1980/tillsynsmail/A 50193-2022 tillsynsbegäran mail.docx", "A 50193-2022")</f>
        <v/>
      </c>
    </row>
    <row r="60" ht="15" customHeight="1">
      <c r="A60" t="inlineStr">
        <is>
          <t>A 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46273</v>
      </c>
      <c r="F60" t="inlineStr">
        <is>
          <t>VÄSTMANLANDS LÄN</t>
        </is>
      </c>
      <c r="G60" t="inlineStr">
        <is>
          <t>VÄSTERÅS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5363-2025 artfynd.xlsx", "A 5363-2025")</f>
        <v/>
      </c>
      <c r="X60">
        <f>HYPERLINK("https://klasma.github.io/Logging_1980/kartor/A 5363-2025 karta.png", "A 5363-2025")</f>
        <v/>
      </c>
      <c r="Y60">
        <f>HYPERLINK("https://klasma.github.io/Logging_1980/kartor_geotiff/A 5363-2025 georefererad karta.tif", "A 5363-2025")</f>
        <v/>
      </c>
      <c r="AA60">
        <f>HYPERLINK("https://klasma.github.io/Logging_1980/klagomål/A 5363-2025 FSC-klagomål.docx", "A 5363-2025")</f>
        <v/>
      </c>
      <c r="AB60">
        <f>HYPERLINK("https://klasma.github.io/Logging_1980/klagomålsmail/A 5363-2025 FSC-klagomål mail.docx", "A 5363-2025")</f>
        <v/>
      </c>
      <c r="AC60">
        <f>HYPERLINK("https://klasma.github.io/Logging_1980/tillsyn/A 5363-2025 tillsynsbegäran.docx", "A 5363-2025")</f>
        <v/>
      </c>
      <c r="AD60">
        <f>HYPERLINK("https://klasma.github.io/Logging_1980/tillsynsmail/A 5363-2025 tillsynsbegäran mail.docx", "A 5363-2025")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46273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46273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46273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46273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46273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46273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46273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46273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46273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46273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46273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46273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46273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46273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46273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46273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46273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46273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46273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46273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46273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46273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46273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46273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46273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46273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46273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46273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46273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46273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46273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46273</v>
      </c>
      <c r="F92" t="inlineStr">
        <is>
          <t>VÄSTMANLANDS LÄN</t>
        </is>
      </c>
      <c r="G92" t="inlineStr">
        <is>
          <t>VÄSTERÅS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18457-2023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45042</v>
      </c>
      <c r="E93" s="1" t="n">
        <v>46273</v>
      </c>
      <c r="F93" t="inlineStr">
        <is>
          <t>VÄSTMANLANDS LÄN</t>
        </is>
      </c>
      <c r="G93" t="inlineStr">
        <is>
          <t>VÄSTERÅS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41114-2022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46273</v>
      </c>
      <c r="F94" t="inlineStr">
        <is>
          <t>VÄSTMANLANDS LÄN</t>
        </is>
      </c>
      <c r="G94" t="inlineStr">
        <is>
          <t>VÄSTERÅS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45414</v>
      </c>
      <c r="E95" s="1" t="n">
        <v>46273</v>
      </c>
      <c r="F95" t="inlineStr">
        <is>
          <t>VÄSTMANLANDS LÄN</t>
        </is>
      </c>
      <c r="G95" t="inlineStr">
        <is>
          <t>VÄSTERÅS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44792</v>
      </c>
      <c r="E96" s="1" t="n">
        <v>46273</v>
      </c>
      <c r="F96" t="inlineStr">
        <is>
          <t>VÄSTMANLANDS LÄN</t>
        </is>
      </c>
      <c r="G96" t="inlineStr">
        <is>
          <t>VÄSTERÅS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67353-2021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46273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46273</v>
      </c>
      <c r="F98" t="inlineStr">
        <is>
          <t>VÄSTMANLANDS LÄN</t>
        </is>
      </c>
      <c r="G98" t="inlineStr">
        <is>
          <t>VÄSTERÅS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46273</v>
      </c>
      <c r="F99" t="inlineStr">
        <is>
          <t>VÄSTMANLANDS LÄN</t>
        </is>
      </c>
      <c r="G99" t="inlineStr">
        <is>
          <t>VÄSTERÅS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45296</v>
      </c>
      <c r="E100" s="1" t="n">
        <v>46273</v>
      </c>
      <c r="F100" t="inlineStr">
        <is>
          <t>VÄSTMANLANDS LÄN</t>
        </is>
      </c>
      <c r="G100" t="inlineStr">
        <is>
          <t>VÄSTERÅS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46273</v>
      </c>
      <c r="F101" t="inlineStr">
        <is>
          <t>VÄSTMANLANDS LÄN</t>
        </is>
      </c>
      <c r="G101" t="inlineStr">
        <is>
          <t>VÄSTERÅS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46273</v>
      </c>
      <c r="F102" t="inlineStr">
        <is>
          <t>VÄSTMANLANDS LÄN</t>
        </is>
      </c>
      <c r="G102" t="inlineStr">
        <is>
          <t>VÄSTERÅS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39127-2022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44816</v>
      </c>
      <c r="E103" s="1" t="n">
        <v>46273</v>
      </c>
      <c r="F103" t="inlineStr">
        <is>
          <t>VÄSTMANLANDS LÄN</t>
        </is>
      </c>
      <c r="G103" t="inlineStr">
        <is>
          <t>VÄSTERÅS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46273</v>
      </c>
      <c r="F104" t="inlineStr">
        <is>
          <t>VÄSTMANLANDS LÄN</t>
        </is>
      </c>
      <c r="G104" t="inlineStr">
        <is>
          <t>VÄSTERÅS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44847</v>
      </c>
      <c r="E105" s="1" t="n">
        <v>46273</v>
      </c>
      <c r="F105" t="inlineStr">
        <is>
          <t>VÄSTMANLANDS LÄN</t>
        </is>
      </c>
      <c r="G105" t="inlineStr">
        <is>
          <t>VÄSTERÅS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46273</v>
      </c>
      <c r="F106" t="inlineStr">
        <is>
          <t>VÄSTMANLANDS LÄN</t>
        </is>
      </c>
      <c r="G106" t="inlineStr">
        <is>
          <t>VÄSTERÅS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45083</v>
      </c>
      <c r="E107" s="1" t="n">
        <v>46273</v>
      </c>
      <c r="F107" t="inlineStr">
        <is>
          <t>VÄSTMANLANDS LÄN</t>
        </is>
      </c>
      <c r="G107" t="inlineStr">
        <is>
          <t>VÄSTERÅS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56980-2021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44482</v>
      </c>
      <c r="E108" s="1" t="n">
        <v>46273</v>
      </c>
      <c r="F108" t="inlineStr">
        <is>
          <t>VÄSTMANLANDS LÄN</t>
        </is>
      </c>
      <c r="G108" t="inlineStr">
        <is>
          <t>VÄSTERÅS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46273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46273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46273</v>
      </c>
      <c r="F111" t="inlineStr">
        <is>
          <t>VÄSTMANLANDS LÄN</t>
        </is>
      </c>
      <c r="G111" t="inlineStr">
        <is>
          <t>VÄSTERÅS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46273</v>
      </c>
      <c r="F112" t="inlineStr">
        <is>
          <t>VÄSTMANLANDS LÄN</t>
        </is>
      </c>
      <c r="G112" t="inlineStr">
        <is>
          <t>VÄSTERÅS</t>
        </is>
      </c>
      <c r="I112" t="n">
        <v>13.9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45042</v>
      </c>
      <c r="E113" s="1" t="n">
        <v>46273</v>
      </c>
      <c r="F113" t="inlineStr">
        <is>
          <t>VÄSTMANLANDS LÄN</t>
        </is>
      </c>
      <c r="G113" t="inlineStr">
        <is>
          <t>VÄSTERÅS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55676-2023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45232</v>
      </c>
      <c r="E114" s="1" t="n">
        <v>46273</v>
      </c>
      <c r="F114" t="inlineStr">
        <is>
          <t>VÄSTMANLANDS LÄN</t>
        </is>
      </c>
      <c r="G114" t="inlineStr">
        <is>
          <t>VÄSTERÅS</t>
        </is>
      </c>
      <c r="H114" t="inlineStr">
        <is>
          <t>Övriga Aktiebolag</t>
        </is>
      </c>
      <c r="I114" t="n">
        <v>37.9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52764-2022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44875</v>
      </c>
      <c r="E115" s="1" t="n">
        <v>46273</v>
      </c>
      <c r="F115" t="inlineStr">
        <is>
          <t>VÄSTMANLANDS LÄN</t>
        </is>
      </c>
      <c r="G115" t="inlineStr">
        <is>
          <t>VÄSTERÅS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46273</v>
      </c>
      <c r="F116" t="inlineStr">
        <is>
          <t>VÄSTMANLANDS LÄN</t>
        </is>
      </c>
      <c r="G116" t="inlineStr">
        <is>
          <t>VÄSTERÅS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70642-2021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46273</v>
      </c>
      <c r="F117" t="inlineStr">
        <is>
          <t>VÄSTMANLANDS LÄN</t>
        </is>
      </c>
      <c r="G117" t="inlineStr">
        <is>
          <t>VÄSTERÅS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57873-2022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46273</v>
      </c>
      <c r="F118" t="inlineStr">
        <is>
          <t>VÄSTMANLANDS LÄN</t>
        </is>
      </c>
      <c r="G118" t="inlineStr">
        <is>
          <t>VÄSTERÅS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46273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46273</v>
      </c>
      <c r="F120" t="inlineStr">
        <is>
          <t>VÄSTMANLANDS LÄN</t>
        </is>
      </c>
      <c r="G120" t="inlineStr">
        <is>
          <t>VÄSTERÅS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44914</v>
      </c>
      <c r="E121" s="1" t="n">
        <v>46273</v>
      </c>
      <c r="F121" t="inlineStr">
        <is>
          <t>VÄSTMANLANDS LÄN</t>
        </is>
      </c>
      <c r="G121" t="inlineStr">
        <is>
          <t>VÄSTERÅS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46273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12.9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12148-2022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46273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Kommuner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17808-2023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45037</v>
      </c>
      <c r="E124" s="1" t="n">
        <v>46273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44717</v>
      </c>
      <c r="E125" s="1" t="n">
        <v>46273</v>
      </c>
      <c r="F125" t="inlineStr">
        <is>
          <t>VÄSTMANLANDS LÄN</t>
        </is>
      </c>
      <c r="G125" t="inlineStr">
        <is>
          <t>VÄSTERÅS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46273</v>
      </c>
      <c r="F126" t="inlineStr">
        <is>
          <t>VÄSTMANLANDS LÄN</t>
        </is>
      </c>
      <c r="G126" t="inlineStr">
        <is>
          <t>VÄSTERÅS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46273</v>
      </c>
      <c r="F127" t="inlineStr">
        <is>
          <t>VÄSTMANLANDS LÄN</t>
        </is>
      </c>
      <c r="G127" t="inlineStr">
        <is>
          <t>VÄSTERÅS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44662</v>
      </c>
      <c r="E128" s="1" t="n">
        <v>46273</v>
      </c>
      <c r="F128" t="inlineStr">
        <is>
          <t>VÄSTMANLANDS LÄN</t>
        </is>
      </c>
      <c r="G128" t="inlineStr">
        <is>
          <t>VÄSTERÅS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63851-2021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44509</v>
      </c>
      <c r="E129" s="1" t="n">
        <v>46273</v>
      </c>
      <c r="F129" t="inlineStr">
        <is>
          <t>VÄSTMANLANDS LÄN</t>
        </is>
      </c>
      <c r="G129" t="inlineStr">
        <is>
          <t>VÄSTERÅS</t>
        </is>
      </c>
      <c r="I129" t="n">
        <v>11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56945-2024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45628</v>
      </c>
      <c r="E130" s="1" t="n">
        <v>46273</v>
      </c>
      <c r="F130" t="inlineStr">
        <is>
          <t>VÄSTMANLANDS LÄN</t>
        </is>
      </c>
      <c r="G130" t="inlineStr">
        <is>
          <t>VÄSTERÅS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59740-2024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45639</v>
      </c>
      <c r="E131" s="1" t="n">
        <v>46273</v>
      </c>
      <c r="F131" t="inlineStr">
        <is>
          <t>VÄSTMANLANDS LÄN</t>
        </is>
      </c>
      <c r="G131" t="inlineStr">
        <is>
          <t>VÄSTERÅS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46273</v>
      </c>
      <c r="F132" t="inlineStr">
        <is>
          <t>VÄSTMANLANDS LÄN</t>
        </is>
      </c>
      <c r="G132" t="inlineStr">
        <is>
          <t>VÄSTERÅS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46273</v>
      </c>
      <c r="F133" t="inlineStr">
        <is>
          <t>VÄSTMANLANDS LÄN</t>
        </is>
      </c>
      <c r="G133" t="inlineStr">
        <is>
          <t>VÄSTERÅS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45027</v>
      </c>
      <c r="E134" s="1" t="n">
        <v>46273</v>
      </c>
      <c r="F134" t="inlineStr">
        <is>
          <t>VÄSTMANLANDS LÄN</t>
        </is>
      </c>
      <c r="G134" t="inlineStr">
        <is>
          <t>VÄSTERÅS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45027</v>
      </c>
      <c r="E135" s="1" t="n">
        <v>46273</v>
      </c>
      <c r="F135" t="inlineStr">
        <is>
          <t>VÄSTMANLANDS LÄN</t>
        </is>
      </c>
      <c r="G135" t="inlineStr">
        <is>
          <t>VÄSTERÅS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46273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Aktiebolag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46273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41219-2022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46273</v>
      </c>
      <c r="F138" t="inlineStr">
        <is>
          <t>VÄSTMANLANDS LÄN</t>
        </is>
      </c>
      <c r="G138" t="inlineStr">
        <is>
          <t>VÄSTERÅS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44999</v>
      </c>
      <c r="E139" s="1" t="n">
        <v>46273</v>
      </c>
      <c r="F139" t="inlineStr">
        <is>
          <t>VÄSTMANLANDS LÄN</t>
        </is>
      </c>
      <c r="G139" t="inlineStr">
        <is>
          <t>VÄSTERÅS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52015-2024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45607</v>
      </c>
      <c r="E140" s="1" t="n">
        <v>46273</v>
      </c>
      <c r="F140" t="inlineStr">
        <is>
          <t>VÄSTMANLANDS LÄN</t>
        </is>
      </c>
      <c r="G140" t="inlineStr">
        <is>
          <t>VÄSTERÅS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3118-2022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44582</v>
      </c>
      <c r="E141" s="1" t="n">
        <v>46273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Övriga Aktiebolag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45019</v>
      </c>
      <c r="E142" s="1" t="n">
        <v>46273</v>
      </c>
      <c r="F142" t="inlineStr">
        <is>
          <t>VÄSTMANLANDS LÄN</t>
        </is>
      </c>
      <c r="G142" t="inlineStr">
        <is>
          <t>VÄSTERÅS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46273</v>
      </c>
      <c r="F143" t="inlineStr">
        <is>
          <t>VÄSTMANLANDS LÄN</t>
        </is>
      </c>
      <c r="G143" t="inlineStr">
        <is>
          <t>VÄSTERÅS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46273</v>
      </c>
      <c r="F144" t="inlineStr">
        <is>
          <t>VÄSTMANLANDS LÄN</t>
        </is>
      </c>
      <c r="G144" t="inlineStr">
        <is>
          <t>VÄSTERÅS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46273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46273</v>
      </c>
      <c r="F146" t="inlineStr">
        <is>
          <t>VÄSTMANLANDS LÄN</t>
        </is>
      </c>
      <c r="G146" t="inlineStr">
        <is>
          <t>VÄSTERÅS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46273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Övriga statliga verk och myndigheter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44695-2022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44840</v>
      </c>
      <c r="E148" s="1" t="n">
        <v>46273</v>
      </c>
      <c r="F148" t="inlineStr">
        <is>
          <t>VÄSTMANLANDS LÄN</t>
        </is>
      </c>
      <c r="G148" t="inlineStr">
        <is>
          <t>VÄSTERÅS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45077</v>
      </c>
      <c r="E149" s="1" t="n">
        <v>46273</v>
      </c>
      <c r="F149" t="inlineStr">
        <is>
          <t>VÄSTMANLANDS LÄN</t>
        </is>
      </c>
      <c r="G149" t="inlineStr">
        <is>
          <t>VÄSTERÅS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46273</v>
      </c>
      <c r="F150" t="inlineStr">
        <is>
          <t>VÄSTMANLANDS LÄN</t>
        </is>
      </c>
      <c r="G150" t="inlineStr">
        <is>
          <t>VÄSTERÅS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45735</v>
      </c>
      <c r="E151" s="1" t="n">
        <v>46273</v>
      </c>
      <c r="F151" t="inlineStr">
        <is>
          <t>VÄSTMANLANDS LÄN</t>
        </is>
      </c>
      <c r="G151" t="inlineStr">
        <is>
          <t>VÄSTERÅS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46273</v>
      </c>
      <c r="F152" t="inlineStr">
        <is>
          <t>VÄSTMANLANDS LÄN</t>
        </is>
      </c>
      <c r="G152" t="inlineStr">
        <is>
          <t>VÄSTERÅS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46273</v>
      </c>
      <c r="F153" t="inlineStr">
        <is>
          <t>VÄSTMANLANDS LÄN</t>
        </is>
      </c>
      <c r="G153" t="inlineStr">
        <is>
          <t>VÄSTERÅS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46273</v>
      </c>
      <c r="F154" t="inlineStr">
        <is>
          <t>VÄSTMANLANDS LÄN</t>
        </is>
      </c>
      <c r="G154" t="inlineStr">
        <is>
          <t>VÄSTERÅS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46273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46273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statliga verk och myndigheter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18119-2025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45761</v>
      </c>
      <c r="E157" s="1" t="n">
        <v>46273</v>
      </c>
      <c r="F157" t="inlineStr">
        <is>
          <t>VÄSTMANLANDS LÄN</t>
        </is>
      </c>
      <c r="G157" t="inlineStr">
        <is>
          <t>VÄSTERÅS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44893</v>
      </c>
      <c r="E158" s="1" t="n">
        <v>46273</v>
      </c>
      <c r="F158" t="inlineStr">
        <is>
          <t>VÄSTMANLANDS LÄN</t>
        </is>
      </c>
      <c r="G158" t="inlineStr">
        <is>
          <t>VÄSTERÅS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46273</v>
      </c>
      <c r="F159" t="inlineStr">
        <is>
          <t>VÄSTMANLANDS LÄN</t>
        </is>
      </c>
      <c r="G159" t="inlineStr">
        <is>
          <t>VÄSTERÅS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45223</v>
      </c>
      <c r="E160" s="1" t="n">
        <v>46273</v>
      </c>
      <c r="F160" t="inlineStr">
        <is>
          <t>VÄSTMANLANDS LÄN</t>
        </is>
      </c>
      <c r="G160" t="inlineStr">
        <is>
          <t>VÄSTERÅS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46162</v>
      </c>
      <c r="E161" s="1" t="n">
        <v>46273</v>
      </c>
      <c r="F161" t="inlineStr">
        <is>
          <t>VÄSTMANLANDS LÄN</t>
        </is>
      </c>
      <c r="G161" t="inlineStr">
        <is>
          <t>VÄSTERÅS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46273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46273</v>
      </c>
      <c r="F163" t="inlineStr">
        <is>
          <t>VÄSTMANLANDS LÄN</t>
        </is>
      </c>
      <c r="G163" t="inlineStr">
        <is>
          <t>VÄSTERÅS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46273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64207-2023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45279</v>
      </c>
      <c r="E165" s="1" t="n">
        <v>46273</v>
      </c>
      <c r="F165" t="inlineStr">
        <is>
          <t>VÄSTMANLANDS LÄN</t>
        </is>
      </c>
      <c r="G165" t="inlineStr">
        <is>
          <t>VÄSTERÅS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46273</v>
      </c>
      <c r="F166" t="inlineStr">
        <is>
          <t>VÄSTMANLANDS LÄN</t>
        </is>
      </c>
      <c r="G166" t="inlineStr">
        <is>
          <t>VÄSTERÅS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46273</v>
      </c>
      <c r="F167" t="inlineStr">
        <is>
          <t>VÄSTMANLANDS LÄN</t>
        </is>
      </c>
      <c r="G167" t="inlineStr">
        <is>
          <t>VÄSTERÅS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46273</v>
      </c>
      <c r="F168" t="inlineStr">
        <is>
          <t>VÄSTMANLANDS LÄN</t>
        </is>
      </c>
      <c r="G168" t="inlineStr">
        <is>
          <t>VÄSTERÅS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44901</v>
      </c>
      <c r="E169" s="1" t="n">
        <v>46273</v>
      </c>
      <c r="F169" t="inlineStr">
        <is>
          <t>VÄSTMANLANDS LÄN</t>
        </is>
      </c>
      <c r="G169" t="inlineStr">
        <is>
          <t>VÄSTERÅS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46273</v>
      </c>
      <c r="F170" t="inlineStr">
        <is>
          <t>VÄSTMANLANDS LÄN</t>
        </is>
      </c>
      <c r="G170" t="inlineStr">
        <is>
          <t>VÄSTERÅS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46273</v>
      </c>
      <c r="F171" t="inlineStr">
        <is>
          <t>VÄSTMANLANDS LÄN</t>
        </is>
      </c>
      <c r="G171" t="inlineStr">
        <is>
          <t>VÄSTERÅS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46273</v>
      </c>
      <c r="F172" t="inlineStr">
        <is>
          <t>VÄSTMANLANDS LÄN</t>
        </is>
      </c>
      <c r="G172" t="inlineStr">
        <is>
          <t>VÄSTERÅS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46169</v>
      </c>
      <c r="E173" s="1" t="n">
        <v>46273</v>
      </c>
      <c r="F173" t="inlineStr">
        <is>
          <t>VÄSTMANLANDS LÄN</t>
        </is>
      </c>
      <c r="G173" t="inlineStr">
        <is>
          <t>VÄSTERÅS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45274</v>
      </c>
      <c r="E174" s="1" t="n">
        <v>46273</v>
      </c>
      <c r="F174" t="inlineStr">
        <is>
          <t>VÄSTMANLANDS LÄN</t>
        </is>
      </c>
      <c r="G174" t="inlineStr">
        <is>
          <t>VÄSTERÅS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46273</v>
      </c>
      <c r="F175" t="inlineStr">
        <is>
          <t>VÄSTMANLANDS LÄN</t>
        </is>
      </c>
      <c r="G175" t="inlineStr">
        <is>
          <t>VÄSTERÅS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46273</v>
      </c>
      <c r="F176" t="inlineStr">
        <is>
          <t>VÄSTMANLANDS LÄN</t>
        </is>
      </c>
      <c r="G176" t="inlineStr">
        <is>
          <t>VÄSTERÅS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73601-2021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44552</v>
      </c>
      <c r="E177" s="1" t="n">
        <v>46273</v>
      </c>
      <c r="F177" t="inlineStr">
        <is>
          <t>VÄSTMANLANDS LÄN</t>
        </is>
      </c>
      <c r="G177" t="inlineStr">
        <is>
          <t>VÄSTERÅS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46273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Sveaskog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44812</v>
      </c>
      <c r="E179" s="1" t="n">
        <v>46273</v>
      </c>
      <c r="F179" t="inlineStr">
        <is>
          <t>VÄSTMANLANDS LÄN</t>
        </is>
      </c>
      <c r="G179" t="inlineStr">
        <is>
          <t>VÄSTERÅS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45457</v>
      </c>
      <c r="E180" s="1" t="n">
        <v>46273</v>
      </c>
      <c r="F180" t="inlineStr">
        <is>
          <t>VÄSTMANLANDS LÄN</t>
        </is>
      </c>
      <c r="G180" t="inlineStr">
        <is>
          <t>VÄSTERÅS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46273</v>
      </c>
      <c r="F181" t="inlineStr">
        <is>
          <t>VÄSTMANLANDS LÄN</t>
        </is>
      </c>
      <c r="G181" t="inlineStr">
        <is>
          <t>VÄSTERÅS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46273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46273</v>
      </c>
      <c r="F183" t="inlineStr">
        <is>
          <t>VÄSTMANLANDS LÄN</t>
        </is>
      </c>
      <c r="G183" t="inlineStr">
        <is>
          <t>VÄSTERÅS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74314-2021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46273</v>
      </c>
      <c r="F184" t="inlineStr">
        <is>
          <t>VÄSTMANLANDS LÄN</t>
        </is>
      </c>
      <c r="G184" t="inlineStr">
        <is>
          <t>VÄSTERÅS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44595</v>
      </c>
      <c r="E185" s="1" t="n">
        <v>46273</v>
      </c>
      <c r="F185" t="inlineStr">
        <is>
          <t>VÄSTMANLANDS LÄN</t>
        </is>
      </c>
      <c r="G185" t="inlineStr">
        <is>
          <t>VÄSTERÅS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46273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46273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Allmännings- och besparingsskogar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45218</v>
      </c>
      <c r="E188" s="1" t="n">
        <v>46273</v>
      </c>
      <c r="F188" t="inlineStr">
        <is>
          <t>VÄSTMANLANDS LÄN</t>
        </is>
      </c>
      <c r="G188" t="inlineStr">
        <is>
          <t>VÄSTERÅS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46273</v>
      </c>
      <c r="F189" t="inlineStr">
        <is>
          <t>VÄSTMANLANDS LÄN</t>
        </is>
      </c>
      <c r="G189" t="inlineStr">
        <is>
          <t>VÄSTERÅS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44637</v>
      </c>
      <c r="E190" s="1" t="n">
        <v>46273</v>
      </c>
      <c r="F190" t="inlineStr">
        <is>
          <t>VÄSTMANLANDS LÄN</t>
        </is>
      </c>
      <c r="G190" t="inlineStr">
        <is>
          <t>VÄSTERÅS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16214-2023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45028</v>
      </c>
      <c r="E191" s="1" t="n">
        <v>46273</v>
      </c>
      <c r="F191" t="inlineStr">
        <is>
          <t>VÄSTMANLANDS LÄN</t>
        </is>
      </c>
      <c r="G191" t="inlineStr">
        <is>
          <t>VÄSTERÅS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46273</v>
      </c>
      <c r="F192" t="inlineStr">
        <is>
          <t>VÄSTMANLANDS LÄN</t>
        </is>
      </c>
      <c r="G192" t="inlineStr">
        <is>
          <t>VÄSTERÅS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46273</v>
      </c>
      <c r="F193" t="inlineStr">
        <is>
          <t>VÄSTMANLANDS LÄN</t>
        </is>
      </c>
      <c r="G193" t="inlineStr">
        <is>
          <t>VÄSTERÅS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46273</v>
      </c>
      <c r="F194" t="inlineStr">
        <is>
          <t>VÄSTMANLANDS LÄN</t>
        </is>
      </c>
      <c r="G194" t="inlineStr">
        <is>
          <t>VÄSTERÅS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46273</v>
      </c>
      <c r="F195" t="inlineStr">
        <is>
          <t>VÄSTMANLANDS LÄN</t>
        </is>
      </c>
      <c r="G195" t="inlineStr">
        <is>
          <t>VÄSTERÅS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46273</v>
      </c>
      <c r="F196" t="inlineStr">
        <is>
          <t>VÄSTMANLANDS LÄN</t>
        </is>
      </c>
      <c r="G196" t="inlineStr">
        <is>
          <t>VÄSTERÅS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45125</v>
      </c>
      <c r="E197" s="1" t="n">
        <v>46273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46190</v>
      </c>
      <c r="E198" s="1" t="n">
        <v>46273</v>
      </c>
      <c r="F198" t="inlineStr">
        <is>
          <t>VÄSTMANLANDS LÄN</t>
        </is>
      </c>
      <c r="G198" t="inlineStr">
        <is>
          <t>VÄSTERÅS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18465-2023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45042</v>
      </c>
      <c r="E199" s="1" t="n">
        <v>46273</v>
      </c>
      <c r="F199" t="inlineStr">
        <is>
          <t>VÄSTMANLANDS LÄN</t>
        </is>
      </c>
      <c r="G199" t="inlineStr">
        <is>
          <t>VÄSTERÅS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46273</v>
      </c>
      <c r="F200" t="inlineStr">
        <is>
          <t>VÄSTMANLANDS LÄN</t>
        </is>
      </c>
      <c r="G200" t="inlineStr">
        <is>
          <t>VÄSTERÅS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73994-2021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44556</v>
      </c>
      <c r="E201" s="1" t="n">
        <v>46273</v>
      </c>
      <c r="F201" t="inlineStr">
        <is>
          <t>VÄSTMANLANDS LÄN</t>
        </is>
      </c>
      <c r="G201" t="inlineStr">
        <is>
          <t>VÄSTERÅS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46273</v>
      </c>
      <c r="F202" t="inlineStr">
        <is>
          <t>VÄSTMANLANDS LÄN</t>
        </is>
      </c>
      <c r="G202" t="inlineStr">
        <is>
          <t>VÄSTERÅS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73597-2021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44552</v>
      </c>
      <c r="E203" s="1" t="n">
        <v>46273</v>
      </c>
      <c r="F203" t="inlineStr">
        <is>
          <t>VÄSTMANLANDS LÄN</t>
        </is>
      </c>
      <c r="G203" t="inlineStr">
        <is>
          <t>VÄSTERÅS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46273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Allmännings- och besparingsskogar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46273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45506</v>
      </c>
      <c r="E206" s="1" t="n">
        <v>46273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Kommuner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67350-2021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44523</v>
      </c>
      <c r="E207" s="1" t="n">
        <v>46273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Övriga Aktiebolag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46273</v>
      </c>
      <c r="F208" t="inlineStr">
        <is>
          <t>VÄSTMANLANDS LÄN</t>
        </is>
      </c>
      <c r="G208" t="inlineStr">
        <is>
          <t>VÄSTERÅS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46273</v>
      </c>
      <c r="F209" t="inlineStr">
        <is>
          <t>VÄSTMANLANDS LÄN</t>
        </is>
      </c>
      <c r="G209" t="inlineStr">
        <is>
          <t>VÄSTERÅS</t>
        </is>
      </c>
      <c r="I209" t="n">
        <v>14.1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44606</v>
      </c>
      <c r="E210" s="1" t="n">
        <v>46273</v>
      </c>
      <c r="F210" t="inlineStr">
        <is>
          <t>VÄSTMANLANDS LÄN</t>
        </is>
      </c>
      <c r="G210" t="inlineStr">
        <is>
          <t>VÄSTERÅS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46273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44623</v>
      </c>
      <c r="E212" s="1" t="n">
        <v>46273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44658</v>
      </c>
      <c r="E213" s="1" t="n">
        <v>46273</v>
      </c>
      <c r="F213" t="inlineStr">
        <is>
          <t>VÄSTMANLANDS LÄN</t>
        </is>
      </c>
      <c r="G213" t="inlineStr">
        <is>
          <t>VÄSTERÅS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11983-2022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46273</v>
      </c>
      <c r="F214" t="inlineStr">
        <is>
          <t>VÄSTMANLANDS LÄN</t>
        </is>
      </c>
      <c r="G214" t="inlineStr">
        <is>
          <t>VÄSTERÅS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11989-2022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46273</v>
      </c>
      <c r="F215" t="inlineStr">
        <is>
          <t>VÄSTMANLANDS LÄN</t>
        </is>
      </c>
      <c r="G215" t="inlineStr">
        <is>
          <t>VÄSTERÅS</t>
        </is>
      </c>
      <c r="I215" t="n">
        <v>12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46273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44635</v>
      </c>
      <c r="E217" s="1" t="n">
        <v>46273</v>
      </c>
      <c r="F217" t="inlineStr">
        <is>
          <t>VÄSTMANLANDS LÄN</t>
        </is>
      </c>
      <c r="G217" t="inlineStr">
        <is>
          <t>VÄSTERÅS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44708</v>
      </c>
      <c r="E218" s="1" t="n">
        <v>46273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Sveaskog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46273</v>
      </c>
      <c r="F219" t="inlineStr">
        <is>
          <t>VÄSTMANLANDS LÄN</t>
        </is>
      </c>
      <c r="G219" t="inlineStr">
        <is>
          <t>VÄSTERÅS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45180</v>
      </c>
      <c r="E220" s="1" t="n">
        <v>46273</v>
      </c>
      <c r="F220" t="inlineStr">
        <is>
          <t>VÄSTMANLANDS LÄN</t>
        </is>
      </c>
      <c r="G220" t="inlineStr">
        <is>
          <t>VÄSTERÅS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46273</v>
      </c>
      <c r="F221" t="inlineStr">
        <is>
          <t>VÄSTMANLANDS LÄN</t>
        </is>
      </c>
      <c r="G221" t="inlineStr">
        <is>
          <t>VÄSTERÅS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7797-2026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46062</v>
      </c>
      <c r="E222" s="1" t="n">
        <v>46273</v>
      </c>
      <c r="F222" t="inlineStr">
        <is>
          <t>VÄSTMANLANDS LÄN</t>
        </is>
      </c>
      <c r="G222" t="inlineStr">
        <is>
          <t>VÄSTERÅS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44680</v>
      </c>
      <c r="E223" s="1" t="n">
        <v>46273</v>
      </c>
      <c r="F223" t="inlineStr">
        <is>
          <t>VÄSTMANLANDS LÄN</t>
        </is>
      </c>
      <c r="G223" t="inlineStr">
        <is>
          <t>VÄSTERÅS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27722-2022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46273</v>
      </c>
      <c r="F224" t="inlineStr">
        <is>
          <t>VÄSTMANLANDS LÄN</t>
        </is>
      </c>
      <c r="G224" t="inlineStr">
        <is>
          <t>VÄSTERÅS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45153</v>
      </c>
      <c r="E225" s="1" t="n">
        <v>46273</v>
      </c>
      <c r="F225" t="inlineStr">
        <is>
          <t>VÄSTMANLANDS LÄN</t>
        </is>
      </c>
      <c r="G225" t="inlineStr">
        <is>
          <t>VÄSTERÅS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45219</v>
      </c>
      <c r="E226" s="1" t="n">
        <v>46273</v>
      </c>
      <c r="F226" t="inlineStr">
        <is>
          <t>VÄSTMANLANDS LÄN</t>
        </is>
      </c>
      <c r="G226" t="inlineStr">
        <is>
          <t>VÄSTERÅS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44664</v>
      </c>
      <c r="E227" s="1" t="n">
        <v>46273</v>
      </c>
      <c r="F227" t="inlineStr">
        <is>
          <t>VÄSTMANLANDS LÄN</t>
        </is>
      </c>
      <c r="G227" t="inlineStr">
        <is>
          <t>VÄSTERÅS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46273</v>
      </c>
      <c r="F228" t="inlineStr">
        <is>
          <t>VÄSTMANLANDS LÄN</t>
        </is>
      </c>
      <c r="G228" t="inlineStr">
        <is>
          <t>VÄSTERÅS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46080</v>
      </c>
      <c r="E229" s="1" t="n">
        <v>46273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46273</v>
      </c>
      <c r="F230" t="inlineStr">
        <is>
          <t>VÄSTMANLANDS LÄN</t>
        </is>
      </c>
      <c r="G230" t="inlineStr">
        <is>
          <t>VÄSTERÅS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46079</v>
      </c>
      <c r="E231" s="1" t="n">
        <v>46273</v>
      </c>
      <c r="F231" t="inlineStr">
        <is>
          <t>VÄSTMANLANDS LÄN</t>
        </is>
      </c>
      <c r="G231" t="inlineStr">
        <is>
          <t>VÄSTERÅS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51230-2023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46273</v>
      </c>
      <c r="F232" t="inlineStr">
        <is>
          <t>VÄSTMANLANDS LÄN</t>
        </is>
      </c>
      <c r="G232" t="inlineStr">
        <is>
          <t>VÄSTERÅS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52027-2025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45952</v>
      </c>
      <c r="E233" s="1" t="n">
        <v>46273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Övriga statliga verk och myndigheter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46080</v>
      </c>
      <c r="E234" s="1" t="n">
        <v>46273</v>
      </c>
      <c r="F234" t="inlineStr">
        <is>
          <t>VÄSTMANLANDS LÄN</t>
        </is>
      </c>
      <c r="G234" t="inlineStr">
        <is>
          <t>VÄSTERÅS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23765-2022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46273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46273</v>
      </c>
      <c r="F236" t="inlineStr">
        <is>
          <t>VÄSTMANLANDS LÄN</t>
        </is>
      </c>
      <c r="G236" t="inlineStr">
        <is>
          <t>VÄSTERÅS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46273</v>
      </c>
      <c r="F237" t="inlineStr">
        <is>
          <t>VÄSTMANLANDS LÄN</t>
        </is>
      </c>
      <c r="G237" t="inlineStr">
        <is>
          <t>VÄSTERÅS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46078</v>
      </c>
      <c r="E238" s="1" t="n">
        <v>46273</v>
      </c>
      <c r="F238" t="inlineStr">
        <is>
          <t>VÄSTMANLANDS LÄN</t>
        </is>
      </c>
      <c r="G238" t="inlineStr">
        <is>
          <t>VÄSTERÅS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44594</v>
      </c>
      <c r="E239" s="1" t="n">
        <v>46273</v>
      </c>
      <c r="F239" t="inlineStr">
        <is>
          <t>VÄSTMANLANDS LÄN</t>
        </is>
      </c>
      <c r="G239" t="inlineStr">
        <is>
          <t>VÄSTERÅS</t>
        </is>
      </c>
      <c r="I239" t="n">
        <v>20.3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11739-2026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46273</v>
      </c>
      <c r="F240" t="inlineStr">
        <is>
          <t>VÄSTMANLANDS LÄN</t>
        </is>
      </c>
      <c r="G240" t="inlineStr">
        <is>
          <t>VÄSTERÅS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44739</v>
      </c>
      <c r="E241" s="1" t="n">
        <v>46273</v>
      </c>
      <c r="F241" t="inlineStr">
        <is>
          <t>VÄSTMANLANDS LÄN</t>
        </is>
      </c>
      <c r="G241" t="inlineStr">
        <is>
          <t>VÄSTERÅS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64202-2023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45279</v>
      </c>
      <c r="E242" s="1" t="n">
        <v>46273</v>
      </c>
      <c r="F242" t="inlineStr">
        <is>
          <t>VÄSTMANLANDS LÄN</t>
        </is>
      </c>
      <c r="G242" t="inlineStr">
        <is>
          <t>VÄSTERÅS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64793-2023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45282</v>
      </c>
      <c r="E243" s="1" t="n">
        <v>46273</v>
      </c>
      <c r="F243" t="inlineStr">
        <is>
          <t>VÄSTMANLANDS LÄN</t>
        </is>
      </c>
      <c r="G243" t="inlineStr">
        <is>
          <t>VÄSTERÅS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46215</v>
      </c>
      <c r="E244" s="1" t="n">
        <v>46273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Sveaskog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31058-2026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46215</v>
      </c>
      <c r="E245" s="1" t="n">
        <v>46273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46213</v>
      </c>
      <c r="E246" s="1" t="n">
        <v>46273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46215</v>
      </c>
      <c r="E247" s="1" t="n">
        <v>46273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9.800000000000001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46215</v>
      </c>
      <c r="E248" s="1" t="n">
        <v>46273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46215</v>
      </c>
      <c r="E249" s="1" t="n">
        <v>46273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45761</v>
      </c>
      <c r="E250" s="1" t="n">
        <v>46273</v>
      </c>
      <c r="F250" t="inlineStr">
        <is>
          <t>VÄSTMANLANDS LÄN</t>
        </is>
      </c>
      <c r="G250" t="inlineStr">
        <is>
          <t>VÄSTERÅS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46215</v>
      </c>
      <c r="E251" s="1" t="n">
        <v>46273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46217</v>
      </c>
      <c r="E252" s="1" t="n">
        <v>46273</v>
      </c>
      <c r="F252" t="inlineStr">
        <is>
          <t>VÄSTMANLANDS LÄN</t>
        </is>
      </c>
      <c r="G252" t="inlineStr">
        <is>
          <t>VÄSTERÅS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44648</v>
      </c>
      <c r="E253" s="1" t="n">
        <v>46273</v>
      </c>
      <c r="F253" t="inlineStr">
        <is>
          <t>VÄSTMANLANDS LÄN</t>
        </is>
      </c>
      <c r="G253" t="inlineStr">
        <is>
          <t>VÄSTERÅS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46273</v>
      </c>
      <c r="F254" t="inlineStr">
        <is>
          <t>VÄSTMANLANDS LÄN</t>
        </is>
      </c>
      <c r="G254" t="inlineStr">
        <is>
          <t>VÄSTERÅS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44847</v>
      </c>
      <c r="E255" s="1" t="n">
        <v>46273</v>
      </c>
      <c r="F255" t="inlineStr">
        <is>
          <t>VÄSTMANLANDS LÄN</t>
        </is>
      </c>
      <c r="G255" t="inlineStr">
        <is>
          <t>VÄSTERÅS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44961</v>
      </c>
      <c r="E256" s="1" t="n">
        <v>46273</v>
      </c>
      <c r="F256" t="inlineStr">
        <is>
          <t>VÄSTMANLANDS LÄN</t>
        </is>
      </c>
      <c r="G256" t="inlineStr">
        <is>
          <t>VÄSTERÅS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46273</v>
      </c>
      <c r="F257" t="inlineStr">
        <is>
          <t>VÄSTMANLANDS LÄN</t>
        </is>
      </c>
      <c r="G257" t="inlineStr">
        <is>
          <t>VÄSTERÅS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46112</v>
      </c>
      <c r="E258" s="1" t="n">
        <v>46273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46273</v>
      </c>
      <c r="F259" t="inlineStr">
        <is>
          <t>VÄSTMANLANDS LÄN</t>
        </is>
      </c>
      <c r="G259" t="inlineStr">
        <is>
          <t>VÄSTERÅS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46273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46273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46112</v>
      </c>
      <c r="E262" s="1" t="n">
        <v>46273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22287-2026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46273</v>
      </c>
      <c r="F263" t="inlineStr">
        <is>
          <t>VÄSTMANLANDS LÄN</t>
        </is>
      </c>
      <c r="G263" t="inlineStr">
        <is>
          <t>VÄSTERÅS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44523</v>
      </c>
      <c r="E264" s="1" t="n">
        <v>46273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Övriga Aktiebolag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46273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Kommuner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46120</v>
      </c>
      <c r="E266" s="1" t="n">
        <v>46273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Allmännings- och besparingsskogar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35682-2026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46273</v>
      </c>
      <c r="F267" t="inlineStr">
        <is>
          <t>VÄSTMANLANDS LÄN</t>
        </is>
      </c>
      <c r="G267" t="inlineStr">
        <is>
          <t>VÄSTERÅS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44671</v>
      </c>
      <c r="E268" s="1" t="n">
        <v>46273</v>
      </c>
      <c r="F268" t="inlineStr">
        <is>
          <t>VÄSTMANLANDS LÄN</t>
        </is>
      </c>
      <c r="G268" t="inlineStr">
        <is>
          <t>VÄSTERÅS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46265</v>
      </c>
      <c r="E269" s="1" t="n">
        <v>46273</v>
      </c>
      <c r="F269" t="inlineStr">
        <is>
          <t>VÄSTMANLANDS LÄN</t>
        </is>
      </c>
      <c r="G269" t="inlineStr">
        <is>
          <t>VÄSTERÅS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22700-2024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45448</v>
      </c>
      <c r="E270" s="1" t="n">
        <v>46273</v>
      </c>
      <c r="F270" t="inlineStr">
        <is>
          <t>VÄSTMANLANDS LÄN</t>
        </is>
      </c>
      <c r="G270" t="inlineStr">
        <is>
          <t>VÄSTERÅS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46272</v>
      </c>
      <c r="E271" s="1" t="n">
        <v>46273</v>
      </c>
      <c r="F271" t="inlineStr">
        <is>
          <t>VÄSTMANLANDS LÄN</t>
        </is>
      </c>
      <c r="G271" t="inlineStr">
        <is>
          <t>VÄSTERÅS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14926-2022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44657</v>
      </c>
      <c r="E272" s="1" t="n">
        <v>46273</v>
      </c>
      <c r="F272" t="inlineStr">
        <is>
          <t>VÄSTMANLANDS LÄN</t>
        </is>
      </c>
      <c r="G272" t="inlineStr">
        <is>
          <t>VÄSTERÅS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46273</v>
      </c>
      <c r="F273" t="inlineStr">
        <is>
          <t>VÄSTMANLANDS LÄN</t>
        </is>
      </c>
      <c r="G273" t="inlineStr">
        <is>
          <t>VÄSTERÅS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46273</v>
      </c>
      <c r="F274" t="inlineStr">
        <is>
          <t>VÄSTMANLANDS LÄN</t>
        </is>
      </c>
      <c r="G274" t="inlineStr">
        <is>
          <t>VÄSTERÅS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11137-2023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44987</v>
      </c>
      <c r="E275" s="1" t="n">
        <v>46273</v>
      </c>
      <c r="F275" t="inlineStr">
        <is>
          <t>VÄSTMANLANDS LÄN</t>
        </is>
      </c>
      <c r="G275" t="inlineStr">
        <is>
          <t>VÄSTERÅS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45019</v>
      </c>
      <c r="E276" s="1" t="n">
        <v>46273</v>
      </c>
      <c r="F276" t="inlineStr">
        <is>
          <t>VÄSTMANLANDS LÄN</t>
        </is>
      </c>
      <c r="G276" t="inlineStr">
        <is>
          <t>VÄSTERÅS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46273</v>
      </c>
      <c r="F277" t="inlineStr">
        <is>
          <t>VÄSTMANLANDS LÄN</t>
        </is>
      </c>
      <c r="G277" t="inlineStr">
        <is>
          <t>VÄSTERÅS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44610</v>
      </c>
      <c r="E278" s="1" t="n">
        <v>46273</v>
      </c>
      <c r="F278" t="inlineStr">
        <is>
          <t>VÄSTMANLANDS LÄN</t>
        </is>
      </c>
      <c r="G278" t="inlineStr">
        <is>
          <t>VÄSTERÅS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19927-2026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46273</v>
      </c>
      <c r="F279" t="inlineStr">
        <is>
          <t>VÄSTMANLANDS LÄN</t>
        </is>
      </c>
      <c r="G279" t="inlineStr">
        <is>
          <t>VÄSTERÅS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45443</v>
      </c>
      <c r="E280" s="1" t="n">
        <v>46273</v>
      </c>
      <c r="F280" t="inlineStr">
        <is>
          <t>VÄSTMANLANDS LÄN</t>
        </is>
      </c>
      <c r="G280" t="inlineStr">
        <is>
          <t>VÄSTERÅS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46273</v>
      </c>
      <c r="F281" t="inlineStr">
        <is>
          <t>VÄSTMANLANDS LÄN</t>
        </is>
      </c>
      <c r="G281" t="inlineStr">
        <is>
          <t>VÄSTERÅS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39817-2024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46273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Kyrkan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45804-2024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45579</v>
      </c>
      <c r="E283" s="1" t="n">
        <v>46273</v>
      </c>
      <c r="F283" t="inlineStr">
        <is>
          <t>VÄSTMANLANDS LÄN</t>
        </is>
      </c>
      <c r="G283" t="inlineStr">
        <is>
          <t>VÄSTERÅS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44600</v>
      </c>
      <c r="E284" s="1" t="n">
        <v>46273</v>
      </c>
      <c r="F284" t="inlineStr">
        <is>
          <t>VÄSTMANLANDS LÄN</t>
        </is>
      </c>
      <c r="G284" t="inlineStr">
        <is>
          <t>VÄSTERÅS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46273</v>
      </c>
      <c r="F285" t="inlineStr">
        <is>
          <t>VÄSTMANLANDS LÄN</t>
        </is>
      </c>
      <c r="G285" t="inlineStr">
        <is>
          <t>VÄSTERÅS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46273</v>
      </c>
      <c r="F286" t="inlineStr">
        <is>
          <t>VÄSTMANLANDS LÄN</t>
        </is>
      </c>
      <c r="G286" t="inlineStr">
        <is>
          <t>VÄSTERÅS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46273</v>
      </c>
      <c r="F287" t="inlineStr">
        <is>
          <t>VÄSTMANLANDS LÄN</t>
        </is>
      </c>
      <c r="G287" t="inlineStr">
        <is>
          <t>VÄSTERÅS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8727-2023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44978</v>
      </c>
      <c r="E288" s="1" t="n">
        <v>46273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Kyrkan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58577-2023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45251</v>
      </c>
      <c r="E289" s="1" t="n">
        <v>46273</v>
      </c>
      <c r="F289" t="inlineStr">
        <is>
          <t>VÄSTMANLANDS LÄN</t>
        </is>
      </c>
      <c r="G289" t="inlineStr">
        <is>
          <t>VÄSTERÅS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44659</v>
      </c>
      <c r="E290" s="1" t="n">
        <v>46273</v>
      </c>
      <c r="F290" t="inlineStr">
        <is>
          <t>VÄSTMANLANDS LÄN</t>
        </is>
      </c>
      <c r="G290" t="inlineStr">
        <is>
          <t>VÄSTERÅS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46273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44574</v>
      </c>
      <c r="E292" s="1" t="n">
        <v>46273</v>
      </c>
      <c r="F292" t="inlineStr">
        <is>
          <t>VÄSTMANLANDS LÄN</t>
        </is>
      </c>
      <c r="G292" t="inlineStr">
        <is>
          <t>VÄSTERÅS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45603</v>
      </c>
      <c r="E293" s="1" t="n">
        <v>46273</v>
      </c>
      <c r="F293" t="inlineStr">
        <is>
          <t>VÄSTMANLANDS LÄN</t>
        </is>
      </c>
      <c r="G293" t="inlineStr">
        <is>
          <t>VÄSTERÅS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46273</v>
      </c>
      <c r="F294" t="inlineStr">
        <is>
          <t>VÄSTMANLANDS LÄN</t>
        </is>
      </c>
      <c r="G294" t="inlineStr">
        <is>
          <t>VÄSTERÅS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46273</v>
      </c>
      <c r="F295" t="inlineStr">
        <is>
          <t>VÄSTMANLANDS LÄN</t>
        </is>
      </c>
      <c r="G295" t="inlineStr">
        <is>
          <t>VÄSTERÅS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55684-2023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45232</v>
      </c>
      <c r="E296" s="1" t="n">
        <v>46273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Övriga Aktiebolag</t>
        </is>
      </c>
      <c r="I296" t="n">
        <v>29.4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39810-2024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46273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Kyrkan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45019</v>
      </c>
      <c r="E298" s="1" t="n">
        <v>46273</v>
      </c>
      <c r="F298" t="inlineStr">
        <is>
          <t>VÄSTMANLANDS LÄN</t>
        </is>
      </c>
      <c r="G298" t="inlineStr">
        <is>
          <t>VÄSTERÅS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18467-2023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45042</v>
      </c>
      <c r="E299" s="1" t="n">
        <v>46273</v>
      </c>
      <c r="F299" t="inlineStr">
        <is>
          <t>VÄSTMANLANDS LÄN</t>
        </is>
      </c>
      <c r="G299" t="inlineStr">
        <is>
          <t>VÄSTERÅS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45033</v>
      </c>
      <c r="E300" s="1" t="n">
        <v>46273</v>
      </c>
      <c r="F300" t="inlineStr">
        <is>
          <t>VÄSTMANLANDS LÄN</t>
        </is>
      </c>
      <c r="G300" t="inlineStr">
        <is>
          <t>VÄSTERÅS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10912-2024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45370</v>
      </c>
      <c r="E301" s="1" t="n">
        <v>46273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46273</v>
      </c>
      <c r="F302" t="inlineStr">
        <is>
          <t>VÄSTMANLANDS LÄN</t>
        </is>
      </c>
      <c r="G302" t="inlineStr">
        <is>
          <t>VÄSTERÅS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46273</v>
      </c>
      <c r="F303" t="inlineStr">
        <is>
          <t>VÄSTMANLANDS LÄN</t>
        </is>
      </c>
      <c r="G303" t="inlineStr">
        <is>
          <t>VÄSTERÅS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46273</v>
      </c>
      <c r="F304" t="inlineStr">
        <is>
          <t>VÄSTMANLANDS LÄN</t>
        </is>
      </c>
      <c r="G304" t="inlineStr">
        <is>
          <t>VÄSTERÅS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46273</v>
      </c>
      <c r="F305" t="inlineStr">
        <is>
          <t>VÄSTMANLANDS LÄN</t>
        </is>
      </c>
      <c r="G305" t="inlineStr">
        <is>
          <t>VÄSTERÅS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46273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45378</v>
      </c>
      <c r="E307" s="1" t="n">
        <v>46273</v>
      </c>
      <c r="F307" t="inlineStr">
        <is>
          <t>VÄSTMANLANDS LÄN</t>
        </is>
      </c>
      <c r="G307" t="inlineStr">
        <is>
          <t>VÄSTERÅS</t>
        </is>
      </c>
      <c r="I307" t="n">
        <v>15.4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45545</v>
      </c>
      <c r="E308" s="1" t="n">
        <v>46273</v>
      </c>
      <c r="F308" t="inlineStr">
        <is>
          <t>VÄSTMANLANDS LÄN</t>
        </is>
      </c>
      <c r="G308" t="inlineStr">
        <is>
          <t>VÄSTERÅS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45506</v>
      </c>
      <c r="E309" s="1" t="n">
        <v>46273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Kommuner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46273</v>
      </c>
      <c r="F310" t="inlineStr">
        <is>
          <t>VÄSTMANLANDS LÄN</t>
        </is>
      </c>
      <c r="G310" t="inlineStr">
        <is>
          <t>VÄSTERÅS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56076-2023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45235</v>
      </c>
      <c r="E311" s="1" t="n">
        <v>46273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Övriga Aktiebolag</t>
        </is>
      </c>
      <c r="I311" t="n">
        <v>37.8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45603</v>
      </c>
      <c r="E312" s="1" t="n">
        <v>46273</v>
      </c>
      <c r="F312" t="inlineStr">
        <is>
          <t>VÄSTMANLANDS LÄN</t>
        </is>
      </c>
      <c r="G312" t="inlineStr">
        <is>
          <t>VÄSTERÅS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46273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46273</v>
      </c>
      <c r="F314" t="inlineStr">
        <is>
          <t>VÄSTMANLANDS LÄN</t>
        </is>
      </c>
      <c r="G314" t="inlineStr">
        <is>
          <t>VÄSTERÅS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45516</v>
      </c>
      <c r="E315" s="1" t="n">
        <v>46273</v>
      </c>
      <c r="F315" t="inlineStr">
        <is>
          <t>VÄSTMANLANDS LÄN</t>
        </is>
      </c>
      <c r="G315" t="inlineStr">
        <is>
          <t>VÄSTERÅS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53833-2022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44880</v>
      </c>
      <c r="E316" s="1" t="n">
        <v>46273</v>
      </c>
      <c r="F316" t="inlineStr">
        <is>
          <t>VÄSTMANLANDS LÄN</t>
        </is>
      </c>
      <c r="G316" t="inlineStr">
        <is>
          <t>VÄSTERÅS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53836-2022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44880</v>
      </c>
      <c r="E317" s="1" t="n">
        <v>46273</v>
      </c>
      <c r="F317" t="inlineStr">
        <is>
          <t>VÄSTMANLANDS LÄN</t>
        </is>
      </c>
      <c r="G317" t="inlineStr">
        <is>
          <t>VÄSTERÅS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46273</v>
      </c>
      <c r="F318" t="inlineStr">
        <is>
          <t>VÄSTMANLANDS LÄN</t>
        </is>
      </c>
      <c r="G318" t="inlineStr">
        <is>
          <t>VÄSTERÅS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46273</v>
      </c>
      <c r="F319" t="inlineStr">
        <is>
          <t>VÄSTMANLANDS LÄN</t>
        </is>
      </c>
      <c r="G319" t="inlineStr">
        <is>
          <t>VÄSTERÅS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45832</v>
      </c>
      <c r="E320" s="1" t="n">
        <v>46273</v>
      </c>
      <c r="F320" t="inlineStr">
        <is>
          <t>VÄSTMANLANDS LÄN</t>
        </is>
      </c>
      <c r="G320" t="inlineStr">
        <is>
          <t>VÄSTERÅS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951-2020</t>
        </is>
      </c>
      <c r="B321" t="inlineStr">
        <is>
          <t>samrådsanmälan</t>
        </is>
      </c>
      <c r="C321" t="inlineStr">
        <is>
          <t>Åtgärd i nyckelbiotop</t>
        </is>
      </c>
      <c r="D321" s="1" t="n">
        <v>43948</v>
      </c>
      <c r="E321" s="1" t="n">
        <v>46273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Kommuner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3639-2022</t>
        </is>
      </c>
      <c r="B322" t="inlineStr">
        <is>
          <t>samrådsanmälan</t>
        </is>
      </c>
      <c r="C322" t="inlineStr">
        <is>
          <t>Skogsbilväg</t>
        </is>
      </c>
      <c r="D322" s="1" t="n">
        <v>44740</v>
      </c>
      <c r="E322" s="1" t="n">
        <v>46273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1415-2022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44634</v>
      </c>
      <c r="E323" s="1" t="n">
        <v>46273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Kyrkan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45005</v>
      </c>
      <c r="E324" s="1" t="n">
        <v>46273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696-2026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46091</v>
      </c>
      <c r="E325" s="1" t="n">
        <v>46273</v>
      </c>
      <c r="F325" t="inlineStr">
        <is>
          <t>VÄSTMANLANDS LÄN</t>
        </is>
      </c>
      <c r="G325" t="inlineStr">
        <is>
          <t>VÄSTERÅS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949-2026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46113</v>
      </c>
      <c r="E326" s="1" t="n">
        <v>46273</v>
      </c>
      <c r="F326" t="inlineStr">
        <is>
          <t>VÄSTMANLANDS LÄN</t>
        </is>
      </c>
      <c r="G326" t="inlineStr">
        <is>
          <t>VÄSTERÅS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1468-2026</t>
        </is>
      </c>
      <c r="B327" t="inlineStr">
        <is>
          <t>samrådsanmälan</t>
        </is>
      </c>
      <c r="C327" t="inlineStr">
        <is>
          <t>Dikesrensning</t>
        </is>
      </c>
      <c r="D327" s="1" t="n">
        <v>46134</v>
      </c>
      <c r="E327" s="1" t="n">
        <v>46273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2026-09-08T02:10:01Z</dcterms:created>
  <dcterms:modified xmlns:dcterms="http://purl.org/dc/terms/" xmlns:xsi="http://www.w3.org/2001/XMLSchema-instance" xsi:type="dcterms:W3CDTF">2026-09-08T02:10:02Z</dcterms:modified>
</cp:coreProperties>
</file>