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46322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46322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46322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46322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46322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46322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46322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46322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46322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46322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46322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46322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46322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46322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46322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Backsippa
Flentimotej
Jungfrulin
Solvända</t>
        </is>
      </c>
      <c r="W17">
        <f>HYPERLINK("https://klasma.github.io/Logging_1980/artfynd/A 25672-2024 artfynd.xlsx", "A 25672-2024")</f>
        <v/>
      </c>
      <c r="X17">
        <f>HYPERLINK("https://klasma.github.io/Logging_1980/kartor/A 25672-2024 karta.png", "A 25672-2024")</f>
        <v/>
      </c>
      <c r="Y17">
        <f>HYPERLINK("https://klasma.github.io/Logging_1980/kartor_geotiff/A 25672-2024 georefererad karta.tif", "A 25672-2024")</f>
        <v/>
      </c>
      <c r="AA17">
        <f>HYPERLINK("https://klasma.github.io/Logging_1980/klagomål/A 25672-2024 FSC-klagomål.docx", "A 25672-2024")</f>
        <v/>
      </c>
      <c r="AB17">
        <f>HYPERLINK("https://klasma.github.io/Logging_1980/klagomålsmail/A 25672-2024 FSC-klagomål mail.docx", "A 25672-2024")</f>
        <v/>
      </c>
      <c r="AC17">
        <f>HYPERLINK("https://klasma.github.io/Logging_1980/tillsyn/A 25672-2024 tillsynsbegäran.docx", "A 25672-2024")</f>
        <v/>
      </c>
      <c r="AD17">
        <f>HYPERLINK("https://klasma.github.io/Logging_1980/tillsynsmail/A 25672-2024 tillsynsbegäran mail.docx", "A 25672-2024")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46322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46322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46322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46322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t="n">
        <v>7</v>
      </c>
      <c r="V21" s="2" t="inlineStr">
        <is>
          <t>Grönpyrola
Spillkråka
Tjäder
Revlummer</t>
        </is>
      </c>
      <c r="W21">
        <f>HYPERLINK("https://klasma.github.io/Logging_1980/artfynd/A 16581-2026 artfynd.xlsx", "A 16581-2026")</f>
        <v/>
      </c>
      <c r="X21">
        <f>HYPERLINK("https://klasma.github.io/Logging_1980/kartor/A 16581-2026 karta.png", "A 16581-2026")</f>
        <v/>
      </c>
      <c r="Y21">
        <f>HYPERLINK("https://klasma.github.io/Logging_1980/kartor_geotiff/A 16581-2026 georefererad karta.tif", "A 16581-2026")</f>
        <v/>
      </c>
      <c r="AA21">
        <f>HYPERLINK("https://klasma.github.io/Logging_1980/klagomål/A 16581-2026 FSC-klagomål.docx", "A 16581-2026")</f>
        <v/>
      </c>
      <c r="AB21">
        <f>HYPERLINK("https://klasma.github.io/Logging_1980/klagomålsmail/A 16581-2026 FSC-klagomål mail.docx", "A 16581-2026")</f>
        <v/>
      </c>
      <c r="AC21">
        <f>HYPERLINK("https://klasma.github.io/Logging_1980/tillsyn/A 16581-2026 tillsynsbegäran.docx", "A 16581-2026")</f>
        <v/>
      </c>
      <c r="AD21">
        <f>HYPERLINK("https://klasma.github.io/Logging_1980/tillsynsmail/A 16581-2026 tillsynsbegäran mail.docx", "A 16581-2026")</f>
        <v/>
      </c>
      <c r="AE21">
        <f>HYPERLINK("https://klasma.github.io/Logging_1980/fåglar/A 16581-2026 prioriterade fågelarter.docx", "A 16581-2026")</f>
        <v/>
      </c>
    </row>
    <row r="22" ht="15" customHeight="1">
      <c r="A22" t="inlineStr">
        <is>
          <t>A 40782-2022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46322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8</v>
      </c>
      <c r="U22" t="n">
        <v>0</v>
      </c>
      <c r="V22" s="2" t="inlineStr">
        <is>
          <t>Ask
Tallticka
Scharlakansvårskål agg.
Blåsippa</t>
        </is>
      </c>
      <c r="W22">
        <f>HYPERLINK("https://klasma.github.io/Logging_1980/artfynd/A 40782-2022 artfynd.xlsx", "A 40782-2022")</f>
        <v/>
      </c>
      <c r="X22">
        <f>HYPERLINK("https://klasma.github.io/Logging_1980/kartor/A 40782-2022 karta.png", "A 40782-2022")</f>
        <v/>
      </c>
      <c r="Y22">
        <f>HYPERLINK("https://klasma.github.io/Logging_1980/kartor_geotiff/A 40782-2022 georefererad karta.tif", "A 40782-2022")</f>
        <v/>
      </c>
      <c r="AA22">
        <f>HYPERLINK("https://klasma.github.io/Logging_1980/klagomål/A 40782-2022 FSC-klagomål.docx", "A 40782-2022")</f>
        <v/>
      </c>
      <c r="AB22">
        <f>HYPERLINK("https://klasma.github.io/Logging_1980/klagomålsmail/A 40782-2022 FSC-klagomål mail.docx", "A 40782-2022")</f>
        <v/>
      </c>
      <c r="AC22">
        <f>HYPERLINK("https://klasma.github.io/Logging_1980/tillsyn/A 40782-2022 tillsynsbegäran.docx", "A 40782-2022")</f>
        <v/>
      </c>
      <c r="AD22">
        <f>HYPERLINK("https://klasma.github.io/Logging_1980/tillsynsmail/A 40782-2022 tillsynsbegäran mail.docx", "A 40782-2022")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46322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46322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47228-2022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44852</v>
      </c>
      <c r="E25" s="1" t="n">
        <v>46322</v>
      </c>
      <c r="F25" t="inlineStr">
        <is>
          <t>VÄSTMANLANDS LÄN</t>
        </is>
      </c>
      <c r="G25" t="inlineStr">
        <is>
          <t>VÄSTERÅS</t>
        </is>
      </c>
      <c r="I25" t="n">
        <v>11.6</v>
      </c>
      <c r="J25" t="n">
        <v>1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2</v>
      </c>
      <c r="V25" s="2" t="inlineStr">
        <is>
          <t>Vithornad barkskinnbagge
Xyletinus ater
Mindre märgborre
Fiskgjuse</t>
        </is>
      </c>
      <c r="W25">
        <f>HYPERLINK("https://klasma.github.io/Logging_1980/artfynd/A 47228-2022 artfynd.xlsx", "A 47228-2022")</f>
        <v/>
      </c>
      <c r="X25">
        <f>HYPERLINK("https://klasma.github.io/Logging_1980/kartor/A 47228-2022 karta.png", "A 47228-2022")</f>
        <v/>
      </c>
      <c r="Y25">
        <f>HYPERLINK("https://klasma.github.io/Logging_1980/kartor_geotiff/A 47228-2022 georefererad karta.tif", "A 47228-2022")</f>
        <v/>
      </c>
      <c r="AA25">
        <f>HYPERLINK("https://klasma.github.io/Logging_1980/klagomål/A 47228-2022 FSC-klagomål.docx", "A 47228-2022")</f>
        <v/>
      </c>
      <c r="AB25">
        <f>HYPERLINK("https://klasma.github.io/Logging_1980/klagomålsmail/A 47228-2022 FSC-klagomål mail.docx", "A 47228-2022")</f>
        <v/>
      </c>
      <c r="AC25">
        <f>HYPERLINK("https://klasma.github.io/Logging_1980/tillsyn/A 47228-2022 tillsynsbegäran.docx", "A 47228-2022")</f>
        <v/>
      </c>
      <c r="AD25">
        <f>HYPERLINK("https://klasma.github.io/Logging_1980/tillsynsmail/A 47228-2022 tillsynsbegäran mail.docx", "A 47228-2022")</f>
        <v/>
      </c>
      <c r="AE25">
        <f>HYPERLINK("https://klasma.github.io/Logging_1980/fåglar/A 47228-2022 prioriterade fågelarter.docx", "A 47228-2022")</f>
        <v/>
      </c>
    </row>
    <row r="26" ht="15" customHeight="1">
      <c r="A26" t="inlineStr">
        <is>
          <t>A 59140-2025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46322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3.6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Järpe
Tjäder
Fiskgjuse</t>
        </is>
      </c>
      <c r="W26">
        <f>HYPERLINK("https://klasma.github.io/Logging_1980/artfynd/A 59140-2025 artfynd.xlsx", "A 59140-2025")</f>
        <v/>
      </c>
      <c r="X26">
        <f>HYPERLINK("https://klasma.github.io/Logging_1980/kartor/A 59140-2025 karta.png", "A 59140-2025")</f>
        <v/>
      </c>
      <c r="Y26">
        <f>HYPERLINK("https://klasma.github.io/Logging_1980/kartor_geotiff/A 59140-2025 georefererad karta.tif", "A 59140-2025")</f>
        <v/>
      </c>
      <c r="AA26">
        <f>HYPERLINK("https://klasma.github.io/Logging_1980/klagomål/A 59140-2025 FSC-klagomål.docx", "A 59140-2025")</f>
        <v/>
      </c>
      <c r="AB26">
        <f>HYPERLINK("https://klasma.github.io/Logging_1980/klagomålsmail/A 59140-2025 FSC-klagomål mail.docx", "A 59140-2025")</f>
        <v/>
      </c>
      <c r="AC26">
        <f>HYPERLINK("https://klasma.github.io/Logging_1980/tillsyn/A 59140-2025 tillsynsbegäran.docx", "A 59140-2025")</f>
        <v/>
      </c>
      <c r="AD26">
        <f>HYPERLINK("https://klasma.github.io/Logging_1980/tillsynsmail/A 59140-2025 tillsynsbegäran mail.docx", "A 59140-2025")</f>
        <v/>
      </c>
      <c r="AE26">
        <f>HYPERLINK("https://klasma.github.io/Logging_1980/fåglar/A 59140-2025 prioriterade fågelarter.docx", "A 59140-2025")</f>
        <v/>
      </c>
    </row>
    <row r="27" ht="15" customHeight="1">
      <c r="A27" t="inlineStr">
        <is>
          <t>A 64201-2023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46322</v>
      </c>
      <c r="F27" t="inlineStr">
        <is>
          <t>VÄSTMANLANDS LÄN</t>
        </is>
      </c>
      <c r="G27" t="inlineStr">
        <is>
          <t>VÄSTERÅS</t>
        </is>
      </c>
      <c r="I27" t="n">
        <v>13</v>
      </c>
      <c r="J27" t="n">
        <v>0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Källpraktmossa
Stubbspretmossa
Vanlig rörsvepemossa</t>
        </is>
      </c>
      <c r="W27">
        <f>HYPERLINK("https://klasma.github.io/Logging_1980/artfynd/A 64201-2023 artfynd.xlsx", "A 64201-2023")</f>
        <v/>
      </c>
      <c r="X27">
        <f>HYPERLINK("https://klasma.github.io/Logging_1980/kartor/A 64201-2023 karta.png", "A 64201-2023")</f>
        <v/>
      </c>
      <c r="Y27">
        <f>HYPERLINK("https://klasma.github.io/Logging_1980/kartor_geotiff/A 64201-2023 georefererad karta.tif", "A 64201-2023")</f>
        <v/>
      </c>
      <c r="AA27">
        <f>HYPERLINK("https://klasma.github.io/Logging_1980/klagomål/A 64201-2023 FSC-klagomål.docx", "A 64201-2023")</f>
        <v/>
      </c>
      <c r="AB27">
        <f>HYPERLINK("https://klasma.github.io/Logging_1980/klagomålsmail/A 64201-2023 FSC-klagomål mail.docx", "A 64201-2023")</f>
        <v/>
      </c>
      <c r="AC27">
        <f>HYPERLINK("https://klasma.github.io/Logging_1980/tillsyn/A 64201-2023 tillsynsbegäran.docx", "A 64201-2023")</f>
        <v/>
      </c>
      <c r="AD27">
        <f>HYPERLINK("https://klasma.github.io/Logging_1980/tillsynsmail/A 64201-2023 tillsynsbegäran mail.docx", "A 64201-2023")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46322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46322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39917-2026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46290</v>
      </c>
      <c r="E30" s="1" t="n">
        <v>46322</v>
      </c>
      <c r="F30" t="inlineStr">
        <is>
          <t>VÄSTMANLANDS LÄN</t>
        </is>
      </c>
      <c r="G30" t="inlineStr">
        <is>
          <t>VÄSTERÅS</t>
        </is>
      </c>
      <c r="H30" t="inlineStr">
        <is>
          <t>Sveaskog</t>
        </is>
      </c>
      <c r="I30" t="n">
        <v>6.5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3</v>
      </c>
      <c r="V30" s="2" t="inlineStr">
        <is>
          <t>Motaggsvamp
Blodticka
Revlummer</t>
        </is>
      </c>
      <c r="W30">
        <f>HYPERLINK("https://klasma.github.io/Logging_1980/artfynd/A 39917-2026 artfynd.xlsx", "A 39917-2026")</f>
        <v/>
      </c>
      <c r="X30">
        <f>HYPERLINK("https://klasma.github.io/Logging_1980/kartor/A 39917-2026 karta.png", "A 39917-2026")</f>
        <v/>
      </c>
      <c r="Y30">
        <f>HYPERLINK("https://klasma.github.io/Logging_1980/kartor_geotiff/A 39917-2026 georefererad karta.tif", "A 39917-2026")</f>
        <v/>
      </c>
      <c r="AA30">
        <f>HYPERLINK("https://klasma.github.io/Logging_1980/klagomål/A 39917-2026 FSC-klagomål.docx", "A 39917-2026")</f>
        <v/>
      </c>
      <c r="AB30">
        <f>HYPERLINK("https://klasma.github.io/Logging_1980/klagomålsmail/A 39917-2026 FSC-klagomål mail.docx", "A 39917-2026")</f>
        <v/>
      </c>
      <c r="AC30">
        <f>HYPERLINK("https://klasma.github.io/Logging_1980/tillsyn/A 39917-2026 tillsynsbegäran.docx", "A 39917-2026")</f>
        <v/>
      </c>
      <c r="AD30">
        <f>HYPERLINK("https://klasma.github.io/Logging_1980/tillsynsmail/A 39917-2026 tillsynsbegäran mail.docx", "A 39917-2026")</f>
        <v/>
      </c>
    </row>
    <row r="31" ht="15" customHeight="1">
      <c r="A31" t="inlineStr">
        <is>
          <t>A 14265-2025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46322</v>
      </c>
      <c r="F31" t="inlineStr">
        <is>
          <t>VÄSTMANLANDS LÄN</t>
        </is>
      </c>
      <c r="G31" t="inlineStr">
        <is>
          <t>VÄSTERÅS</t>
        </is>
      </c>
      <c r="I31" t="n">
        <v>2.1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9</v>
      </c>
      <c r="U31" t="n">
        <v>0</v>
      </c>
      <c r="V31" s="2" t="inlineStr">
        <is>
          <t>Knärot
Tallticka
Blåsippa</t>
        </is>
      </c>
      <c r="W31">
        <f>HYPERLINK("https://klasma.github.io/Logging_1980/artfynd/A 14265-2025 artfynd.xlsx", "A 14265-2025")</f>
        <v/>
      </c>
      <c r="X31">
        <f>HYPERLINK("https://klasma.github.io/Logging_1980/kartor/A 14265-2025 karta.png", "A 14265-2025")</f>
        <v/>
      </c>
      <c r="Y31">
        <f>HYPERLINK("https://klasma.github.io/Logging_1980/kartor_geotiff/A 14265-2025 georefererad karta.tif", "A 14265-2025")</f>
        <v/>
      </c>
      <c r="Z31">
        <f>HYPERLINK("https://klasma.github.io/Logging_1980/knärot/A 14265-2025 karta knärot.png", "A 14265-2025")</f>
        <v/>
      </c>
      <c r="AA31">
        <f>HYPERLINK("https://klasma.github.io/Logging_1980/klagomål/A 14265-2025 FSC-klagomål.docx", "A 14265-2025")</f>
        <v/>
      </c>
      <c r="AB31">
        <f>HYPERLINK("https://klasma.github.io/Logging_1980/klagomålsmail/A 14265-2025 FSC-klagomål mail.docx", "A 14265-2025")</f>
        <v/>
      </c>
      <c r="AC31">
        <f>HYPERLINK("https://klasma.github.io/Logging_1980/tillsyn/A 14265-2025 tillsynsbegäran.docx", "A 14265-2025")</f>
        <v/>
      </c>
      <c r="AD31">
        <f>HYPERLINK("https://klasma.github.io/Logging_1980/tillsynsmail/A 14265-2025 tillsynsbegäran mail.docx", "A 14265-2025")</f>
        <v/>
      </c>
    </row>
    <row r="32" ht="15" customHeight="1">
      <c r="A32" t="inlineStr">
        <is>
          <t>A 6249-2024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45337</v>
      </c>
      <c r="E32" s="1" t="n">
        <v>46322</v>
      </c>
      <c r="F32" t="inlineStr">
        <is>
          <t>VÄSTMANLANDS LÄN</t>
        </is>
      </c>
      <c r="G32" t="inlineStr">
        <is>
          <t>VÄSTERÅS</t>
        </is>
      </c>
      <c r="I32" t="n">
        <v>6.5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Grönfink
Blåsippa
Kungsfågel</t>
        </is>
      </c>
      <c r="W32">
        <f>HYPERLINK("https://klasma.github.io/Logging_1980/artfynd/A 6249-2024 artfynd.xlsx", "A 6249-2024")</f>
        <v/>
      </c>
      <c r="X32">
        <f>HYPERLINK("https://klasma.github.io/Logging_1980/kartor/A 6249-2024 karta.png", "A 6249-2024")</f>
        <v/>
      </c>
      <c r="Y32">
        <f>HYPERLINK("https://klasma.github.io/Logging_1980/kartor_geotiff/A 6249-2024 georefererad karta.tif", "A 6249-2024")</f>
        <v/>
      </c>
      <c r="AA32">
        <f>HYPERLINK("https://klasma.github.io/Logging_1980/klagomål/A 6249-2024 FSC-klagomål.docx", "A 6249-2024")</f>
        <v/>
      </c>
      <c r="AB32">
        <f>HYPERLINK("https://klasma.github.io/Logging_1980/klagomålsmail/A 6249-2024 FSC-klagomål mail.docx", "A 6249-2024")</f>
        <v/>
      </c>
      <c r="AC32">
        <f>HYPERLINK("https://klasma.github.io/Logging_1980/tillsyn/A 6249-2024 tillsynsbegäran.docx", "A 6249-2024")</f>
        <v/>
      </c>
      <c r="AD32">
        <f>HYPERLINK("https://klasma.github.io/Logging_1980/tillsynsmail/A 6249-2024 tillsynsbegäran mail.docx", "A 6249-2024")</f>
        <v/>
      </c>
      <c r="AE32">
        <f>HYPERLINK("https://klasma.github.io/Logging_1980/fåglar/A 6249-2024 prioriterade fågelarter.docx", "A 6249-2024")</f>
        <v/>
      </c>
    </row>
    <row r="33" ht="15" customHeight="1">
      <c r="A33" t="inlineStr">
        <is>
          <t>A 11804-2022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44634</v>
      </c>
      <c r="E33" s="1" t="n">
        <v>46322</v>
      </c>
      <c r="F33" t="inlineStr">
        <is>
          <t>VÄSTMANLANDS LÄN</t>
        </is>
      </c>
      <c r="G33" t="inlineStr">
        <is>
          <t>VÄSTERÅS</t>
        </is>
      </c>
      <c r="I33" t="n">
        <v>10.6</v>
      </c>
      <c r="J33" t="n">
        <v>1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Svart trolldruva
Nattviol</t>
        </is>
      </c>
      <c r="W33">
        <f>HYPERLINK("https://klasma.github.io/Logging_1980/artfynd/A 11804-2022 artfynd.xlsx", "A 11804-2022")</f>
        <v/>
      </c>
      <c r="X33">
        <f>HYPERLINK("https://klasma.github.io/Logging_1980/kartor/A 11804-2022 karta.png", "A 11804-2022")</f>
        <v/>
      </c>
      <c r="Y33">
        <f>HYPERLINK("https://klasma.github.io/Logging_1980/kartor_geotiff/A 11804-2022 georefererad karta.tif", "A 11804-2022")</f>
        <v/>
      </c>
      <c r="AA33">
        <f>HYPERLINK("https://klasma.github.io/Logging_1980/klagomål/A 11804-2022 FSC-klagomål.docx", "A 11804-2022")</f>
        <v/>
      </c>
      <c r="AB33">
        <f>HYPERLINK("https://klasma.github.io/Logging_1980/klagomålsmail/A 11804-2022 FSC-klagomål mail.docx", "A 11804-2022")</f>
        <v/>
      </c>
      <c r="AC33">
        <f>HYPERLINK("https://klasma.github.io/Logging_1980/tillsyn/A 11804-2022 tillsynsbegäran.docx", "A 11804-2022")</f>
        <v/>
      </c>
      <c r="AD33">
        <f>HYPERLINK("https://klasma.github.io/Logging_1980/tillsynsmail/A 11804-2022 tillsynsbegäran mail.docx", "A 11804-2022")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46322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46322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46322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54536-2024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45617</v>
      </c>
      <c r="E37" s="1" t="n">
        <v>46322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4</v>
      </c>
      <c r="U37" t="n">
        <v>2</v>
      </c>
      <c r="V37" s="2" t="inlineStr">
        <is>
          <t>Jungfrulin
Svinrot</t>
        </is>
      </c>
      <c r="W37">
        <f>HYPERLINK("https://klasma.github.io/Logging_1980/artfynd/A 54536-2024 artfynd.xlsx", "A 54536-2024")</f>
        <v/>
      </c>
      <c r="X37">
        <f>HYPERLINK("https://klasma.github.io/Logging_1980/kartor/A 54536-2024 karta.png", "A 54536-2024")</f>
        <v/>
      </c>
      <c r="Y37">
        <f>HYPERLINK("https://klasma.github.io/Logging_1980/kartor_geotiff/A 54536-2024 georefererad karta.tif", "A 54536-2024")</f>
        <v/>
      </c>
      <c r="AA37">
        <f>HYPERLINK("https://klasma.github.io/Logging_1980/klagomål/A 54536-2024 FSC-klagomål.docx", "A 54536-2024")</f>
        <v/>
      </c>
      <c r="AB37">
        <f>HYPERLINK("https://klasma.github.io/Logging_1980/klagomålsmail/A 54536-2024 FSC-klagomål mail.docx", "A 54536-2024")</f>
        <v/>
      </c>
      <c r="AC37">
        <f>HYPERLINK("https://klasma.github.io/Logging_1980/tillsyn/A 54536-2024 tillsynsbegäran.docx", "A 54536-2024")</f>
        <v/>
      </c>
      <c r="AD37">
        <f>HYPERLINK("https://klasma.github.io/Logging_1980/tillsynsmail/A 54536-2024 tillsynsbegäran mail.docx", "A 54536-2024")</f>
        <v/>
      </c>
    </row>
    <row r="38" ht="15" customHeight="1">
      <c r="A38" t="inlineStr">
        <is>
          <t>A 9327-2026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46322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Svart trolldruva
Tibast</t>
        </is>
      </c>
      <c r="W38">
        <f>HYPERLINK("https://klasma.github.io/Logging_1980/artfynd/A 9327-2026 artfynd.xlsx", "A 9327-2026")</f>
        <v/>
      </c>
      <c r="X38">
        <f>HYPERLINK("https://klasma.github.io/Logging_1980/kartor/A 9327-2026 karta.png", "A 9327-2026")</f>
        <v/>
      </c>
      <c r="Y38">
        <f>HYPERLINK("https://klasma.github.io/Logging_1980/kartor_geotiff/A 9327-2026 georefererad karta.tif", "A 9327-2026")</f>
        <v/>
      </c>
      <c r="AA38">
        <f>HYPERLINK("https://klasma.github.io/Logging_1980/klagomål/A 9327-2026 FSC-klagomål.docx", "A 9327-2026")</f>
        <v/>
      </c>
      <c r="AB38">
        <f>HYPERLINK("https://klasma.github.io/Logging_1980/klagomålsmail/A 9327-2026 FSC-klagomål mail.docx", "A 9327-2026")</f>
        <v/>
      </c>
      <c r="AC38">
        <f>HYPERLINK("https://klasma.github.io/Logging_1980/tillsyn/A 9327-2026 tillsynsbegäran.docx", "A 9327-2026")</f>
        <v/>
      </c>
      <c r="AD38">
        <f>HYPERLINK("https://klasma.github.io/Logging_1980/tillsynsmail/A 9327-2026 tillsynsbegäran mail.docx", "A 9327-2026")</f>
        <v/>
      </c>
    </row>
    <row r="39" ht="15" customHeight="1">
      <c r="A39" t="inlineStr">
        <is>
          <t>A 39918-2026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46322</v>
      </c>
      <c r="F39" t="inlineStr">
        <is>
          <t>VÄSTMANLANDS LÄN</t>
        </is>
      </c>
      <c r="G39" t="inlineStr">
        <is>
          <t>VÄSTERÅS</t>
        </is>
      </c>
      <c r="H39" t="inlineStr">
        <is>
          <t>Sveaskog</t>
        </is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Spillkråka
Revlummer</t>
        </is>
      </c>
      <c r="W39">
        <f>HYPERLINK("https://klasma.github.io/Logging_1980/artfynd/A 39918-2026 artfynd.xlsx", "A 39918-2026")</f>
        <v/>
      </c>
      <c r="X39">
        <f>HYPERLINK("https://klasma.github.io/Logging_1980/kartor/A 39918-2026 karta.png", "A 39918-2026")</f>
        <v/>
      </c>
      <c r="Y39">
        <f>HYPERLINK("https://klasma.github.io/Logging_1980/kartor_geotiff/A 39918-2026 georefererad karta.tif", "A 39918-2026")</f>
        <v/>
      </c>
      <c r="AA39">
        <f>HYPERLINK("https://klasma.github.io/Logging_1980/klagomål/A 39918-2026 FSC-klagomål.docx", "A 39918-2026")</f>
        <v/>
      </c>
      <c r="AB39">
        <f>HYPERLINK("https://klasma.github.io/Logging_1980/klagomålsmail/A 39918-2026 FSC-klagomål mail.docx", "A 39918-2026")</f>
        <v/>
      </c>
      <c r="AC39">
        <f>HYPERLINK("https://klasma.github.io/Logging_1980/tillsyn/A 39918-2026 tillsynsbegäran.docx", "A 39918-2026")</f>
        <v/>
      </c>
      <c r="AD39">
        <f>HYPERLINK("https://klasma.github.io/Logging_1980/tillsynsmail/A 39918-2026 tillsynsbegäran mail.docx", "A 39918-2026")</f>
        <v/>
      </c>
      <c r="AE39">
        <f>HYPERLINK("https://klasma.github.io/Logging_1980/fåglar/A 39918-2026 prioriterade fågelarter.docx", "A 39918-2026")</f>
        <v/>
      </c>
    </row>
    <row r="40" ht="15" customHeight="1">
      <c r="A40" t="inlineStr">
        <is>
          <t>A 22452-2026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46155</v>
      </c>
      <c r="E40" s="1" t="n">
        <v>46322</v>
      </c>
      <c r="F40" t="inlineStr">
        <is>
          <t>VÄSTMANLANDS LÄN</t>
        </is>
      </c>
      <c r="G40" t="inlineStr">
        <is>
          <t>VÄSTERÅS</t>
        </is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Blåmossa
Kopparödla</t>
        </is>
      </c>
      <c r="W40">
        <f>HYPERLINK("https://klasma.github.io/Logging_1980/artfynd/A 22452-2026 artfynd.xlsx", "A 22452-2026")</f>
        <v/>
      </c>
      <c r="X40">
        <f>HYPERLINK("https://klasma.github.io/Logging_1980/kartor/A 22452-2026 karta.png", "A 22452-2026")</f>
        <v/>
      </c>
      <c r="Y40">
        <f>HYPERLINK("https://klasma.github.io/Logging_1980/kartor_geotiff/A 22452-2026 georefererad karta.tif", "A 22452-2026")</f>
        <v/>
      </c>
      <c r="AA40">
        <f>HYPERLINK("https://klasma.github.io/Logging_1980/klagomål/A 22452-2026 FSC-klagomål.docx", "A 22452-2026")</f>
        <v/>
      </c>
      <c r="AB40">
        <f>HYPERLINK("https://klasma.github.io/Logging_1980/klagomålsmail/A 22452-2026 FSC-klagomål mail.docx", "A 22452-2026")</f>
        <v/>
      </c>
      <c r="AC40">
        <f>HYPERLINK("https://klasma.github.io/Logging_1980/tillsyn/A 22452-2026 tillsynsbegäran.docx", "A 22452-2026")</f>
        <v/>
      </c>
      <c r="AD40">
        <f>HYPERLINK("https://klasma.github.io/Logging_1980/tillsynsmail/A 22452-2026 tillsynsbegäran mail.docx", "A 22452-2026")</f>
        <v/>
      </c>
    </row>
    <row r="41" ht="15" customHeight="1">
      <c r="A41" t="inlineStr">
        <is>
          <t>A 41983-2026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46322</v>
      </c>
      <c r="F41" t="inlineStr">
        <is>
          <t>VÄSTMANLANDS LÄN</t>
        </is>
      </c>
      <c r="G41" t="inlineStr">
        <is>
          <t>VÄSTERÅS</t>
        </is>
      </c>
      <c r="I41" t="n">
        <v>4.8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Spillkråka
Gröngöling</t>
        </is>
      </c>
      <c r="W41">
        <f>HYPERLINK("https://klasma.github.io/Logging_1980/artfynd/A 41983-2026 artfynd.xlsx", "A 41983-2026")</f>
        <v/>
      </c>
      <c r="X41">
        <f>HYPERLINK("https://klasma.github.io/Logging_1980/kartor/A 41983-2026 karta.png", "A 41983-2026")</f>
        <v/>
      </c>
      <c r="Y41">
        <f>HYPERLINK("https://klasma.github.io/Logging_1980/kartor_geotiff/A 41983-2026 georefererad karta.tif", "A 41983-2026")</f>
        <v/>
      </c>
      <c r="AA41">
        <f>HYPERLINK("https://klasma.github.io/Logging_1980/klagomål/A 41983-2026 FSC-klagomål.docx", "A 41983-2026")</f>
        <v/>
      </c>
      <c r="AB41">
        <f>HYPERLINK("https://klasma.github.io/Logging_1980/klagomålsmail/A 41983-2026 FSC-klagomål mail.docx", "A 41983-2026")</f>
        <v/>
      </c>
      <c r="AC41">
        <f>HYPERLINK("https://klasma.github.io/Logging_1980/tillsyn/A 41983-2026 tillsynsbegäran.docx", "A 41983-2026")</f>
        <v/>
      </c>
      <c r="AD41">
        <f>HYPERLINK("https://klasma.github.io/Logging_1980/tillsynsmail/A 41983-2026 tillsynsbegäran mail.docx", "A 41983-2026")</f>
        <v/>
      </c>
      <c r="AE41">
        <f>HYPERLINK("https://klasma.github.io/Logging_1980/fåglar/A 41983-2026 prioriterade fågelarter.docx", "A 41983-2026")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46322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46322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46322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55676-2023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45232</v>
      </c>
      <c r="E45" s="1" t="n">
        <v>46322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37.9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Havsörn</t>
        </is>
      </c>
      <c r="W45">
        <f>HYPERLINK("https://klasma.github.io/Logging_1980/artfynd/A 55676-2023 artfynd.xlsx", "A 55676-2023")</f>
        <v/>
      </c>
      <c r="X45">
        <f>HYPERLINK("https://klasma.github.io/Logging_1980/kartor/A 55676-2023 karta.png", "A 55676-2023")</f>
        <v/>
      </c>
      <c r="Y45">
        <f>HYPERLINK("https://klasma.github.io/Logging_1980/kartor_geotiff/A 55676-2023 georefererad karta.tif", "A 55676-2023")</f>
        <v/>
      </c>
      <c r="AA45">
        <f>HYPERLINK("https://klasma.github.io/Logging_1980/klagomål/A 55676-2023 FSC-klagomål.docx", "A 55676-2023")</f>
        <v/>
      </c>
      <c r="AB45">
        <f>HYPERLINK("https://klasma.github.io/Logging_1980/klagomålsmail/A 55676-2023 FSC-klagomål mail.docx", "A 55676-2023")</f>
        <v/>
      </c>
      <c r="AC45">
        <f>HYPERLINK("https://klasma.github.io/Logging_1980/tillsyn/A 55676-2023 tillsynsbegäran.docx", "A 55676-2023")</f>
        <v/>
      </c>
      <c r="AD45">
        <f>HYPERLINK("https://klasma.github.io/Logging_1980/tillsynsmail/A 55676-2023 tillsynsbegäran mail.docx", "A 55676-2023")</f>
        <v/>
      </c>
      <c r="AE45">
        <f>HYPERLINK("https://klasma.github.io/Logging_1980/fåglar/A 55676-2023 prioriterade fågelarter.docx", "A 55676-2023")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46322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46322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26568-2022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46322</v>
      </c>
      <c r="F48" t="inlineStr">
        <is>
          <t>VÄSTMANLANDS LÄN</t>
        </is>
      </c>
      <c r="G48" t="inlineStr">
        <is>
          <t>VÄSTERÅS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Mistel</t>
        </is>
      </c>
      <c r="W48">
        <f>HYPERLINK("https://klasma.github.io/Logging_1980/artfynd/A 26568-2022 artfynd.xlsx", "A 26568-2022")</f>
        <v/>
      </c>
      <c r="X48">
        <f>HYPERLINK("https://klasma.github.io/Logging_1980/kartor/A 26568-2022 karta.png", "A 26568-2022")</f>
        <v/>
      </c>
      <c r="Y48">
        <f>HYPERLINK("https://klasma.github.io/Logging_1980/kartor_geotiff/A 26568-2022 georefererad karta.tif", "A 26568-2022")</f>
        <v/>
      </c>
      <c r="AA48">
        <f>HYPERLINK("https://klasma.github.io/Logging_1980/klagomål/A 26568-2022 FSC-klagomål.docx", "A 26568-2022")</f>
        <v/>
      </c>
      <c r="AB48">
        <f>HYPERLINK("https://klasma.github.io/Logging_1980/klagomålsmail/A 26568-2022 FSC-klagomål mail.docx", "A 26568-2022")</f>
        <v/>
      </c>
      <c r="AC48">
        <f>HYPERLINK("https://klasma.github.io/Logging_1980/tillsyn/A 26568-2022 tillsynsbegäran.docx", "A 26568-2022")</f>
        <v/>
      </c>
      <c r="AD48">
        <f>HYPERLINK("https://klasma.github.io/Logging_1980/tillsynsmail/A 26568-2022 tillsynsbegäran mail.docx", "A 26568-2022")</f>
        <v/>
      </c>
    </row>
    <row r="49" ht="15" customHeight="1">
      <c r="A49" t="inlineStr">
        <is>
          <t>A 12905-2022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46322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23.9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HYPERLINK("https://klasma.github.io/Logging_1980/artfynd/A 12905-2022 artfynd.xlsx", "A 12905-2022")</f>
        <v/>
      </c>
      <c r="X49">
        <f>HYPERLINK("https://klasma.github.io/Logging_1980/kartor/A 12905-2022 karta.png", "A 12905-2022")</f>
        <v/>
      </c>
      <c r="Y49">
        <f>HYPERLINK("https://klasma.github.io/Logging_1980/kartor_geotiff/A 12905-2022 georefererad karta.tif", "A 12905-2022")</f>
        <v/>
      </c>
      <c r="AA49">
        <f>HYPERLINK("https://klasma.github.io/Logging_1980/klagomål/A 12905-2022 FSC-klagomål.docx", "A 12905-2022")</f>
        <v/>
      </c>
      <c r="AB49">
        <f>HYPERLINK("https://klasma.github.io/Logging_1980/klagomålsmail/A 12905-2022 FSC-klagomål mail.docx", "A 12905-2022")</f>
        <v/>
      </c>
      <c r="AC49">
        <f>HYPERLINK("https://klasma.github.io/Logging_1980/tillsyn/A 12905-2022 tillsynsbegäran.docx", "A 12905-2022")</f>
        <v/>
      </c>
      <c r="AD49">
        <f>HYPERLINK("https://klasma.github.io/Logging_1980/tillsynsmail/A 12905-2022 tillsynsbegäran mail.docx", "A 12905-2022")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46322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16374-2025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46322</v>
      </c>
      <c r="F51" t="inlineStr">
        <is>
          <t>VÄSTMANLANDS LÄN</t>
        </is>
      </c>
      <c r="G51" t="inlineStr">
        <is>
          <t>VÄSTERÅS</t>
        </is>
      </c>
      <c r="I51" t="n">
        <v>0.6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Lönnlav</t>
        </is>
      </c>
      <c r="W51">
        <f>HYPERLINK("https://klasma.github.io/Logging_1980/artfynd/A 16374-2025 artfynd.xlsx", "A 16374-2025")</f>
        <v/>
      </c>
      <c r="X51">
        <f>HYPERLINK("https://klasma.github.io/Logging_1980/kartor/A 16374-2025 karta.png", "A 16374-2025")</f>
        <v/>
      </c>
      <c r="Y51">
        <f>HYPERLINK("https://klasma.github.io/Logging_1980/kartor_geotiff/A 16374-2025 georefererad karta.tif", "A 16374-2025")</f>
        <v/>
      </c>
      <c r="AA51">
        <f>HYPERLINK("https://klasma.github.io/Logging_1980/klagomål/A 16374-2025 FSC-klagomål.docx", "A 16374-2025")</f>
        <v/>
      </c>
      <c r="AB51">
        <f>HYPERLINK("https://klasma.github.io/Logging_1980/klagomålsmail/A 16374-2025 FSC-klagomål mail.docx", "A 16374-2025")</f>
        <v/>
      </c>
      <c r="AC51">
        <f>HYPERLINK("https://klasma.github.io/Logging_1980/tillsyn/A 16374-2025 tillsynsbegäran.docx", "A 16374-2025")</f>
        <v/>
      </c>
      <c r="AD51">
        <f>HYPERLINK("https://klasma.github.io/Logging_1980/tillsynsmail/A 16374-2025 tillsynsbegäran mail.docx", "A 16374-2025")</f>
        <v/>
      </c>
    </row>
    <row r="52" ht="15" customHeight="1">
      <c r="A52" t="inlineStr">
        <is>
          <t>A 46189-2023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45196</v>
      </c>
      <c r="E52" s="1" t="n">
        <v>46322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HYPERLINK("https://klasma.github.io/Logging_1980/artfynd/A 46189-2023 artfynd.xlsx", "A 46189-2023")</f>
        <v/>
      </c>
      <c r="X52">
        <f>HYPERLINK("https://klasma.github.io/Logging_1980/kartor/A 46189-2023 karta.png", "A 46189-2023")</f>
        <v/>
      </c>
      <c r="Y52">
        <f>HYPERLINK("https://klasma.github.io/Logging_1980/kartor_geotiff/A 46189-2023 georefererad karta.tif", "A 46189-2023")</f>
        <v/>
      </c>
      <c r="AA52">
        <f>HYPERLINK("https://klasma.github.io/Logging_1980/klagomål/A 46189-2023 FSC-klagomål.docx", "A 46189-2023")</f>
        <v/>
      </c>
      <c r="AB52">
        <f>HYPERLINK("https://klasma.github.io/Logging_1980/klagomålsmail/A 46189-2023 FSC-klagomål mail.docx", "A 46189-2023")</f>
        <v/>
      </c>
      <c r="AC52">
        <f>HYPERLINK("https://klasma.github.io/Logging_1980/tillsyn/A 46189-2023 tillsynsbegäran.docx", "A 46189-2023")</f>
        <v/>
      </c>
      <c r="AD52">
        <f>HYPERLINK("https://klasma.github.io/Logging_1980/tillsynsmail/A 46189-2023 tillsynsbegäran mail.docx", "A 46189-2023")</f>
        <v/>
      </c>
    </row>
    <row r="53" ht="15" customHeight="1">
      <c r="A53" t="inlineStr">
        <is>
          <t>A 61254-2023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45264</v>
      </c>
      <c r="E53" s="1" t="n">
        <v>46322</v>
      </c>
      <c r="F53" t="inlineStr">
        <is>
          <t>VÄSTMANLANDS LÄN</t>
        </is>
      </c>
      <c r="G53" t="inlineStr">
        <is>
          <t>VÄSTERÅS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Mistel</t>
        </is>
      </c>
      <c r="W53">
        <f>HYPERLINK("https://klasma.github.io/Logging_1980/artfynd/A 61254-2023 artfynd.xlsx", "A 61254-2023")</f>
        <v/>
      </c>
      <c r="X53">
        <f>HYPERLINK("https://klasma.github.io/Logging_1980/kartor/A 61254-2023 karta.png", "A 61254-2023")</f>
        <v/>
      </c>
      <c r="Y53">
        <f>HYPERLINK("https://klasma.github.io/Logging_1980/kartor_geotiff/A 61254-2023 georefererad karta.tif", "A 61254-2023")</f>
        <v/>
      </c>
      <c r="AA53">
        <f>HYPERLINK("https://klasma.github.io/Logging_1980/klagomål/A 61254-2023 FSC-klagomål.docx", "A 61254-2023")</f>
        <v/>
      </c>
      <c r="AB53">
        <f>HYPERLINK("https://klasma.github.io/Logging_1980/klagomålsmail/A 61254-2023 FSC-klagomål mail.docx", "A 61254-2023")</f>
        <v/>
      </c>
      <c r="AC53">
        <f>HYPERLINK("https://klasma.github.io/Logging_1980/tillsyn/A 61254-2023 tillsynsbegäran.docx", "A 61254-2023")</f>
        <v/>
      </c>
      <c r="AD53">
        <f>HYPERLINK("https://klasma.github.io/Logging_1980/tillsynsmail/A 61254-2023 tillsynsbegäran mail.docx", "A 61254-2023")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46322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51147-2023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46322</v>
      </c>
      <c r="F55" t="inlineStr">
        <is>
          <t>VÄSTMANLANDS LÄN</t>
        </is>
      </c>
      <c r="G55" t="inlineStr">
        <is>
          <t>VÄSTERÅS</t>
        </is>
      </c>
      <c r="I55" t="n">
        <v>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Mindre märgborre</t>
        </is>
      </c>
      <c r="W55">
        <f>HYPERLINK("https://klasma.github.io/Logging_1980/artfynd/A 51147-2023 artfynd.xlsx", "A 51147-2023")</f>
        <v/>
      </c>
      <c r="X55">
        <f>HYPERLINK("https://klasma.github.io/Logging_1980/kartor/A 51147-2023 karta.png", "A 51147-2023")</f>
        <v/>
      </c>
      <c r="Y55">
        <f>HYPERLINK("https://klasma.github.io/Logging_1980/kartor_geotiff/A 51147-2023 georefererad karta.tif", "A 51147-2023")</f>
        <v/>
      </c>
      <c r="AA55">
        <f>HYPERLINK("https://klasma.github.io/Logging_1980/klagomål/A 51147-2023 FSC-klagomål.docx", "A 51147-2023")</f>
        <v/>
      </c>
      <c r="AB55">
        <f>HYPERLINK("https://klasma.github.io/Logging_1980/klagomålsmail/A 51147-2023 FSC-klagomål mail.docx", "A 51147-2023")</f>
        <v/>
      </c>
      <c r="AC55">
        <f>HYPERLINK("https://klasma.github.io/Logging_1980/tillsyn/A 51147-2023 tillsynsbegäran.docx", "A 51147-2023")</f>
        <v/>
      </c>
      <c r="AD55">
        <f>HYPERLINK("https://klasma.github.io/Logging_1980/tillsynsmail/A 51147-2023 tillsynsbegäran mail.docx", "A 51147-2023")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46322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12950-2023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45001</v>
      </c>
      <c r="E57" s="1" t="n">
        <v>46322</v>
      </c>
      <c r="F57" t="inlineStr">
        <is>
          <t>VÄSTMANLANDS LÄN</t>
        </is>
      </c>
      <c r="G57" t="inlineStr">
        <is>
          <t>VÄSTERÅS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HYPERLINK("https://klasma.github.io/Logging_1980/artfynd/A 12950-2023 artfynd.xlsx", "A 12950-2023")</f>
        <v/>
      </c>
      <c r="X57">
        <f>HYPERLINK("https://klasma.github.io/Logging_1980/kartor/A 12950-2023 karta.png", "A 12950-2023")</f>
        <v/>
      </c>
      <c r="Y57">
        <f>HYPERLINK("https://klasma.github.io/Logging_1980/kartor_geotiff/A 12950-2023 georefererad karta.tif", "A 12950-2023")</f>
        <v/>
      </c>
      <c r="AA57">
        <f>HYPERLINK("https://klasma.github.io/Logging_1980/klagomål/A 12950-2023 FSC-klagomål.docx", "A 12950-2023")</f>
        <v/>
      </c>
      <c r="AB57">
        <f>HYPERLINK("https://klasma.github.io/Logging_1980/klagomålsmail/A 12950-2023 FSC-klagomål mail.docx", "A 12950-2023")</f>
        <v/>
      </c>
      <c r="AC57">
        <f>HYPERLINK("https://klasma.github.io/Logging_1980/tillsyn/A 12950-2023 tillsynsbegäran.docx", "A 12950-2023")</f>
        <v/>
      </c>
      <c r="AD57">
        <f>HYPERLINK("https://klasma.github.io/Logging_1980/tillsynsmail/A 12950-2023 tillsynsbegäran mail.docx", "A 12950-2023")</f>
        <v/>
      </c>
    </row>
    <row r="58" ht="15" customHeight="1">
      <c r="A58" t="inlineStr">
        <is>
          <t>A 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45692</v>
      </c>
      <c r="E58" s="1" t="n">
        <v>46322</v>
      </c>
      <c r="F58" t="inlineStr">
        <is>
          <t>VÄSTMANLANDS LÄN</t>
        </is>
      </c>
      <c r="G58" t="inlineStr">
        <is>
          <t>VÄSTERÅS</t>
        </is>
      </c>
      <c r="I58" t="n">
        <v>1.2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Brunklöver</t>
        </is>
      </c>
      <c r="W58">
        <f>HYPERLINK("https://klasma.github.io/Logging_1980/artfynd/A 5363-2025 artfynd.xlsx", "A 5363-2025")</f>
        <v/>
      </c>
      <c r="X58">
        <f>HYPERLINK("https://klasma.github.io/Logging_1980/kartor/A 5363-2025 karta.png", "A 5363-2025")</f>
        <v/>
      </c>
      <c r="Y58">
        <f>HYPERLINK("https://klasma.github.io/Logging_1980/kartor_geotiff/A 5363-2025 georefererad karta.tif", "A 5363-2025")</f>
        <v/>
      </c>
      <c r="AA58">
        <f>HYPERLINK("https://klasma.github.io/Logging_1980/klagomål/A 5363-2025 FSC-klagomål.docx", "A 5363-2025")</f>
        <v/>
      </c>
      <c r="AB58">
        <f>HYPERLINK("https://klasma.github.io/Logging_1980/klagomålsmail/A 5363-2025 FSC-klagomål mail.docx", "A 5363-2025")</f>
        <v/>
      </c>
      <c r="AC58">
        <f>HYPERLINK("https://klasma.github.io/Logging_1980/tillsyn/A 5363-2025 tillsynsbegäran.docx", "A 5363-2025")</f>
        <v/>
      </c>
      <c r="AD58">
        <f>HYPERLINK("https://klasma.github.io/Logging_1980/tillsynsmail/A 5363-2025 tillsynsbegäran mail.docx", "A 5363-2025")</f>
        <v/>
      </c>
    </row>
    <row r="59" ht="15" customHeight="1">
      <c r="A59" t="inlineStr">
        <is>
          <t>A 61059-2024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46322</v>
      </c>
      <c r="F59" t="inlineStr">
        <is>
          <t>VÄSTMANLANDS LÄN</t>
        </is>
      </c>
      <c r="G59" t="inlineStr">
        <is>
          <t>VÄSTERÅS</t>
        </is>
      </c>
      <c r="I59" t="n">
        <v>4.7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Bandad skulderbock</t>
        </is>
      </c>
      <c r="W59">
        <f>HYPERLINK("https://klasma.github.io/Logging_1980/artfynd/A 61059-2024 artfynd.xlsx", "A 61059-2024")</f>
        <v/>
      </c>
      <c r="X59">
        <f>HYPERLINK("https://klasma.github.io/Logging_1980/kartor/A 61059-2024 karta.png", "A 61059-2024")</f>
        <v/>
      </c>
      <c r="Y59">
        <f>HYPERLINK("https://klasma.github.io/Logging_1980/kartor_geotiff/A 61059-2024 georefererad karta.tif", "A 61059-2024")</f>
        <v/>
      </c>
      <c r="AA59">
        <f>HYPERLINK("https://klasma.github.io/Logging_1980/klagomål/A 61059-2024 FSC-klagomål.docx", "A 61059-2024")</f>
        <v/>
      </c>
      <c r="AB59">
        <f>HYPERLINK("https://klasma.github.io/Logging_1980/klagomålsmail/A 61059-2024 FSC-klagomål mail.docx", "A 61059-2024")</f>
        <v/>
      </c>
      <c r="AC59">
        <f>HYPERLINK("https://klasma.github.io/Logging_1980/tillsyn/A 61059-2024 tillsynsbegäran.docx", "A 61059-2024")</f>
        <v/>
      </c>
      <c r="AD59">
        <f>HYPERLINK("https://klasma.github.io/Logging_1980/tillsynsmail/A 61059-2024 tillsynsbegäran mail.docx", "A 61059-2024")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46322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29787-2023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46322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Kopparödla</t>
        </is>
      </c>
      <c r="W61">
        <f>HYPERLINK("https://klasma.github.io/Logging_1980/artfynd/A 29787-2023 artfynd.xlsx", "A 29787-2023")</f>
        <v/>
      </c>
      <c r="X61">
        <f>HYPERLINK("https://klasma.github.io/Logging_1980/kartor/A 29787-2023 karta.png", "A 29787-2023")</f>
        <v/>
      </c>
      <c r="Y61">
        <f>HYPERLINK("https://klasma.github.io/Logging_1980/kartor_geotiff/A 29787-2023 georefererad karta.tif", "A 29787-2023")</f>
        <v/>
      </c>
      <c r="AA61">
        <f>HYPERLINK("https://klasma.github.io/Logging_1980/klagomål/A 29787-2023 FSC-klagomål.docx", "A 29787-2023")</f>
        <v/>
      </c>
      <c r="AB61">
        <f>HYPERLINK("https://klasma.github.io/Logging_1980/klagomålsmail/A 29787-2023 FSC-klagomål mail.docx", "A 29787-2023")</f>
        <v/>
      </c>
      <c r="AC61">
        <f>HYPERLINK("https://klasma.github.io/Logging_1980/tillsyn/A 29787-2023 tillsynsbegäran.docx", "A 29787-2023")</f>
        <v/>
      </c>
      <c r="AD61">
        <f>HYPERLINK("https://klasma.github.io/Logging_1980/tillsynsmail/A 29787-2023 tillsynsbegäran mail.docx", "A 29787-2023")</f>
        <v/>
      </c>
    </row>
    <row r="62" ht="15" customHeight="1">
      <c r="A62" t="inlineStr">
        <is>
          <t>A 58395-2022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46322</v>
      </c>
      <c r="F62" t="inlineStr">
        <is>
          <t>VÄSTMANLANDS LÄN</t>
        </is>
      </c>
      <c r="G62" t="inlineStr">
        <is>
          <t>VÄSTERÅS</t>
        </is>
      </c>
      <c r="I62" t="n">
        <v>0.5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Korskovall</t>
        </is>
      </c>
      <c r="W62">
        <f>HYPERLINK("https://klasma.github.io/Logging_1980/artfynd/A 58395-2022 artfynd.xlsx", "A 58395-2022")</f>
        <v/>
      </c>
      <c r="X62">
        <f>HYPERLINK("https://klasma.github.io/Logging_1980/kartor/A 58395-2022 karta.png", "A 58395-2022")</f>
        <v/>
      </c>
      <c r="Y62">
        <f>HYPERLINK("https://klasma.github.io/Logging_1980/kartor_geotiff/A 58395-2022 georefererad karta.tif", "A 58395-2022")</f>
        <v/>
      </c>
      <c r="AA62">
        <f>HYPERLINK("https://klasma.github.io/Logging_1980/klagomål/A 58395-2022 FSC-klagomål.docx", "A 58395-2022")</f>
        <v/>
      </c>
      <c r="AB62">
        <f>HYPERLINK("https://klasma.github.io/Logging_1980/klagomålsmail/A 58395-2022 FSC-klagomål mail.docx", "A 58395-2022")</f>
        <v/>
      </c>
      <c r="AC62">
        <f>HYPERLINK("https://klasma.github.io/Logging_1980/tillsyn/A 58395-2022 tillsynsbegäran.docx", "A 58395-2022")</f>
        <v/>
      </c>
      <c r="AD62">
        <f>HYPERLINK("https://klasma.github.io/Logging_1980/tillsynsmail/A 58395-2022 tillsynsbegäran mail.docx", "A 58395-2022")</f>
        <v/>
      </c>
    </row>
    <row r="63" ht="15" customHeight="1">
      <c r="A63" t="inlineStr">
        <is>
          <t>A 1594-2023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46322</v>
      </c>
      <c r="F63" t="inlineStr">
        <is>
          <t>VÄSTMANLANDS LÄN</t>
        </is>
      </c>
      <c r="G63" t="inlineStr">
        <is>
          <t>VÄSTERÅS</t>
        </is>
      </c>
      <c r="I63" t="n">
        <v>10.9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Sparvuggla</t>
        </is>
      </c>
      <c r="W63">
        <f>HYPERLINK("https://klasma.github.io/Logging_1980/artfynd/A 1594-2023 artfynd.xlsx", "A 1594-2023")</f>
        <v/>
      </c>
      <c r="X63">
        <f>HYPERLINK("https://klasma.github.io/Logging_1980/kartor/A 1594-2023 karta.png", "A 1594-2023")</f>
        <v/>
      </c>
      <c r="Y63">
        <f>HYPERLINK("https://klasma.github.io/Logging_1980/kartor_geotiff/A 1594-2023 georefererad karta.tif", "A 1594-2023")</f>
        <v/>
      </c>
      <c r="AA63">
        <f>HYPERLINK("https://klasma.github.io/Logging_1980/klagomål/A 1594-2023 FSC-klagomål.docx", "A 1594-2023")</f>
        <v/>
      </c>
      <c r="AB63">
        <f>HYPERLINK("https://klasma.github.io/Logging_1980/klagomålsmail/A 1594-2023 FSC-klagomål mail.docx", "A 1594-2023")</f>
        <v/>
      </c>
      <c r="AC63">
        <f>HYPERLINK("https://klasma.github.io/Logging_1980/tillsyn/A 1594-2023 tillsynsbegäran.docx", "A 1594-2023")</f>
        <v/>
      </c>
      <c r="AD63">
        <f>HYPERLINK("https://klasma.github.io/Logging_1980/tillsynsmail/A 1594-2023 tillsynsbegäran mail.docx", "A 1594-2023")</f>
        <v/>
      </c>
      <c r="AE63">
        <f>HYPERLINK("https://klasma.github.io/Logging_1980/fåglar/A 1594-2023 prioriterade fågelarter.docx", "A 1594-2023")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46322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39915-2026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46322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HYPERLINK("https://klasma.github.io/Logging_1980/artfynd/A 39915-2026 artfynd.xlsx", "A 39915-2026")</f>
        <v/>
      </c>
      <c r="X65">
        <f>HYPERLINK("https://klasma.github.io/Logging_1980/kartor/A 39915-2026 karta.png", "A 39915-2026")</f>
        <v/>
      </c>
      <c r="Y65">
        <f>HYPERLINK("https://klasma.github.io/Logging_1980/kartor_geotiff/A 39915-2026 georefererad karta.tif", "A 39915-2026")</f>
        <v/>
      </c>
      <c r="AA65">
        <f>HYPERLINK("https://klasma.github.io/Logging_1980/klagomål/A 39915-2026 FSC-klagomål.docx", "A 39915-2026")</f>
        <v/>
      </c>
      <c r="AB65">
        <f>HYPERLINK("https://klasma.github.io/Logging_1980/klagomålsmail/A 39915-2026 FSC-klagomål mail.docx", "A 39915-2026")</f>
        <v/>
      </c>
      <c r="AC65">
        <f>HYPERLINK("https://klasma.github.io/Logging_1980/tillsyn/A 39915-2026 tillsynsbegäran.docx", "A 39915-2026")</f>
        <v/>
      </c>
      <c r="AD65">
        <f>HYPERLINK("https://klasma.github.io/Logging_1980/tillsynsmail/A 39915-2026 tillsynsbegäran mail.docx", "A 39915-2026")</f>
        <v/>
      </c>
    </row>
    <row r="66" ht="15" customHeight="1">
      <c r="A66" t="inlineStr">
        <is>
          <t>A 22378-2026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46322</v>
      </c>
      <c r="F66" t="inlineStr">
        <is>
          <t>VÄSTMANLANDS LÄN</t>
        </is>
      </c>
      <c r="G66" t="inlineStr">
        <is>
          <t>VÄSTERÅS</t>
        </is>
      </c>
      <c r="I66" t="n">
        <v>5.6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HYPERLINK("https://klasma.github.io/Logging_1980/artfynd/A 22378-2026 artfynd.xlsx", "A 22378-2026")</f>
        <v/>
      </c>
      <c r="X66">
        <f>HYPERLINK("https://klasma.github.io/Logging_1980/kartor/A 22378-2026 karta.png", "A 22378-2026")</f>
        <v/>
      </c>
      <c r="Y66">
        <f>HYPERLINK("https://klasma.github.io/Logging_1980/kartor_geotiff/A 22378-2026 georefererad karta.tif", "A 22378-2026")</f>
        <v/>
      </c>
      <c r="AA66">
        <f>HYPERLINK("https://klasma.github.io/Logging_1980/klagomål/A 22378-2026 FSC-klagomål.docx", "A 22378-2026")</f>
        <v/>
      </c>
      <c r="AB66">
        <f>HYPERLINK("https://klasma.github.io/Logging_1980/klagomålsmail/A 22378-2026 FSC-klagomål mail.docx", "A 22378-2026")</f>
        <v/>
      </c>
      <c r="AC66">
        <f>HYPERLINK("https://klasma.github.io/Logging_1980/tillsyn/A 22378-2026 tillsynsbegäran.docx", "A 22378-2026")</f>
        <v/>
      </c>
      <c r="AD66">
        <f>HYPERLINK("https://klasma.github.io/Logging_1980/tillsynsmail/A 22378-2026 tillsynsbegäran mail.docx", "A 22378-2026")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46322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46322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46322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46322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46322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46322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46322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46322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46322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46322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46322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46322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46322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46322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46322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46322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46322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46322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46322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46322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46322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46322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46322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46322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46322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46322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46322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46322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45595</v>
      </c>
      <c r="E95" s="1" t="n">
        <v>46322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46322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46322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46322</v>
      </c>
      <c r="F98" t="inlineStr">
        <is>
          <t>VÄSTMANLANDS LÄN</t>
        </is>
      </c>
      <c r="G98" t="inlineStr">
        <is>
          <t>VÄSTERÅS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45713</v>
      </c>
      <c r="E99" s="1" t="n">
        <v>46322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46322</v>
      </c>
      <c r="F100" t="inlineStr">
        <is>
          <t>VÄSTMANLANDS LÄN</t>
        </is>
      </c>
      <c r="G100" t="inlineStr">
        <is>
          <t>VÄSTERÅS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44826</v>
      </c>
      <c r="E101" s="1" t="n">
        <v>46322</v>
      </c>
      <c r="F101" t="inlineStr">
        <is>
          <t>VÄSTMANLANDS LÄN</t>
        </is>
      </c>
      <c r="G101" t="inlineStr">
        <is>
          <t>VÄSTERÅS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73601-2021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44552</v>
      </c>
      <c r="E102" s="1" t="n">
        <v>46322</v>
      </c>
      <c r="F102" t="inlineStr">
        <is>
          <t>VÄSTMANLANDS LÄN</t>
        </is>
      </c>
      <c r="G102" t="inlineStr">
        <is>
          <t>VÄSTERÅS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46322</v>
      </c>
      <c r="F103" t="inlineStr">
        <is>
          <t>VÄSTMANLANDS LÄN</t>
        </is>
      </c>
      <c r="G103" t="inlineStr">
        <is>
          <t>VÄSTERÅS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46322</v>
      </c>
      <c r="F104" t="inlineStr">
        <is>
          <t>VÄSTMANLANDS LÄN</t>
        </is>
      </c>
      <c r="G104" t="inlineStr">
        <is>
          <t>VÄSTERÅS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46322</v>
      </c>
      <c r="F105" t="inlineStr">
        <is>
          <t>VÄSTMANLANDS LÄN</t>
        </is>
      </c>
      <c r="G105" t="inlineStr">
        <is>
          <t>VÄSTERÅS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45232</v>
      </c>
      <c r="E106" s="1" t="n">
        <v>46322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Aktiebolag</t>
        </is>
      </c>
      <c r="I106" t="n">
        <v>29.4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46322</v>
      </c>
      <c r="F107" t="inlineStr">
        <is>
          <t>VÄSTMANLANDS LÄN</t>
        </is>
      </c>
      <c r="G107" t="inlineStr">
        <is>
          <t>VÄSTERÅS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46322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46322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45110</v>
      </c>
      <c r="E110" s="1" t="n">
        <v>46322</v>
      </c>
      <c r="F110" t="inlineStr">
        <is>
          <t>VÄSTMANLANDS LÄN</t>
        </is>
      </c>
      <c r="G110" t="inlineStr">
        <is>
          <t>VÄSTERÅS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46322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46322</v>
      </c>
      <c r="F112" t="inlineStr">
        <is>
          <t>VÄSTMANLANDS LÄN</t>
        </is>
      </c>
      <c r="G112" t="inlineStr">
        <is>
          <t>VÄSTERÅS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44637</v>
      </c>
      <c r="E113" s="1" t="n">
        <v>46322</v>
      </c>
      <c r="F113" t="inlineStr">
        <is>
          <t>VÄSTMANLANDS LÄN</t>
        </is>
      </c>
      <c r="G113" t="inlineStr">
        <is>
          <t>VÄSTERÅS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46322</v>
      </c>
      <c r="F114" t="inlineStr">
        <is>
          <t>VÄSTMANLANDS LÄN</t>
        </is>
      </c>
      <c r="G114" t="inlineStr">
        <is>
          <t>VÄSTERÅS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46188</v>
      </c>
      <c r="E115" s="1" t="n">
        <v>46322</v>
      </c>
      <c r="F115" t="inlineStr">
        <is>
          <t>VÄSTMANLANDS LÄN</t>
        </is>
      </c>
      <c r="G115" t="inlineStr">
        <is>
          <t>VÄSTERÅS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46322</v>
      </c>
      <c r="F116" t="inlineStr">
        <is>
          <t>VÄSTMANLANDS LÄN</t>
        </is>
      </c>
      <c r="G116" t="inlineStr">
        <is>
          <t>VÄSTERÅS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44978</v>
      </c>
      <c r="E117" s="1" t="n">
        <v>46322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16214-2023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45028</v>
      </c>
      <c r="E118" s="1" t="n">
        <v>46322</v>
      </c>
      <c r="F118" t="inlineStr">
        <is>
          <t>VÄSTMANLANDS LÄN</t>
        </is>
      </c>
      <c r="G118" t="inlineStr">
        <is>
          <t>VÄSTERÅS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74314-2021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44559</v>
      </c>
      <c r="E119" s="1" t="n">
        <v>46322</v>
      </c>
      <c r="F119" t="inlineStr">
        <is>
          <t>VÄSTMANLANDS LÄN</t>
        </is>
      </c>
      <c r="G119" t="inlineStr">
        <is>
          <t>VÄSTERÅS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45398</v>
      </c>
      <c r="E120" s="1" t="n">
        <v>46322</v>
      </c>
      <c r="F120" t="inlineStr">
        <is>
          <t>VÄSTMANLANDS LÄN</t>
        </is>
      </c>
      <c r="G120" t="inlineStr">
        <is>
          <t>VÄSTERÅS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44610</v>
      </c>
      <c r="E121" s="1" t="n">
        <v>46322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46322</v>
      </c>
      <c r="F122" t="inlineStr">
        <is>
          <t>VÄSTMANLANDS LÄN</t>
        </is>
      </c>
      <c r="G122" t="inlineStr">
        <is>
          <t>VÄSTERÅS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46322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44610</v>
      </c>
      <c r="E124" s="1" t="n">
        <v>46322</v>
      </c>
      <c r="F124" t="inlineStr">
        <is>
          <t>VÄSTMANLANDS LÄN</t>
        </is>
      </c>
      <c r="G124" t="inlineStr">
        <is>
          <t>VÄSTERÅS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46188</v>
      </c>
      <c r="E125" s="1" t="n">
        <v>46322</v>
      </c>
      <c r="F125" t="inlineStr">
        <is>
          <t>VÄSTMANLANDS LÄN</t>
        </is>
      </c>
      <c r="G125" t="inlineStr">
        <is>
          <t>VÄSTERÅS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46322</v>
      </c>
      <c r="F126" t="inlineStr">
        <is>
          <t>VÄSTMANLANDS LÄN</t>
        </is>
      </c>
      <c r="G126" t="inlineStr">
        <is>
          <t>VÄSTERÅS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46322</v>
      </c>
      <c r="F127" t="inlineStr">
        <is>
          <t>VÄSTMANLANDS LÄN</t>
        </is>
      </c>
      <c r="G127" t="inlineStr">
        <is>
          <t>VÄSTERÅS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46322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46322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Övriga statliga verk och myndigheter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64793-2023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46322</v>
      </c>
      <c r="F130" t="inlineStr">
        <is>
          <t>VÄSTMANLANDS LÄN</t>
        </is>
      </c>
      <c r="G130" t="inlineStr">
        <is>
          <t>VÄSTERÅS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45296</v>
      </c>
      <c r="E131" s="1" t="n">
        <v>46322</v>
      </c>
      <c r="F131" t="inlineStr">
        <is>
          <t>VÄSTMANLANDS LÄN</t>
        </is>
      </c>
      <c r="G131" t="inlineStr">
        <is>
          <t>VÄSTERÅS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17808-2023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45037</v>
      </c>
      <c r="E132" s="1" t="n">
        <v>46322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45019</v>
      </c>
      <c r="E133" s="1" t="n">
        <v>46322</v>
      </c>
      <c r="F133" t="inlineStr">
        <is>
          <t>VÄSTMANLANDS LÄN</t>
        </is>
      </c>
      <c r="G133" t="inlineStr">
        <is>
          <t>VÄSTERÅS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46322</v>
      </c>
      <c r="F134" t="inlineStr">
        <is>
          <t>VÄSTMANLANDS LÄN</t>
        </is>
      </c>
      <c r="G134" t="inlineStr">
        <is>
          <t>VÄSTERÅS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45223</v>
      </c>
      <c r="E135" s="1" t="n">
        <v>46322</v>
      </c>
      <c r="F135" t="inlineStr">
        <is>
          <t>VÄSTMANLANDS LÄN</t>
        </is>
      </c>
      <c r="G135" t="inlineStr">
        <is>
          <t>VÄSTERÅS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46322</v>
      </c>
      <c r="F136" t="inlineStr">
        <is>
          <t>VÄSTMANLANDS LÄN</t>
        </is>
      </c>
      <c r="G136" t="inlineStr">
        <is>
          <t>VÄSTERÅS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46322</v>
      </c>
      <c r="F137" t="inlineStr">
        <is>
          <t>VÄSTMANLANDS LÄN</t>
        </is>
      </c>
      <c r="G137" t="inlineStr">
        <is>
          <t>VÄSTERÅS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44961</v>
      </c>
      <c r="E138" s="1" t="n">
        <v>46322</v>
      </c>
      <c r="F138" t="inlineStr">
        <is>
          <t>VÄSTMANLANDS LÄN</t>
        </is>
      </c>
      <c r="G138" t="inlineStr">
        <is>
          <t>VÄSTERÅS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45448</v>
      </c>
      <c r="E139" s="1" t="n">
        <v>46322</v>
      </c>
      <c r="F139" t="inlineStr">
        <is>
          <t>VÄSTMANLANDS LÄN</t>
        </is>
      </c>
      <c r="G139" t="inlineStr">
        <is>
          <t>VÄSTERÅS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46322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46322</v>
      </c>
      <c r="F141" t="inlineStr">
        <is>
          <t>VÄSTMANLANDS LÄN</t>
        </is>
      </c>
      <c r="G141" t="inlineStr">
        <is>
          <t>VÄSTERÅS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46322</v>
      </c>
      <c r="F142" t="inlineStr">
        <is>
          <t>VÄSTMANLANDS LÄN</t>
        </is>
      </c>
      <c r="G142" t="inlineStr">
        <is>
          <t>VÄSTERÅS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44662</v>
      </c>
      <c r="E143" s="1" t="n">
        <v>46322</v>
      </c>
      <c r="F143" t="inlineStr">
        <is>
          <t>VÄSTMANLANDS LÄN</t>
        </is>
      </c>
      <c r="G143" t="inlineStr">
        <is>
          <t>VÄSTERÅS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46322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statliga verk och myndigheter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44657</v>
      </c>
      <c r="E145" s="1" t="n">
        <v>46322</v>
      </c>
      <c r="F145" t="inlineStr">
        <is>
          <t>VÄSTMANLANDS LÄN</t>
        </is>
      </c>
      <c r="G145" t="inlineStr">
        <is>
          <t>VÄSTERÅS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46322</v>
      </c>
      <c r="F146" t="inlineStr">
        <is>
          <t>VÄSTMANLANDS LÄN</t>
        </is>
      </c>
      <c r="G146" t="inlineStr">
        <is>
          <t>VÄSTERÅS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45072</v>
      </c>
      <c r="E147" s="1" t="n">
        <v>46322</v>
      </c>
      <c r="F147" t="inlineStr">
        <is>
          <t>VÄSTMANLANDS LÄN</t>
        </is>
      </c>
      <c r="G147" t="inlineStr">
        <is>
          <t>VÄSTERÅS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46322</v>
      </c>
      <c r="F148" t="inlineStr">
        <is>
          <t>VÄSTMANLANDS LÄN</t>
        </is>
      </c>
      <c r="G148" t="inlineStr">
        <is>
          <t>VÄSTERÅS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45370</v>
      </c>
      <c r="E149" s="1" t="n">
        <v>46322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46322</v>
      </c>
      <c r="F150" t="inlineStr">
        <is>
          <t>VÄSTMANLANDS LÄN</t>
        </is>
      </c>
      <c r="G150" t="inlineStr">
        <is>
          <t>VÄSTERÅS</t>
        </is>
      </c>
      <c r="I150" t="n">
        <v>15.4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46322</v>
      </c>
      <c r="F151" t="inlineStr">
        <is>
          <t>VÄSTMANLANDS LÄN</t>
        </is>
      </c>
      <c r="G151" t="inlineStr">
        <is>
          <t>VÄSTERÅS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45019</v>
      </c>
      <c r="E152" s="1" t="n">
        <v>46322</v>
      </c>
      <c r="F152" t="inlineStr">
        <is>
          <t>VÄSTMANLANDS LÄN</t>
        </is>
      </c>
      <c r="G152" t="inlineStr">
        <is>
          <t>VÄSTERÅS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45223</v>
      </c>
      <c r="E153" s="1" t="n">
        <v>46322</v>
      </c>
      <c r="F153" t="inlineStr">
        <is>
          <t>VÄSTMANLANDS LÄN</t>
        </is>
      </c>
      <c r="G153" t="inlineStr">
        <is>
          <t>VÄSTERÅS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46322</v>
      </c>
      <c r="F154" t="inlineStr">
        <is>
          <t>VÄSTMANLANDS LÄN</t>
        </is>
      </c>
      <c r="G154" t="inlineStr">
        <is>
          <t>VÄSTERÅS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46322</v>
      </c>
      <c r="F155" t="inlineStr">
        <is>
          <t>VÄSTMANLANDS LÄN</t>
        </is>
      </c>
      <c r="G155" t="inlineStr">
        <is>
          <t>VÄSTERÅS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46322</v>
      </c>
      <c r="F156" t="inlineStr">
        <is>
          <t>VÄSTMANLANDS LÄN</t>
        </is>
      </c>
      <c r="G156" t="inlineStr">
        <is>
          <t>VÄSTERÅS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23455-2024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45453</v>
      </c>
      <c r="E157" s="1" t="n">
        <v>46322</v>
      </c>
      <c r="F157" t="inlineStr">
        <is>
          <t>VÄSTMANLANDS LÄN</t>
        </is>
      </c>
      <c r="G157" t="inlineStr">
        <is>
          <t>VÄSTERÅS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46196</v>
      </c>
      <c r="E158" s="1" t="n">
        <v>46322</v>
      </c>
      <c r="F158" t="inlineStr">
        <is>
          <t>VÄSTMANLANDS LÄN</t>
        </is>
      </c>
      <c r="G158" t="inlineStr">
        <is>
          <t>VÄSTERÅS</t>
        </is>
      </c>
      <c r="I158" t="n">
        <v>14.1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45506</v>
      </c>
      <c r="E159" s="1" t="n">
        <v>46322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Kommuner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46322</v>
      </c>
      <c r="F160" t="inlineStr">
        <is>
          <t>VÄSTMANLANDS LÄN</t>
        </is>
      </c>
      <c r="G160" t="inlineStr">
        <is>
          <t>VÄSTERÅS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44936</v>
      </c>
      <c r="E161" s="1" t="n">
        <v>46322</v>
      </c>
      <c r="F161" t="inlineStr">
        <is>
          <t>VÄSTMANLANDS LÄN</t>
        </is>
      </c>
      <c r="G161" t="inlineStr">
        <is>
          <t>VÄSTERÅS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45979</v>
      </c>
      <c r="E162" s="1" t="n">
        <v>46322</v>
      </c>
      <c r="F162" t="inlineStr">
        <is>
          <t>VÄSTMANLANDS LÄN</t>
        </is>
      </c>
      <c r="G162" t="inlineStr">
        <is>
          <t>VÄSTERÅS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45979</v>
      </c>
      <c r="E163" s="1" t="n">
        <v>46322</v>
      </c>
      <c r="F163" t="inlineStr">
        <is>
          <t>VÄSTMANLANDS LÄN</t>
        </is>
      </c>
      <c r="G163" t="inlineStr">
        <is>
          <t>VÄSTERÅS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46322</v>
      </c>
      <c r="F164" t="inlineStr">
        <is>
          <t>VÄSTMANLANDS LÄN</t>
        </is>
      </c>
      <c r="G164" t="inlineStr">
        <is>
          <t>VÄSTERÅS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46322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46322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Kommuner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11137-2023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44987</v>
      </c>
      <c r="E167" s="1" t="n">
        <v>46322</v>
      </c>
      <c r="F167" t="inlineStr">
        <is>
          <t>VÄSTMANLANDS LÄN</t>
        </is>
      </c>
      <c r="G167" t="inlineStr">
        <is>
          <t>VÄSTERÅS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46322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46322</v>
      </c>
      <c r="F169" t="inlineStr">
        <is>
          <t>VÄSTMANLANDS LÄN</t>
        </is>
      </c>
      <c r="G169" t="inlineStr">
        <is>
          <t>VÄSTERÅS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45798</v>
      </c>
      <c r="E170" s="1" t="n">
        <v>46322</v>
      </c>
      <c r="F170" t="inlineStr">
        <is>
          <t>VÄSTMANLANDS LÄN</t>
        </is>
      </c>
      <c r="G170" t="inlineStr">
        <is>
          <t>VÄSTERÅS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44999</v>
      </c>
      <c r="E171" s="1" t="n">
        <v>46322</v>
      </c>
      <c r="F171" t="inlineStr">
        <is>
          <t>VÄSTMANLANDS LÄN</t>
        </is>
      </c>
      <c r="G171" t="inlineStr">
        <is>
          <t>VÄSTERÅS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45279</v>
      </c>
      <c r="E172" s="1" t="n">
        <v>46322</v>
      </c>
      <c r="F172" t="inlineStr">
        <is>
          <t>VÄSTMANLANDS LÄN</t>
        </is>
      </c>
      <c r="G172" t="inlineStr">
        <is>
          <t>VÄSTERÅS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46322</v>
      </c>
      <c r="F173" t="inlineStr">
        <is>
          <t>VÄSTMANLANDS LÄN</t>
        </is>
      </c>
      <c r="G173" t="inlineStr">
        <is>
          <t>VÄSTERÅS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46322</v>
      </c>
      <c r="F174" t="inlineStr">
        <is>
          <t>VÄSTMANLANDS LÄN</t>
        </is>
      </c>
      <c r="G174" t="inlineStr">
        <is>
          <t>VÄSTERÅS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56076-2023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45235</v>
      </c>
      <c r="E175" s="1" t="n">
        <v>46322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Övriga Aktiebolag</t>
        </is>
      </c>
      <c r="I175" t="n">
        <v>37.8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46322</v>
      </c>
      <c r="F176" t="inlineStr">
        <is>
          <t>VÄSTMANLANDS LÄN</t>
        </is>
      </c>
      <c r="G176" t="inlineStr">
        <is>
          <t>VÄSTERÅS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46322</v>
      </c>
      <c r="F177" t="inlineStr">
        <is>
          <t>VÄSTMANLANDS LÄN</t>
        </is>
      </c>
      <c r="G177" t="inlineStr">
        <is>
          <t>VÄSTERÅS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46322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45125</v>
      </c>
      <c r="E179" s="1" t="n">
        <v>46322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46322</v>
      </c>
      <c r="F180" t="inlineStr">
        <is>
          <t>VÄSTMANLANDS LÄN</t>
        </is>
      </c>
      <c r="G180" t="inlineStr">
        <is>
          <t>VÄSTERÅS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46322</v>
      </c>
      <c r="F181" t="inlineStr">
        <is>
          <t>VÄSTMANLANDS LÄN</t>
        </is>
      </c>
      <c r="G181" t="inlineStr">
        <is>
          <t>VÄSTERÅS</t>
        </is>
      </c>
      <c r="I181" t="n">
        <v>13.9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46322</v>
      </c>
      <c r="F182" t="inlineStr">
        <is>
          <t>VÄSTMANLANDS LÄN</t>
        </is>
      </c>
      <c r="G182" t="inlineStr">
        <is>
          <t>VÄSTERÅS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39127-2022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44816</v>
      </c>
      <c r="E183" s="1" t="n">
        <v>46322</v>
      </c>
      <c r="F183" t="inlineStr">
        <is>
          <t>VÄSTMANLANDS LÄN</t>
        </is>
      </c>
      <c r="G183" t="inlineStr">
        <is>
          <t>VÄSTERÅS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46322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Allmännings- och besparingsskogar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45516</v>
      </c>
      <c r="E185" s="1" t="n">
        <v>46322</v>
      </c>
      <c r="F185" t="inlineStr">
        <is>
          <t>VÄSTMANLANDS LÄN</t>
        </is>
      </c>
      <c r="G185" t="inlineStr">
        <is>
          <t>VÄSTERÅS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46322</v>
      </c>
      <c r="F186" t="inlineStr">
        <is>
          <t>VÄSTMANLANDS LÄN</t>
        </is>
      </c>
      <c r="G186" t="inlineStr">
        <is>
          <t>VÄSTERÅS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44880</v>
      </c>
      <c r="E187" s="1" t="n">
        <v>46322</v>
      </c>
      <c r="F187" t="inlineStr">
        <is>
          <t>VÄSTMANLANDS LÄN</t>
        </is>
      </c>
      <c r="G187" t="inlineStr">
        <is>
          <t>VÄSTERÅS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46322</v>
      </c>
      <c r="F188" t="inlineStr">
        <is>
          <t>VÄSTMANLANDS LÄN</t>
        </is>
      </c>
      <c r="G188" t="inlineStr">
        <is>
          <t>VÄSTERÅS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46322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Sveaskog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44645</v>
      </c>
      <c r="E190" s="1" t="n">
        <v>46322</v>
      </c>
      <c r="F190" t="inlineStr">
        <is>
          <t>VÄSTMANLANDS LÄN</t>
        </is>
      </c>
      <c r="G190" t="inlineStr">
        <is>
          <t>VÄSTERÅS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46322</v>
      </c>
      <c r="F191" t="inlineStr">
        <is>
          <t>VÄSTMANLANDS LÄN</t>
        </is>
      </c>
      <c r="G191" t="inlineStr">
        <is>
          <t>VÄSTERÅS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46322</v>
      </c>
      <c r="F192" t="inlineStr">
        <is>
          <t>VÄSTMANLANDS LÄN</t>
        </is>
      </c>
      <c r="G192" t="inlineStr">
        <is>
          <t>VÄSTERÅS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46322</v>
      </c>
      <c r="F193" t="inlineStr">
        <is>
          <t>VÄSTMANLANDS LÄN</t>
        </is>
      </c>
      <c r="G193" t="inlineStr">
        <is>
          <t>VÄSTERÅS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46322</v>
      </c>
      <c r="F194" t="inlineStr">
        <is>
          <t>VÄSTMANLANDS LÄN</t>
        </is>
      </c>
      <c r="G194" t="inlineStr">
        <is>
          <t>VÄSTERÅS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44635</v>
      </c>
      <c r="E195" s="1" t="n">
        <v>46322</v>
      </c>
      <c r="F195" t="inlineStr">
        <is>
          <t>VÄSTMANLANDS LÄN</t>
        </is>
      </c>
      <c r="G195" t="inlineStr">
        <is>
          <t>VÄSTERÅS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46322</v>
      </c>
      <c r="F196" t="inlineStr">
        <is>
          <t>VÄSTMANLANDS LÄN</t>
        </is>
      </c>
      <c r="G196" t="inlineStr">
        <is>
          <t>VÄSTERÅS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46322</v>
      </c>
      <c r="F197" t="inlineStr">
        <is>
          <t>VÄSTMANLANDS LÄN</t>
        </is>
      </c>
      <c r="G197" t="inlineStr">
        <is>
          <t>VÄSTERÅS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7797-2026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46062</v>
      </c>
      <c r="E198" s="1" t="n">
        <v>46322</v>
      </c>
      <c r="F198" t="inlineStr">
        <is>
          <t>VÄSTMANLANDS LÄN</t>
        </is>
      </c>
      <c r="G198" t="inlineStr">
        <is>
          <t>VÄSTERÅS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46322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44908</v>
      </c>
      <c r="E200" s="1" t="n">
        <v>46322</v>
      </c>
      <c r="F200" t="inlineStr">
        <is>
          <t>VÄSTMANLANDS LÄN</t>
        </is>
      </c>
      <c r="G200" t="inlineStr">
        <is>
          <t>VÄSTERÅS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46215</v>
      </c>
      <c r="E201" s="1" t="n">
        <v>46322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45174</v>
      </c>
      <c r="E202" s="1" t="n">
        <v>46322</v>
      </c>
      <c r="F202" t="inlineStr">
        <is>
          <t>VÄSTMANLANDS LÄN</t>
        </is>
      </c>
      <c r="G202" t="inlineStr">
        <is>
          <t>VÄSTERÅS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46215</v>
      </c>
      <c r="E203" s="1" t="n">
        <v>46322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45027</v>
      </c>
      <c r="E204" s="1" t="n">
        <v>46322</v>
      </c>
      <c r="F204" t="inlineStr">
        <is>
          <t>VÄSTMANLANDS LÄN</t>
        </is>
      </c>
      <c r="G204" t="inlineStr">
        <is>
          <t>VÄSTERÅS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45027</v>
      </c>
      <c r="E205" s="1" t="n">
        <v>46322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46184</v>
      </c>
      <c r="E206" s="1" t="n">
        <v>46322</v>
      </c>
      <c r="F206" t="inlineStr">
        <is>
          <t>VÄSTMANLANDS LÄN</t>
        </is>
      </c>
      <c r="G206" t="inlineStr">
        <is>
          <t>VÄSTERÅS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46217</v>
      </c>
      <c r="E207" s="1" t="n">
        <v>46322</v>
      </c>
      <c r="F207" t="inlineStr">
        <is>
          <t>VÄSTMANLANDS LÄN</t>
        </is>
      </c>
      <c r="G207" t="inlineStr">
        <is>
          <t>VÄSTERÅS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46322</v>
      </c>
      <c r="F208" t="inlineStr">
        <is>
          <t>VÄSTMANLANDS LÄN</t>
        </is>
      </c>
      <c r="G208" t="inlineStr">
        <is>
          <t>VÄSTERÅS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52015-2024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45607</v>
      </c>
      <c r="E209" s="1" t="n">
        <v>46322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52027-2025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45952</v>
      </c>
      <c r="E210" s="1" t="n">
        <v>46322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Övriga statliga verk och myndigheter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44999</v>
      </c>
      <c r="E211" s="1" t="n">
        <v>46322</v>
      </c>
      <c r="F211" t="inlineStr">
        <is>
          <t>VÄSTMANLANDS LÄN</t>
        </is>
      </c>
      <c r="G211" t="inlineStr">
        <is>
          <t>VÄSTERÅS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46322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46322</v>
      </c>
      <c r="F213" t="inlineStr">
        <is>
          <t>VÄSTMANLANDS LÄN</t>
        </is>
      </c>
      <c r="G213" t="inlineStr">
        <is>
          <t>VÄSTERÅS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46322</v>
      </c>
      <c r="F214" t="inlineStr">
        <is>
          <t>VÄSTMANLANDS LÄN</t>
        </is>
      </c>
      <c r="G214" t="inlineStr">
        <is>
          <t>VÄSTERÅS</t>
        </is>
      </c>
      <c r="I214" t="n">
        <v>20.3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46322</v>
      </c>
      <c r="F215" t="inlineStr">
        <is>
          <t>VÄSTMANLANDS LÄN</t>
        </is>
      </c>
      <c r="G215" t="inlineStr">
        <is>
          <t>VÄSTERÅS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46322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46322</v>
      </c>
      <c r="F217" t="inlineStr">
        <is>
          <t>VÄSTMANLANDS LÄN</t>
        </is>
      </c>
      <c r="G217" t="inlineStr">
        <is>
          <t>VÄSTERÅS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46322</v>
      </c>
      <c r="F218" t="inlineStr">
        <is>
          <t>VÄSTMANLANDS LÄN</t>
        </is>
      </c>
      <c r="G218" t="inlineStr">
        <is>
          <t>VÄSTERÅS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46322</v>
      </c>
      <c r="F219" t="inlineStr">
        <is>
          <t>VÄSTMANLANDS LÄN</t>
        </is>
      </c>
      <c r="G219" t="inlineStr">
        <is>
          <t>VÄSTERÅS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51230-2023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46322</v>
      </c>
      <c r="F220" t="inlineStr">
        <is>
          <t>VÄSTMANLANDS LÄN</t>
        </is>
      </c>
      <c r="G220" t="inlineStr">
        <is>
          <t>VÄSTERÅS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46322</v>
      </c>
      <c r="F221" t="inlineStr">
        <is>
          <t>VÄSTMANLANDS LÄN</t>
        </is>
      </c>
      <c r="G221" t="inlineStr">
        <is>
          <t>VÄSTERÅS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44582</v>
      </c>
      <c r="E222" s="1" t="n">
        <v>46322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Övriga Aktiebolag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46322</v>
      </c>
      <c r="F223" t="inlineStr">
        <is>
          <t>VÄSTMANLANDS LÄN</t>
        </is>
      </c>
      <c r="G223" t="inlineStr">
        <is>
          <t>VÄSTERÅS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46322</v>
      </c>
      <c r="F224" t="inlineStr">
        <is>
          <t>VÄSTMANLANDS LÄN</t>
        </is>
      </c>
      <c r="G224" t="inlineStr">
        <is>
          <t>VÄSTERÅS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46322</v>
      </c>
      <c r="F225" t="inlineStr">
        <is>
          <t>VÄSTMANLANDS LÄN</t>
        </is>
      </c>
      <c r="G225" t="inlineStr">
        <is>
          <t>VÄSTERÅS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45414</v>
      </c>
      <c r="E226" s="1" t="n">
        <v>46322</v>
      </c>
      <c r="F226" t="inlineStr">
        <is>
          <t>VÄSTMANLANDS LÄN</t>
        </is>
      </c>
      <c r="G226" t="inlineStr">
        <is>
          <t>VÄSTERÅS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18465-2023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45042</v>
      </c>
      <c r="E227" s="1" t="n">
        <v>46322</v>
      </c>
      <c r="F227" t="inlineStr">
        <is>
          <t>VÄSTMANLANDS LÄN</t>
        </is>
      </c>
      <c r="G227" t="inlineStr">
        <is>
          <t>VÄSTERÅS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16685-2026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46112</v>
      </c>
      <c r="E228" s="1" t="n">
        <v>46322</v>
      </c>
      <c r="F228" t="inlineStr">
        <is>
          <t>VÄSTMANLANDS LÄN</t>
        </is>
      </c>
      <c r="G228" t="inlineStr">
        <is>
          <t>VÄSTERÅS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46322</v>
      </c>
      <c r="F229" t="inlineStr">
        <is>
          <t>VÄSTMANLANDS LÄN</t>
        </is>
      </c>
      <c r="G229" t="inlineStr">
        <is>
          <t>VÄSTERÅS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46322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46112</v>
      </c>
      <c r="E231" s="1" t="n">
        <v>46322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46112</v>
      </c>
      <c r="E232" s="1" t="n">
        <v>46322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46322</v>
      </c>
      <c r="F233" t="inlineStr">
        <is>
          <t>VÄSTMANLANDS LÄN</t>
        </is>
      </c>
      <c r="G233" t="inlineStr">
        <is>
          <t>VÄSTERÅS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46322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Allmännings- och besparingsskogar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46322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46322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Kyrkan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46322</v>
      </c>
      <c r="F237" t="inlineStr">
        <is>
          <t>VÄSTMANLANDS LÄN</t>
        </is>
      </c>
      <c r="G237" t="inlineStr">
        <is>
          <t>VÄSTERÅS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44659</v>
      </c>
      <c r="E238" s="1" t="n">
        <v>46322</v>
      </c>
      <c r="F238" t="inlineStr">
        <is>
          <t>VÄSTMANLANDS LÄN</t>
        </is>
      </c>
      <c r="G238" t="inlineStr">
        <is>
          <t>VÄSTERÅS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44595</v>
      </c>
      <c r="E239" s="1" t="n">
        <v>46322</v>
      </c>
      <c r="F239" t="inlineStr">
        <is>
          <t>VÄSTMANLANDS LÄN</t>
        </is>
      </c>
      <c r="G239" t="inlineStr">
        <is>
          <t>VÄSTERÅS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46322</v>
      </c>
      <c r="F240" t="inlineStr">
        <is>
          <t>VÄSTMANLANDS LÄN</t>
        </is>
      </c>
      <c r="G240" t="inlineStr">
        <is>
          <t>VÄSTERÅS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63851-2021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44509</v>
      </c>
      <c r="E241" s="1" t="n">
        <v>46322</v>
      </c>
      <c r="F241" t="inlineStr">
        <is>
          <t>VÄSTMANLANDS LÄN</t>
        </is>
      </c>
      <c r="G241" t="inlineStr">
        <is>
          <t>VÄSTERÅS</t>
        </is>
      </c>
      <c r="I241" t="n">
        <v>11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46322</v>
      </c>
      <c r="F242" t="inlineStr">
        <is>
          <t>VÄSTMANLANDS LÄN</t>
        </is>
      </c>
      <c r="G242" t="inlineStr">
        <is>
          <t>VÄSTERÅS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60797-2022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44914</v>
      </c>
      <c r="E243" s="1" t="n">
        <v>46322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46289</v>
      </c>
      <c r="E244" s="1" t="n">
        <v>46322</v>
      </c>
      <c r="F244" t="inlineStr">
        <is>
          <t>VÄSTMANLANDS LÄN</t>
        </is>
      </c>
      <c r="G244" t="inlineStr">
        <is>
          <t>VÄSTERÅS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46322</v>
      </c>
      <c r="F245" t="inlineStr">
        <is>
          <t>VÄSTMANLANDS LÄN</t>
        </is>
      </c>
      <c r="G245" t="inlineStr">
        <is>
          <t>VÄSTERÅS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45042</v>
      </c>
      <c r="E246" s="1" t="n">
        <v>46322</v>
      </c>
      <c r="F246" t="inlineStr">
        <is>
          <t>VÄSTMANLANDS LÄN</t>
        </is>
      </c>
      <c r="G246" t="inlineStr">
        <is>
          <t>VÄSTERÅS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46289</v>
      </c>
      <c r="E247" s="1" t="n">
        <v>46322</v>
      </c>
      <c r="F247" t="inlineStr">
        <is>
          <t>VÄSTMANLANDS LÄN</t>
        </is>
      </c>
      <c r="G247" t="inlineStr">
        <is>
          <t>VÄSTERÅS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44717</v>
      </c>
      <c r="E248" s="1" t="n">
        <v>46322</v>
      </c>
      <c r="F248" t="inlineStr">
        <is>
          <t>VÄSTMANLANDS LÄN</t>
        </is>
      </c>
      <c r="G248" t="inlineStr">
        <is>
          <t>VÄSTERÅS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46322</v>
      </c>
      <c r="F249" t="inlineStr">
        <is>
          <t>VÄSTMANLANDS LÄN</t>
        </is>
      </c>
      <c r="G249" t="inlineStr">
        <is>
          <t>VÄSTERÅS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46290</v>
      </c>
      <c r="E250" s="1" t="n">
        <v>46322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44680</v>
      </c>
      <c r="E251" s="1" t="n">
        <v>46322</v>
      </c>
      <c r="F251" t="inlineStr">
        <is>
          <t>VÄSTMANLANDS LÄN</t>
        </is>
      </c>
      <c r="G251" t="inlineStr">
        <is>
          <t>VÄSTERÅS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46322</v>
      </c>
      <c r="F252" t="inlineStr">
        <is>
          <t>VÄSTMANLANDS LÄN</t>
        </is>
      </c>
      <c r="G252" t="inlineStr">
        <is>
          <t>VÄSTERÅS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46322</v>
      </c>
      <c r="F253" t="inlineStr">
        <is>
          <t>VÄSTMANLANDS LÄN</t>
        </is>
      </c>
      <c r="G253" t="inlineStr">
        <is>
          <t>VÄSTERÅS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46322</v>
      </c>
      <c r="F254" t="inlineStr">
        <is>
          <t>VÄSTMANLANDS LÄN</t>
        </is>
      </c>
      <c r="G254" t="inlineStr">
        <is>
          <t>VÄSTERÅS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46290</v>
      </c>
      <c r="E255" s="1" t="n">
        <v>46322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46290</v>
      </c>
      <c r="E256" s="1" t="n">
        <v>46322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46322</v>
      </c>
      <c r="F257" t="inlineStr">
        <is>
          <t>VÄSTMANLANDS LÄN</t>
        </is>
      </c>
      <c r="G257" t="inlineStr">
        <is>
          <t>VÄSTERÅS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44986</v>
      </c>
      <c r="E258" s="1" t="n">
        <v>46322</v>
      </c>
      <c r="F258" t="inlineStr">
        <is>
          <t>VÄSTMANLANDS LÄN</t>
        </is>
      </c>
      <c r="G258" t="inlineStr">
        <is>
          <t>VÄSTERÅS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57873-2022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44899</v>
      </c>
      <c r="E259" s="1" t="n">
        <v>46322</v>
      </c>
      <c r="F259" t="inlineStr">
        <is>
          <t>VÄSTMANLANDS LÄN</t>
        </is>
      </c>
      <c r="G259" t="inlineStr">
        <is>
          <t>VÄSTERÅS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46322</v>
      </c>
      <c r="F260" t="inlineStr">
        <is>
          <t>VÄSTMANLANDS LÄN</t>
        </is>
      </c>
      <c r="G260" t="inlineStr">
        <is>
          <t>VÄSTERÅS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45019</v>
      </c>
      <c r="E261" s="1" t="n">
        <v>46322</v>
      </c>
      <c r="F261" t="inlineStr">
        <is>
          <t>VÄSTMANLANDS LÄN</t>
        </is>
      </c>
      <c r="G261" t="inlineStr">
        <is>
          <t>VÄSTERÅS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46322</v>
      </c>
      <c r="F262" t="inlineStr">
        <is>
          <t>VÄSTMANLANDS LÄN</t>
        </is>
      </c>
      <c r="G262" t="inlineStr">
        <is>
          <t>VÄSTERÅS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44636</v>
      </c>
      <c r="E263" s="1" t="n">
        <v>46322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Kommuner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12148-2022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46322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Kommuner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46322</v>
      </c>
      <c r="F265" t="inlineStr">
        <is>
          <t>VÄSTMANLANDS LÄN</t>
        </is>
      </c>
      <c r="G265" t="inlineStr">
        <is>
          <t>VÄSTERÅS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44840</v>
      </c>
      <c r="E266" s="1" t="n">
        <v>46322</v>
      </c>
      <c r="F266" t="inlineStr">
        <is>
          <t>VÄSTMANLANDS LÄN</t>
        </is>
      </c>
      <c r="G266" t="inlineStr">
        <is>
          <t>VÄSTERÅS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46322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46162</v>
      </c>
      <c r="E268" s="1" t="n">
        <v>46322</v>
      </c>
      <c r="F268" t="inlineStr">
        <is>
          <t>VÄSTMANLANDS LÄN</t>
        </is>
      </c>
      <c r="G268" t="inlineStr">
        <is>
          <t>VÄSTERÅS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56532-2022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44893</v>
      </c>
      <c r="E269" s="1" t="n">
        <v>46322</v>
      </c>
      <c r="F269" t="inlineStr">
        <is>
          <t>VÄSTMANLANDS LÄN</t>
        </is>
      </c>
      <c r="G269" t="inlineStr">
        <is>
          <t>VÄSTERÅS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44664</v>
      </c>
      <c r="E270" s="1" t="n">
        <v>46322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46322</v>
      </c>
      <c r="F271" t="inlineStr">
        <is>
          <t>VÄSTMANLANDS LÄN</t>
        </is>
      </c>
      <c r="G271" t="inlineStr">
        <is>
          <t>VÄSTERÅS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24266-2026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46169</v>
      </c>
      <c r="E272" s="1" t="n">
        <v>46322</v>
      </c>
      <c r="F272" t="inlineStr">
        <is>
          <t>VÄSTMANLANDS LÄN</t>
        </is>
      </c>
      <c r="G272" t="inlineStr">
        <is>
          <t>VÄSTERÅS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46169</v>
      </c>
      <c r="E273" s="1" t="n">
        <v>46322</v>
      </c>
      <c r="F273" t="inlineStr">
        <is>
          <t>VÄSTMANLANDS LÄN</t>
        </is>
      </c>
      <c r="G273" t="inlineStr">
        <is>
          <t>VÄSTERÅS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24317-2026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46322</v>
      </c>
      <c r="F274" t="inlineStr">
        <is>
          <t>VÄSTMANLANDS LÄN</t>
        </is>
      </c>
      <c r="G274" t="inlineStr">
        <is>
          <t>VÄSTERÅS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45274</v>
      </c>
      <c r="E275" s="1" t="n">
        <v>46322</v>
      </c>
      <c r="F275" t="inlineStr">
        <is>
          <t>VÄSTMANLANDS LÄN</t>
        </is>
      </c>
      <c r="G275" t="inlineStr">
        <is>
          <t>VÄSTERÅS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46322</v>
      </c>
      <c r="F276" t="inlineStr">
        <is>
          <t>VÄSTMANLANDS LÄN</t>
        </is>
      </c>
      <c r="G276" t="inlineStr">
        <is>
          <t>VÄSTERÅS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46322</v>
      </c>
      <c r="F277" t="inlineStr">
        <is>
          <t>VÄSTMANLANDS LÄN</t>
        </is>
      </c>
      <c r="G277" t="inlineStr">
        <is>
          <t>VÄSTERÅS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46322</v>
      </c>
      <c r="F278" t="inlineStr">
        <is>
          <t>VÄSTMANLANDS LÄN</t>
        </is>
      </c>
      <c r="G278" t="inlineStr">
        <is>
          <t>VÄSTERÅS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45019</v>
      </c>
      <c r="E279" s="1" t="n">
        <v>46322</v>
      </c>
      <c r="F279" t="inlineStr">
        <is>
          <t>VÄSTMANLANDS LÄN</t>
        </is>
      </c>
      <c r="G279" t="inlineStr">
        <is>
          <t>VÄSTERÅS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45019</v>
      </c>
      <c r="E280" s="1" t="n">
        <v>46322</v>
      </c>
      <c r="F280" t="inlineStr">
        <is>
          <t>VÄSTMANLANDS LÄN</t>
        </is>
      </c>
      <c r="G280" t="inlineStr">
        <is>
          <t>VÄSTERÅS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18482-2023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45042</v>
      </c>
      <c r="E281" s="1" t="n">
        <v>46322</v>
      </c>
      <c r="F281" t="inlineStr">
        <is>
          <t>VÄSTMANLANDS LÄN</t>
        </is>
      </c>
      <c r="G281" t="inlineStr">
        <is>
          <t>VÄSTERÅS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46322</v>
      </c>
      <c r="F282" t="inlineStr">
        <is>
          <t>VÄSTMANLANDS LÄN</t>
        </is>
      </c>
      <c r="G282" t="inlineStr">
        <is>
          <t>VÄSTERÅS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46287</v>
      </c>
      <c r="E283" s="1" t="n">
        <v>46322</v>
      </c>
      <c r="F283" t="inlineStr">
        <is>
          <t>VÄSTMANLANDS LÄN</t>
        </is>
      </c>
      <c r="G283" t="inlineStr">
        <is>
          <t>VÄSTERÅS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46322</v>
      </c>
      <c r="F284" t="inlineStr">
        <is>
          <t>VÄSTMANLANDS LÄN</t>
        </is>
      </c>
      <c r="G284" t="inlineStr">
        <is>
          <t>VÄSTERÅS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45083</v>
      </c>
      <c r="E285" s="1" t="n">
        <v>46322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46322</v>
      </c>
      <c r="F286" t="inlineStr">
        <is>
          <t>VÄSTMANLANDS LÄN</t>
        </is>
      </c>
      <c r="G286" t="inlineStr">
        <is>
          <t>VÄSTERÅS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7378-2022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44606</v>
      </c>
      <c r="E287" s="1" t="n">
        <v>46322</v>
      </c>
      <c r="F287" t="inlineStr">
        <is>
          <t>VÄSTMANLANDS LÄN</t>
        </is>
      </c>
      <c r="G287" t="inlineStr">
        <is>
          <t>VÄSTERÅS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46183</v>
      </c>
      <c r="E288" s="1" t="n">
        <v>46322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Allmännings- och besparingsskogar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46080</v>
      </c>
      <c r="E289" s="1" t="n">
        <v>46322</v>
      </c>
      <c r="F289" t="inlineStr">
        <is>
          <t>VÄSTMANLANDS LÄN</t>
        </is>
      </c>
      <c r="G289" t="inlineStr">
        <is>
          <t>VÄSTERÅS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46322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44978</v>
      </c>
      <c r="E291" s="1" t="n">
        <v>46322</v>
      </c>
      <c r="F291" t="inlineStr">
        <is>
          <t>VÄSTMANLANDS LÄN</t>
        </is>
      </c>
      <c r="G291" t="inlineStr">
        <is>
          <t>VÄSTERÅS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67352-2021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46322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Övriga Aktiebolag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46322</v>
      </c>
      <c r="F293" t="inlineStr">
        <is>
          <t>VÄSTMANLANDS LÄN</t>
        </is>
      </c>
      <c r="G293" t="inlineStr">
        <is>
          <t>VÄSTERÅS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45579</v>
      </c>
      <c r="E294" s="1" t="n">
        <v>46322</v>
      </c>
      <c r="F294" t="inlineStr">
        <is>
          <t>VÄSTMANLANDS LÄN</t>
        </is>
      </c>
      <c r="G294" t="inlineStr">
        <is>
          <t>VÄSTERÅS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52396-2022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44874</v>
      </c>
      <c r="E295" s="1" t="n">
        <v>46322</v>
      </c>
      <c r="F295" t="inlineStr">
        <is>
          <t>VÄSTMANLANDS LÄN</t>
        </is>
      </c>
      <c r="G295" t="inlineStr">
        <is>
          <t>VÄSTERÅS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46322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44901</v>
      </c>
      <c r="E297" s="1" t="n">
        <v>46322</v>
      </c>
      <c r="F297" t="inlineStr">
        <is>
          <t>VÄSTMANLANDS LÄN</t>
        </is>
      </c>
      <c r="G297" t="inlineStr">
        <is>
          <t>VÄSTERÅS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46215</v>
      </c>
      <c r="E298" s="1" t="n">
        <v>46322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46322</v>
      </c>
      <c r="F299" t="inlineStr">
        <is>
          <t>VÄSTMANLANDS LÄN</t>
        </is>
      </c>
      <c r="G299" t="inlineStr">
        <is>
          <t>VÄSTERÅS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46303</v>
      </c>
      <c r="E300" s="1" t="n">
        <v>46322</v>
      </c>
      <c r="F300" t="inlineStr">
        <is>
          <t>VÄSTMANLANDS LÄN</t>
        </is>
      </c>
      <c r="G300" t="inlineStr">
        <is>
          <t>VÄSTERÅS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46215</v>
      </c>
      <c r="E301" s="1" t="n">
        <v>46322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45264</v>
      </c>
      <c r="E302" s="1" t="n">
        <v>46322</v>
      </c>
      <c r="F302" t="inlineStr">
        <is>
          <t>VÄSTMANLANDS LÄN</t>
        </is>
      </c>
      <c r="G302" t="inlineStr">
        <is>
          <t>VÄSTERÅS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46303</v>
      </c>
      <c r="E303" s="1" t="n">
        <v>46322</v>
      </c>
      <c r="F303" t="inlineStr">
        <is>
          <t>VÄSTMANLANDS LÄN</t>
        </is>
      </c>
      <c r="G303" t="inlineStr">
        <is>
          <t>VÄSTERÅS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46303</v>
      </c>
      <c r="E304" s="1" t="n">
        <v>46322</v>
      </c>
      <c r="F304" t="inlineStr">
        <is>
          <t>VÄSTMANLANDS LÄN</t>
        </is>
      </c>
      <c r="G304" t="inlineStr">
        <is>
          <t>VÄSTERÅS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46303</v>
      </c>
      <c r="E305" s="1" t="n">
        <v>46322</v>
      </c>
      <c r="F305" t="inlineStr">
        <is>
          <t>VÄSTMANLANDS LÄN</t>
        </is>
      </c>
      <c r="G305" t="inlineStr">
        <is>
          <t>VÄSTERÅS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18467-2023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45042</v>
      </c>
      <c r="E306" s="1" t="n">
        <v>46322</v>
      </c>
      <c r="F306" t="inlineStr">
        <is>
          <t>VÄSTMANLANDS LÄN</t>
        </is>
      </c>
      <c r="G306" t="inlineStr">
        <is>
          <t>VÄSTERÅS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24402-2024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45457</v>
      </c>
      <c r="E307" s="1" t="n">
        <v>46322</v>
      </c>
      <c r="F307" t="inlineStr">
        <is>
          <t>VÄSTMANLANDS LÄN</t>
        </is>
      </c>
      <c r="G307" t="inlineStr">
        <is>
          <t>VÄSTERÅS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46322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Kyrkan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46322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67350-2021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44523</v>
      </c>
      <c r="E310" s="1" t="n">
        <v>46322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Övriga Aktiebolag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44623</v>
      </c>
      <c r="E311" s="1" t="n">
        <v>46322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45033</v>
      </c>
      <c r="E312" s="1" t="n">
        <v>46322</v>
      </c>
      <c r="F312" t="inlineStr">
        <is>
          <t>VÄSTMANLANDS LÄN</t>
        </is>
      </c>
      <c r="G312" t="inlineStr">
        <is>
          <t>VÄSTERÅS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73994-2021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44556</v>
      </c>
      <c r="E313" s="1" t="n">
        <v>46322</v>
      </c>
      <c r="F313" t="inlineStr">
        <is>
          <t>VÄSTMANLANDS LÄN</t>
        </is>
      </c>
      <c r="G313" t="inlineStr">
        <is>
          <t>VÄSTERÅS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46265</v>
      </c>
      <c r="E314" s="1" t="n">
        <v>46322</v>
      </c>
      <c r="F314" t="inlineStr">
        <is>
          <t>VÄSTMANLANDS LÄN</t>
        </is>
      </c>
      <c r="G314" t="inlineStr">
        <is>
          <t>VÄSTERÅS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61249-2021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44498</v>
      </c>
      <c r="E315" s="1" t="n">
        <v>46322</v>
      </c>
      <c r="F315" t="inlineStr">
        <is>
          <t>VÄSTMANLANDS LÄN</t>
        </is>
      </c>
      <c r="G315" t="inlineStr">
        <is>
          <t>VÄSTERÅS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46322</v>
      </c>
      <c r="F316" t="inlineStr">
        <is>
          <t>VÄSTMANLANDS LÄN</t>
        </is>
      </c>
      <c r="G316" t="inlineStr">
        <is>
          <t>VÄSTERÅS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34461-2022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44792</v>
      </c>
      <c r="E317" s="1" t="n">
        <v>46322</v>
      </c>
      <c r="F317" t="inlineStr">
        <is>
          <t>VÄSTMANLANDS LÄN</t>
        </is>
      </c>
      <c r="G317" t="inlineStr">
        <is>
          <t>VÄSTERÅS</t>
        </is>
      </c>
      <c r="I317" t="n">
        <v>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46322</v>
      </c>
      <c r="F318" t="inlineStr">
        <is>
          <t>VÄSTMANLANDS LÄN</t>
        </is>
      </c>
      <c r="G318" t="inlineStr">
        <is>
          <t>VÄSTERÅS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52569-2022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44874</v>
      </c>
      <c r="E319" s="1" t="n">
        <v>46322</v>
      </c>
      <c r="F319" t="inlineStr">
        <is>
          <t>VÄSTMANLANDS LÄN</t>
        </is>
      </c>
      <c r="G319" t="inlineStr">
        <is>
          <t>VÄSTERÅS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44708</v>
      </c>
      <c r="E320" s="1" t="n">
        <v>46322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29746-2022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44755</v>
      </c>
      <c r="E321" s="1" t="n">
        <v>46322</v>
      </c>
      <c r="F321" t="inlineStr">
        <is>
          <t>VÄSTMANLANDS LÄN</t>
        </is>
      </c>
      <c r="G321" t="inlineStr">
        <is>
          <t>VÄSTERÅS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67353-2021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44523</v>
      </c>
      <c r="E322" s="1" t="n">
        <v>46322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Övriga Aktiebolag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45169</v>
      </c>
      <c r="E323" s="1" t="n">
        <v>46322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46272</v>
      </c>
      <c r="E324" s="1" t="n">
        <v>46322</v>
      </c>
      <c r="F324" t="inlineStr">
        <is>
          <t>VÄSTMANLANDS LÄN</t>
        </is>
      </c>
      <c r="G324" t="inlineStr">
        <is>
          <t>VÄSTERÅS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46322</v>
      </c>
      <c r="F325" t="inlineStr">
        <is>
          <t>VÄSTMANLANDS LÄN</t>
        </is>
      </c>
      <c r="G325" t="inlineStr">
        <is>
          <t>VÄSTERÅS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46274</v>
      </c>
      <c r="E326" s="1" t="n">
        <v>46322</v>
      </c>
      <c r="F326" t="inlineStr">
        <is>
          <t>VÄSTMANLANDS LÄN</t>
        </is>
      </c>
      <c r="G326" t="inlineStr">
        <is>
          <t>VÄSTERÅS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46322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46322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953-2023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45005</v>
      </c>
      <c r="E329" s="1" t="n">
        <v>46322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46322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46322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46322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46322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2026-10-27T03:13:51Z</dcterms:created>
  <dcterms:modified xmlns:dcterms="http://purl.org/dc/terms/" xmlns:xsi="http://www.w3.org/2001/XMLSchema-instance" xsi:type="dcterms:W3CDTF">2026-10-27T03:13:51Z</dcterms:modified>
</cp:coreProperties>
</file>