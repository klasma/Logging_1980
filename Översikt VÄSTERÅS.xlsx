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46259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46259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46259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46259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46259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47228-2022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44852</v>
      </c>
      <c r="E17" s="1" t="n">
        <v>46259</v>
      </c>
      <c r="F17" t="inlineStr">
        <is>
          <t>VÄSTMANLANDS LÄN</t>
        </is>
      </c>
      <c r="G17" t="inlineStr">
        <is>
          <t>VÄSTERÅS</t>
        </is>
      </c>
      <c r="I17" t="n">
        <v>11.6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Vithornad barkskinnbagge
Xyletinus ater
Mindre märgborre
Fiskgjuse</t>
        </is>
      </c>
      <c r="W17">
        <f>HYPERLINK("https://klasma.github.io/Logging_1980/artfynd/A 47228-2022 artfynd.xlsx", "A 47228-2022")</f>
        <v/>
      </c>
      <c r="X17">
        <f>HYPERLINK("https://klasma.github.io/Logging_1980/kartor/A 47228-2022 karta.png", "A 47228-2022")</f>
        <v/>
      </c>
      <c r="Y17">
        <f>HYPERLINK("https://klasma.github.io/Logging_1980/kartor_geotiff/A 47228-2022 georefererad karta.tif", "A 47228-2022")</f>
        <v/>
      </c>
      <c r="AA17">
        <f>HYPERLINK("https://klasma.github.io/Logging_1980/klagomål/A 47228-2022 FSC-klagomål.docx", "A 47228-2022")</f>
        <v/>
      </c>
      <c r="AB17">
        <f>HYPERLINK("https://klasma.github.io/Logging_1980/klagomålsmail/A 47228-2022 FSC-klagomål mail.docx", "A 47228-2022")</f>
        <v/>
      </c>
      <c r="AC17">
        <f>HYPERLINK("https://klasma.github.io/Logging_1980/tillsyn/A 47228-2022 tillsynsbegäran.docx", "A 47228-2022")</f>
        <v/>
      </c>
      <c r="AD17">
        <f>HYPERLINK("https://klasma.github.io/Logging_1980/tillsynsmail/A 47228-2022 tillsynsbegäran mail.docx", "A 47228-2022")</f>
        <v/>
      </c>
      <c r="AE17">
        <f>HYPERLINK("https://klasma.github.io/Logging_1980/fåglar/A 47228-2022 prioriterade fågelarter.docx", "A 47228-2022")</f>
        <v/>
      </c>
    </row>
    <row r="18" ht="15" customHeight="1">
      <c r="A18" t="inlineStr">
        <is>
          <t>A 41262-2023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45174</v>
      </c>
      <c r="E18" s="1" t="n">
        <v>46259</v>
      </c>
      <c r="F18" t="inlineStr">
        <is>
          <t>VÄSTMANLANDS LÄN</t>
        </is>
      </c>
      <c r="G18" t="inlineStr">
        <is>
          <t>VÄSTERÅS</t>
        </is>
      </c>
      <c r="H18" t="inlineStr">
        <is>
          <t>Kommuner</t>
        </is>
      </c>
      <c r="I18" t="n">
        <v>11.4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8</v>
      </c>
      <c r="U18" t="n">
        <v>2</v>
      </c>
      <c r="V18" s="2" t="inlineStr">
        <is>
          <t>Grönsångare
Gulsparv
Kungsfågel
Vanlig groda</t>
        </is>
      </c>
      <c r="W18">
        <f>HYPERLINK("https://klasma.github.io/Logging_1980/artfynd/A 41262-2023 artfynd.xlsx", "A 41262-2023")</f>
        <v/>
      </c>
      <c r="X18">
        <f>HYPERLINK("https://klasma.github.io/Logging_1980/kartor/A 41262-2023 karta.png", "A 41262-2023")</f>
        <v/>
      </c>
      <c r="Y18">
        <f>HYPERLINK("https://klasma.github.io/Logging_1980/kartor_geotiff/A 41262-2023 georefererad karta.tif", "A 41262-2023")</f>
        <v/>
      </c>
      <c r="AA18">
        <f>HYPERLINK("https://klasma.github.io/Logging_1980/klagomål/A 41262-2023 FSC-klagomål.docx", "A 41262-2023")</f>
        <v/>
      </c>
      <c r="AB18">
        <f>HYPERLINK("https://klasma.github.io/Logging_1980/klagomålsmail/A 41262-2023 FSC-klagomål mail.docx", "A 41262-2023")</f>
        <v/>
      </c>
      <c r="AC18">
        <f>HYPERLINK("https://klasma.github.io/Logging_1980/tillsyn/A 41262-2023 tillsynsbegäran.docx", "A 41262-2023")</f>
        <v/>
      </c>
      <c r="AD18">
        <f>HYPERLINK("https://klasma.github.io/Logging_1980/tillsynsmail/A 41262-2023 tillsynsbegäran mail.docx", "A 41262-2023")</f>
        <v/>
      </c>
      <c r="AE18">
        <f>HYPERLINK("https://klasma.github.io/Logging_1980/fåglar/A 41262-2023 prioriterade fågelarter.docx", "A 41262-2023")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46259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46259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46259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46259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46259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46259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46259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46259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46259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46259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46259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46259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46259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46259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46259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46259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46259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4</v>
      </c>
      <c r="V37" s="2" t="inlineStr">
        <is>
          <t>Gullklöver
Blåsippa</t>
        </is>
      </c>
      <c r="W37">
        <f>HYPERLINK("https://klasma.github.io/Logging_1980/artfynd/A 30759-2022 artfynd.xlsx", "A 30759-2022")</f>
        <v/>
      </c>
      <c r="X37">
        <f>HYPERLINK("https://klasma.github.io/Logging_1980/kartor/A 30759-2022 karta.png", "A 30759-2022")</f>
        <v/>
      </c>
      <c r="Y37">
        <f>HYPERLINK("https://klasma.github.io/Logging_1980/kartor_geotiff/A 30759-2022 georefererad karta.tif", "A 30759-2022")</f>
        <v/>
      </c>
      <c r="AA37">
        <f>HYPERLINK("https://klasma.github.io/Logging_1980/klagomål/A 30759-2022 FSC-klagomål.docx", "A 30759-2022")</f>
        <v/>
      </c>
      <c r="AB37">
        <f>HYPERLINK("https://klasma.github.io/Logging_1980/klagomålsmail/A 30759-2022 FSC-klagomål mail.docx", "A 30759-2022")</f>
        <v/>
      </c>
      <c r="AC37">
        <f>HYPERLINK("https://klasma.github.io/Logging_1980/tillsyn/A 30759-2022 tillsynsbegäran.docx", "A 30759-2022")</f>
        <v/>
      </c>
      <c r="AD37">
        <f>HYPERLINK("https://klasma.github.io/Logging_1980/tillsynsmail/A 30759-2022 tillsynsbegäran mail.docx", "A 30759-2022")</f>
        <v/>
      </c>
    </row>
    <row r="38" ht="15" customHeight="1">
      <c r="A38" t="inlineStr">
        <is>
          <t>A 59143-2025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46259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12.4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Fiskgjuse</t>
        </is>
      </c>
      <c r="W38">
        <f>HYPERLINK("https://klasma.github.io/Logging_1980/artfynd/A 59143-2025 artfynd.xlsx", "A 59143-2025")</f>
        <v/>
      </c>
      <c r="X38">
        <f>HYPERLINK("https://klasma.github.io/Logging_1980/kartor/A 59143-2025 karta.png", "A 59143-2025")</f>
        <v/>
      </c>
      <c r="Y38">
        <f>HYPERLINK("https://klasma.github.io/Logging_1980/kartor_geotiff/A 59143-2025 georefererad karta.tif", "A 59143-2025")</f>
        <v/>
      </c>
      <c r="AA38">
        <f>HYPERLINK("https://klasma.github.io/Logging_1980/klagomål/A 59143-2025 FSC-klagomål.docx", "A 59143-2025")</f>
        <v/>
      </c>
      <c r="AB38">
        <f>HYPERLINK("https://klasma.github.io/Logging_1980/klagomålsmail/A 59143-2025 FSC-klagomål mail.docx", "A 59143-2025")</f>
        <v/>
      </c>
      <c r="AC38">
        <f>HYPERLINK("https://klasma.github.io/Logging_1980/tillsyn/A 59143-2025 tillsynsbegäran.docx", "A 59143-2025")</f>
        <v/>
      </c>
      <c r="AD38">
        <f>HYPERLINK("https://klasma.github.io/Logging_1980/tillsynsmail/A 59143-2025 tillsynsbegäran mail.docx", "A 59143-2025")</f>
        <v/>
      </c>
      <c r="AE38">
        <f>HYPERLINK("https://klasma.github.io/Logging_1980/fåglar/A 59143-2025 prioriterade fågelarter.docx", "A 59143-2025")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46259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46259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58395-2022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44901</v>
      </c>
      <c r="E42" s="1" t="n">
        <v>46259</v>
      </c>
      <c r="F42" t="inlineStr">
        <is>
          <t>VÄSTMANLANDS LÄN</t>
        </is>
      </c>
      <c r="G42" t="inlineStr">
        <is>
          <t>VÄSTERÅS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Korskovall</t>
        </is>
      </c>
      <c r="W42">
        <f>HYPERLINK("https://klasma.github.io/Logging_1980/artfynd/A 58395-2022 artfynd.xlsx", "A 58395-2022")</f>
        <v/>
      </c>
      <c r="X42">
        <f>HYPERLINK("https://klasma.github.io/Logging_1980/kartor/A 58395-2022 karta.png", "A 58395-2022")</f>
        <v/>
      </c>
      <c r="Y42">
        <f>HYPERLINK("https://klasma.github.io/Logging_1980/kartor_geotiff/A 58395-2022 georefererad karta.tif", "A 58395-2022")</f>
        <v/>
      </c>
      <c r="AA42">
        <f>HYPERLINK("https://klasma.github.io/Logging_1980/klagomål/A 58395-2022 FSC-klagomål.docx", "A 58395-2022")</f>
        <v/>
      </c>
      <c r="AB42">
        <f>HYPERLINK("https://klasma.github.io/Logging_1980/klagomålsmail/A 58395-2022 FSC-klagomål mail.docx", "A 58395-2022")</f>
        <v/>
      </c>
      <c r="AC42">
        <f>HYPERLINK("https://klasma.github.io/Logging_1980/tillsyn/A 58395-2022 tillsynsbegäran.docx", "A 58395-2022")</f>
        <v/>
      </c>
      <c r="AD42">
        <f>HYPERLINK("https://klasma.github.io/Logging_1980/tillsynsmail/A 58395-2022 tillsynsbegäran mail.docx", "A 58395-2022")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46259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46259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59520-2024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46259</v>
      </c>
      <c r="F45" t="inlineStr">
        <is>
          <t>VÄSTMANLANDS LÄN</t>
        </is>
      </c>
      <c r="G45" t="inlineStr">
        <is>
          <t>VÄSTERÅS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Brunklöver</t>
        </is>
      </c>
      <c r="W45">
        <f>HYPERLINK("https://klasma.github.io/Logging_1980/artfynd/A 59520-2024 artfynd.xlsx", "A 59520-2024")</f>
        <v/>
      </c>
      <c r="X45">
        <f>HYPERLINK("https://klasma.github.io/Logging_1980/kartor/A 59520-2024 karta.png", "A 59520-2024")</f>
        <v/>
      </c>
      <c r="Y45">
        <f>HYPERLINK("https://klasma.github.io/Logging_1980/kartor_geotiff/A 59520-2024 georefererad karta.tif", "A 59520-2024")</f>
        <v/>
      </c>
      <c r="AA45">
        <f>HYPERLINK("https://klasma.github.io/Logging_1980/klagomål/A 59520-2024 FSC-klagomål.docx", "A 59520-2024")</f>
        <v/>
      </c>
      <c r="AB45">
        <f>HYPERLINK("https://klasma.github.io/Logging_1980/klagomålsmail/A 59520-2024 FSC-klagomål mail.docx", "A 59520-2024")</f>
        <v/>
      </c>
      <c r="AC45">
        <f>HYPERLINK("https://klasma.github.io/Logging_1980/tillsyn/A 59520-2024 tillsynsbegäran.docx", "A 59520-2024")</f>
        <v/>
      </c>
      <c r="AD45">
        <f>HYPERLINK("https://klasma.github.io/Logging_1980/tillsynsmail/A 59520-2024 tillsynsbegäran mail.docx", "A 59520-2024")</f>
        <v/>
      </c>
    </row>
    <row r="46" ht="15" customHeight="1">
      <c r="A46" t="inlineStr">
        <is>
          <t>A 46189-2023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45196</v>
      </c>
      <c r="E46" s="1" t="n">
        <v>46259</v>
      </c>
      <c r="F46" t="inlineStr">
        <is>
          <t>VÄSTMANLANDS LÄN</t>
        </is>
      </c>
      <c r="G46" t="inlineStr">
        <is>
          <t>VÄSTERÅS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HYPERLINK("https://klasma.github.io/Logging_1980/artfynd/A 46189-2023 artfynd.xlsx", "A 46189-2023")</f>
        <v/>
      </c>
      <c r="X46">
        <f>HYPERLINK("https://klasma.github.io/Logging_1980/kartor/A 46189-2023 karta.png", "A 46189-2023")</f>
        <v/>
      </c>
      <c r="Y46">
        <f>HYPERLINK("https://klasma.github.io/Logging_1980/kartor_geotiff/A 46189-2023 georefererad karta.tif", "A 46189-2023")</f>
        <v/>
      </c>
      <c r="AA46">
        <f>HYPERLINK("https://klasma.github.io/Logging_1980/klagomål/A 46189-2023 FSC-klagomål.docx", "A 46189-2023")</f>
        <v/>
      </c>
      <c r="AB46">
        <f>HYPERLINK("https://klasma.github.io/Logging_1980/klagomålsmail/A 46189-2023 FSC-klagomål mail.docx", "A 46189-2023")</f>
        <v/>
      </c>
      <c r="AC46">
        <f>HYPERLINK("https://klasma.github.io/Logging_1980/tillsyn/A 46189-2023 tillsynsbegäran.docx", "A 46189-2023")</f>
        <v/>
      </c>
      <c r="AD46">
        <f>HYPERLINK("https://klasma.github.io/Logging_1980/tillsynsmail/A 46189-2023 tillsynsbegäran mail.docx", "A 46189-2023")</f>
        <v/>
      </c>
    </row>
    <row r="47" ht="15" customHeight="1">
      <c r="A47" t="inlineStr">
        <is>
          <t>A 8362-2022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44610</v>
      </c>
      <c r="E47" s="1" t="n">
        <v>46259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3.7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Köpingfibbla</t>
        </is>
      </c>
      <c r="W47">
        <f>HYPERLINK("https://klasma.github.io/Logging_1980/artfynd/A 8362-2022 artfynd.xlsx", "A 8362-2022")</f>
        <v/>
      </c>
      <c r="X47">
        <f>HYPERLINK("https://klasma.github.io/Logging_1980/kartor/A 8362-2022 karta.png", "A 8362-2022")</f>
        <v/>
      </c>
      <c r="Y47">
        <f>HYPERLINK("https://klasma.github.io/Logging_1980/kartor_geotiff/A 8362-2022 georefererad karta.tif", "A 8362-2022")</f>
        <v/>
      </c>
      <c r="AA47">
        <f>HYPERLINK("https://klasma.github.io/Logging_1980/klagomål/A 8362-2022 FSC-klagomål.docx", "A 8362-2022")</f>
        <v/>
      </c>
      <c r="AB47">
        <f>HYPERLINK("https://klasma.github.io/Logging_1980/klagomålsmail/A 8362-2022 FSC-klagomål mail.docx", "A 8362-2022")</f>
        <v/>
      </c>
      <c r="AC47">
        <f>HYPERLINK("https://klasma.github.io/Logging_1980/tillsyn/A 8362-2022 tillsynsbegäran.docx", "A 8362-2022")</f>
        <v/>
      </c>
      <c r="AD47">
        <f>HYPERLINK("https://klasma.github.io/Logging_1980/tillsynsmail/A 8362-2022 tillsynsbegäran mail.docx", "A 8362-2022")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46259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29787-2023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46259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HYPERLINK("https://klasma.github.io/Logging_1980/artfynd/A 29787-2023 artfynd.xlsx", "A 29787-2023")</f>
        <v/>
      </c>
      <c r="X49">
        <f>HYPERLINK("https://klasma.github.io/Logging_1980/kartor/A 29787-2023 karta.png", "A 29787-2023")</f>
        <v/>
      </c>
      <c r="Y49">
        <f>HYPERLINK("https://klasma.github.io/Logging_1980/kartor_geotiff/A 29787-2023 georefererad karta.tif", "A 29787-2023")</f>
        <v/>
      </c>
      <c r="AA49">
        <f>HYPERLINK("https://klasma.github.io/Logging_1980/klagomål/A 29787-2023 FSC-klagomål.docx", "A 29787-2023")</f>
        <v/>
      </c>
      <c r="AB49">
        <f>HYPERLINK("https://klasma.github.io/Logging_1980/klagomålsmail/A 29787-2023 FSC-klagomål mail.docx", "A 29787-2023")</f>
        <v/>
      </c>
      <c r="AC49">
        <f>HYPERLINK("https://klasma.github.io/Logging_1980/tillsyn/A 29787-2023 tillsynsbegäran.docx", "A 29787-2023")</f>
        <v/>
      </c>
      <c r="AD49">
        <f>HYPERLINK("https://klasma.github.io/Logging_1980/tillsynsmail/A 29787-2023 tillsynsbegäran mail.docx", "A 29787-2023")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46259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26568-2022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46259</v>
      </c>
      <c r="F51" t="inlineStr">
        <is>
          <t>VÄSTMANLANDS LÄN</t>
        </is>
      </c>
      <c r="G51" t="inlineStr">
        <is>
          <t>VÄSTERÅS</t>
        </is>
      </c>
      <c r="I51" t="n">
        <v>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Mistel</t>
        </is>
      </c>
      <c r="W51">
        <f>HYPERLINK("https://klasma.github.io/Logging_1980/artfynd/A 26568-2022 artfynd.xlsx", "A 26568-2022")</f>
        <v/>
      </c>
      <c r="X51">
        <f>HYPERLINK("https://klasma.github.io/Logging_1980/kartor/A 26568-2022 karta.png", "A 26568-2022")</f>
        <v/>
      </c>
      <c r="Y51">
        <f>HYPERLINK("https://klasma.github.io/Logging_1980/kartor_geotiff/A 26568-2022 georefererad karta.tif", "A 26568-2022")</f>
        <v/>
      </c>
      <c r="AA51">
        <f>HYPERLINK("https://klasma.github.io/Logging_1980/klagomål/A 26568-2022 FSC-klagomål.docx", "A 26568-2022")</f>
        <v/>
      </c>
      <c r="AB51">
        <f>HYPERLINK("https://klasma.github.io/Logging_1980/klagomålsmail/A 26568-2022 FSC-klagomål mail.docx", "A 26568-2022")</f>
        <v/>
      </c>
      <c r="AC51">
        <f>HYPERLINK("https://klasma.github.io/Logging_1980/tillsyn/A 26568-2022 tillsynsbegäran.docx", "A 26568-2022")</f>
        <v/>
      </c>
      <c r="AD51">
        <f>HYPERLINK("https://klasma.github.io/Logging_1980/tillsynsmail/A 26568-2022 tillsynsbegäran mail.docx", "A 26568-2022")</f>
        <v/>
      </c>
    </row>
    <row r="52" ht="15" customHeight="1">
      <c r="A52" t="inlineStr">
        <is>
          <t>A 51147-2023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46259</v>
      </c>
      <c r="F52" t="inlineStr">
        <is>
          <t>VÄSTMANLANDS LÄN</t>
        </is>
      </c>
      <c r="G52" t="inlineStr">
        <is>
          <t>VÄSTERÅS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Mindre märgborre</t>
        </is>
      </c>
      <c r="W52">
        <f>HYPERLINK("https://klasma.github.io/Logging_1980/artfynd/A 51147-2023 artfynd.xlsx", "A 51147-2023")</f>
        <v/>
      </c>
      <c r="X52">
        <f>HYPERLINK("https://klasma.github.io/Logging_1980/kartor/A 51147-2023 karta.png", "A 51147-2023")</f>
        <v/>
      </c>
      <c r="Y52">
        <f>HYPERLINK("https://klasma.github.io/Logging_1980/kartor_geotiff/A 51147-2023 georefererad karta.tif", "A 51147-2023")</f>
        <v/>
      </c>
      <c r="AA52">
        <f>HYPERLINK("https://klasma.github.io/Logging_1980/klagomål/A 51147-2023 FSC-klagomål.docx", "A 51147-2023")</f>
        <v/>
      </c>
      <c r="AB52">
        <f>HYPERLINK("https://klasma.github.io/Logging_1980/klagomålsmail/A 51147-2023 FSC-klagomål mail.docx", "A 51147-2023")</f>
        <v/>
      </c>
      <c r="AC52">
        <f>HYPERLINK("https://klasma.github.io/Logging_1980/tillsyn/A 51147-2023 tillsynsbegäran.docx", "A 51147-2023")</f>
        <v/>
      </c>
      <c r="AD52">
        <f>HYPERLINK("https://klasma.github.io/Logging_1980/tillsynsmail/A 51147-2023 tillsynsbegäran mail.docx", "A 51147-2023")</f>
        <v/>
      </c>
    </row>
    <row r="53" ht="15" customHeight="1">
      <c r="A53" t="inlineStr">
        <is>
          <t>A 1594-2023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46259</v>
      </c>
      <c r="F53" t="inlineStr">
        <is>
          <t>VÄSTMANLANDS LÄN</t>
        </is>
      </c>
      <c r="G53" t="inlineStr">
        <is>
          <t>VÄSTERÅS</t>
        </is>
      </c>
      <c r="I53" t="n">
        <v>10.9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HYPERLINK("https://klasma.github.io/Logging_1980/artfynd/A 1594-2023 artfynd.xlsx", "A 1594-2023")</f>
        <v/>
      </c>
      <c r="X53">
        <f>HYPERLINK("https://klasma.github.io/Logging_1980/kartor/A 1594-2023 karta.png", "A 1594-2023")</f>
        <v/>
      </c>
      <c r="Y53">
        <f>HYPERLINK("https://klasma.github.io/Logging_1980/kartor_geotiff/A 1594-2023 georefererad karta.tif", "A 1594-2023")</f>
        <v/>
      </c>
      <c r="AA53">
        <f>HYPERLINK("https://klasma.github.io/Logging_1980/klagomål/A 1594-2023 FSC-klagomål.docx", "A 1594-2023")</f>
        <v/>
      </c>
      <c r="AB53">
        <f>HYPERLINK("https://klasma.github.io/Logging_1980/klagomålsmail/A 1594-2023 FSC-klagomål mail.docx", "A 1594-2023")</f>
        <v/>
      </c>
      <c r="AC53">
        <f>HYPERLINK("https://klasma.github.io/Logging_1980/tillsyn/A 1594-2023 tillsynsbegäran.docx", "A 1594-2023")</f>
        <v/>
      </c>
      <c r="AD53">
        <f>HYPERLINK("https://klasma.github.io/Logging_1980/tillsynsmail/A 1594-2023 tillsynsbegäran mail.docx", "A 1594-2023")</f>
        <v/>
      </c>
      <c r="AE53">
        <f>HYPERLINK("https://klasma.github.io/Logging_1980/fåglar/A 1594-2023 prioriterade fågelarter.docx", "A 1594-2023")</f>
        <v/>
      </c>
    </row>
    <row r="54" ht="15" customHeight="1">
      <c r="A54" t="inlineStr">
        <is>
          <t>A 12950-2023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45001</v>
      </c>
      <c r="E54" s="1" t="n">
        <v>46259</v>
      </c>
      <c r="F54" t="inlineStr">
        <is>
          <t>VÄSTMANLANDS LÄN</t>
        </is>
      </c>
      <c r="G54" t="inlineStr">
        <is>
          <t>VÄSTERÅS</t>
        </is>
      </c>
      <c r="I54" t="n">
        <v>2.1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HYPERLINK("https://klasma.github.io/Logging_1980/artfynd/A 12950-2023 artfynd.xlsx", "A 12950-2023")</f>
        <v/>
      </c>
      <c r="X54">
        <f>HYPERLINK("https://klasma.github.io/Logging_1980/kartor/A 12950-2023 karta.png", "A 12950-2023")</f>
        <v/>
      </c>
      <c r="Y54">
        <f>HYPERLINK("https://klasma.github.io/Logging_1980/kartor_geotiff/A 12950-2023 georefererad karta.tif", "A 12950-2023")</f>
        <v/>
      </c>
      <c r="AA54">
        <f>HYPERLINK("https://klasma.github.io/Logging_1980/klagomål/A 12950-2023 FSC-klagomål.docx", "A 12950-2023")</f>
        <v/>
      </c>
      <c r="AB54">
        <f>HYPERLINK("https://klasma.github.io/Logging_1980/klagomålsmail/A 12950-2023 FSC-klagomål mail.docx", "A 12950-2023")</f>
        <v/>
      </c>
      <c r="AC54">
        <f>HYPERLINK("https://klasma.github.io/Logging_1980/tillsyn/A 12950-2023 tillsynsbegäran.docx", "A 12950-2023")</f>
        <v/>
      </c>
      <c r="AD54">
        <f>HYPERLINK("https://klasma.github.io/Logging_1980/tillsynsmail/A 12950-2023 tillsynsbegäran mail.docx", "A 12950-2023")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46259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50193-2022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46259</v>
      </c>
      <c r="F56" t="inlineStr">
        <is>
          <t>VÄSTMANLANDS LÄN</t>
        </is>
      </c>
      <c r="G56" t="inlineStr">
        <is>
          <t>VÄSTERÅS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HYPERLINK("https://klasma.github.io/Logging_1980/artfynd/A 50193-2022 artfynd.xlsx", "A 50193-2022")</f>
        <v/>
      </c>
      <c r="X56">
        <f>HYPERLINK("https://klasma.github.io/Logging_1980/kartor/A 50193-2022 karta.png", "A 50193-2022")</f>
        <v/>
      </c>
      <c r="Y56">
        <f>HYPERLINK("https://klasma.github.io/Logging_1980/kartor_geotiff/A 50193-2022 georefererad karta.tif", "A 50193-2022")</f>
        <v/>
      </c>
      <c r="AA56">
        <f>HYPERLINK("https://klasma.github.io/Logging_1980/klagomål/A 50193-2022 FSC-klagomål.docx", "A 50193-2022")</f>
        <v/>
      </c>
      <c r="AB56">
        <f>HYPERLINK("https://klasma.github.io/Logging_1980/klagomålsmail/A 50193-2022 FSC-klagomål mail.docx", "A 50193-2022")</f>
        <v/>
      </c>
      <c r="AC56">
        <f>HYPERLINK("https://klasma.github.io/Logging_1980/tillsyn/A 50193-2022 tillsynsbegäran.docx", "A 50193-2022")</f>
        <v/>
      </c>
      <c r="AD56">
        <f>HYPERLINK("https://klasma.github.io/Logging_1980/tillsynsmail/A 50193-2022 tillsynsbegäran mail.docx", "A 50193-2022")</f>
        <v/>
      </c>
    </row>
    <row r="57" ht="15" customHeight="1">
      <c r="A57" t="inlineStr">
        <is>
          <t>A 31976-2026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46232</v>
      </c>
      <c r="E57" s="1" t="n">
        <v>46259</v>
      </c>
      <c r="F57" t="inlineStr">
        <is>
          <t>VÄSTMANLANDS LÄN</t>
        </is>
      </c>
      <c r="G57" t="inlineStr">
        <is>
          <t>VÄSTERÅS</t>
        </is>
      </c>
      <c r="H57" t="inlineStr">
        <is>
          <t>Övriga Aktiebolag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Rostfläck</t>
        </is>
      </c>
      <c r="W57">
        <f>HYPERLINK("https://klasma.github.io/Logging_1980/artfynd/A 31976-2026 artfynd.xlsx", "A 31976-2026")</f>
        <v/>
      </c>
      <c r="X57">
        <f>HYPERLINK("https://klasma.github.io/Logging_1980/kartor/A 31976-2026 karta.png", "A 31976-2026")</f>
        <v/>
      </c>
      <c r="Y57">
        <f>HYPERLINK("https://klasma.github.io/Logging_1980/kartor_geotiff/A 31976-2026 georefererad karta.tif", "A 31976-2026")</f>
        <v/>
      </c>
      <c r="AA57">
        <f>HYPERLINK("https://klasma.github.io/Logging_1980/klagomål/A 31976-2026 FSC-klagomål.docx", "A 31976-2026")</f>
        <v/>
      </c>
      <c r="AB57">
        <f>HYPERLINK("https://klasma.github.io/Logging_1980/klagomålsmail/A 31976-2026 FSC-klagomål mail.docx", "A 31976-2026")</f>
        <v/>
      </c>
      <c r="AC57">
        <f>HYPERLINK("https://klasma.github.io/Logging_1980/tillsyn/A 31976-2026 tillsynsbegäran.docx", "A 31976-2026")</f>
        <v/>
      </c>
      <c r="AD57">
        <f>HYPERLINK("https://klasma.github.io/Logging_1980/tillsynsmail/A 31976-2026 tillsynsbegäran mail.docx", "A 31976-2026")</f>
        <v/>
      </c>
    </row>
    <row r="58" ht="15" customHeight="1">
      <c r="A58" t="inlineStr">
        <is>
          <t>A 59144-2025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46259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HYPERLINK("https://klasma.github.io/Logging_1980/artfynd/A 59144-2025 artfynd.xlsx", "A 59144-2025")</f>
        <v/>
      </c>
      <c r="X58">
        <f>HYPERLINK("https://klasma.github.io/Logging_1980/kartor/A 59144-2025 karta.png", "A 59144-2025")</f>
        <v/>
      </c>
      <c r="Y58">
        <f>HYPERLINK("https://klasma.github.io/Logging_1980/kartor_geotiff/A 59144-2025 georefererad karta.tif", "A 59144-2025")</f>
        <v/>
      </c>
      <c r="AA58">
        <f>HYPERLINK("https://klasma.github.io/Logging_1980/klagomål/A 59144-2025 FSC-klagomål.docx", "A 59144-2025")</f>
        <v/>
      </c>
      <c r="AB58">
        <f>HYPERLINK("https://klasma.github.io/Logging_1980/klagomålsmail/A 59144-2025 FSC-klagomål mail.docx", "A 59144-2025")</f>
        <v/>
      </c>
      <c r="AC58">
        <f>HYPERLINK("https://klasma.github.io/Logging_1980/tillsyn/A 59144-2025 tillsynsbegäran.docx", "A 59144-2025")</f>
        <v/>
      </c>
      <c r="AD58">
        <f>HYPERLINK("https://klasma.github.io/Logging_1980/tillsynsmail/A 59144-2025 tillsynsbegäran mail.docx", "A 59144-2025")</f>
        <v/>
      </c>
    </row>
    <row r="59" ht="15" customHeight="1">
      <c r="A59" t="inlineStr">
        <is>
          <t>A 59140-2025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45988</v>
      </c>
      <c r="E59" s="1" t="n">
        <v>46259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Fiskgjuse</t>
        </is>
      </c>
      <c r="W59">
        <f>HYPERLINK("https://klasma.github.io/Logging_1980/artfynd/A 59140-2025 artfynd.xlsx", "A 59140-2025")</f>
        <v/>
      </c>
      <c r="X59">
        <f>HYPERLINK("https://klasma.github.io/Logging_1980/kartor/A 59140-2025 karta.png", "A 59140-2025")</f>
        <v/>
      </c>
      <c r="Y59">
        <f>HYPERLINK("https://klasma.github.io/Logging_1980/kartor_geotiff/A 59140-2025 georefererad karta.tif", "A 59140-2025")</f>
        <v/>
      </c>
      <c r="AA59">
        <f>HYPERLINK("https://klasma.github.io/Logging_1980/klagomål/A 59140-2025 FSC-klagomål.docx", "A 59140-2025")</f>
        <v/>
      </c>
      <c r="AB59">
        <f>HYPERLINK("https://klasma.github.io/Logging_1980/klagomålsmail/A 59140-2025 FSC-klagomål mail.docx", "A 59140-2025")</f>
        <v/>
      </c>
      <c r="AC59">
        <f>HYPERLINK("https://klasma.github.io/Logging_1980/tillsyn/A 59140-2025 tillsynsbegäran.docx", "A 59140-2025")</f>
        <v/>
      </c>
      <c r="AD59">
        <f>HYPERLINK("https://klasma.github.io/Logging_1980/tillsynsmail/A 59140-2025 tillsynsbegäran mail.docx", "A 59140-2025")</f>
        <v/>
      </c>
      <c r="AE59">
        <f>HYPERLINK("https://klasma.github.io/Logging_1980/fåglar/A 59140-2025 prioriterade fågelarter.docx", "A 59140-2025")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46259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46259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46259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46259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46259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46259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46259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46259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46259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46259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46259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46259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46259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46259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46259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46259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46259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46259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46259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46259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46259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46259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46259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46259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46259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46259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46259</v>
      </c>
      <c r="F86" t="inlineStr">
        <is>
          <t>VÄSTMANLANDS LÄN</t>
        </is>
      </c>
      <c r="G86" t="inlineStr">
        <is>
          <t>VÄSTERÅS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22602-2022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44714</v>
      </c>
      <c r="E87" s="1" t="n">
        <v>46259</v>
      </c>
      <c r="F87" t="inlineStr">
        <is>
          <t>VÄSTMANLANDS LÄN</t>
        </is>
      </c>
      <c r="G87" t="inlineStr">
        <is>
          <t>VÄSTERÅS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46259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44761</v>
      </c>
      <c r="E89" s="1" t="n">
        <v>46259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46259</v>
      </c>
      <c r="F90" t="inlineStr">
        <is>
          <t>VÄSTMANLANDS LÄN</t>
        </is>
      </c>
      <c r="G90" t="inlineStr">
        <is>
          <t>VÄSTERÅS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46259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46259</v>
      </c>
      <c r="F92" t="inlineStr">
        <is>
          <t>VÄSTMANLANDS LÄN</t>
        </is>
      </c>
      <c r="G92" t="inlineStr">
        <is>
          <t>VÄSTERÅS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56076-2023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45235</v>
      </c>
      <c r="E93" s="1" t="n">
        <v>46259</v>
      </c>
      <c r="F93" t="inlineStr">
        <is>
          <t>VÄSTMANLANDS LÄN</t>
        </is>
      </c>
      <c r="G93" t="inlineStr">
        <is>
          <t>VÄSTERÅS</t>
        </is>
      </c>
      <c r="H93" t="inlineStr">
        <is>
          <t>Övriga Aktiebolag</t>
        </is>
      </c>
      <c r="I93" t="n">
        <v>37.8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46259</v>
      </c>
      <c r="F94" t="inlineStr">
        <is>
          <t>VÄSTMANLANDS LÄN</t>
        </is>
      </c>
      <c r="G94" t="inlineStr">
        <is>
          <t>VÄSTERÅS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46259</v>
      </c>
      <c r="F95" t="inlineStr">
        <is>
          <t>VÄSTMANLANDS LÄN</t>
        </is>
      </c>
      <c r="G95" t="inlineStr">
        <is>
          <t>VÄSTERÅS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67353-2021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46259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46259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18457-2023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45042</v>
      </c>
      <c r="E98" s="1" t="n">
        <v>46259</v>
      </c>
      <c r="F98" t="inlineStr">
        <is>
          <t>VÄSTMANLANDS LÄN</t>
        </is>
      </c>
      <c r="G98" t="inlineStr">
        <is>
          <t>VÄSTERÅS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46259</v>
      </c>
      <c r="F99" t="inlineStr">
        <is>
          <t>VÄSTMANLANDS LÄN</t>
        </is>
      </c>
      <c r="G99" t="inlineStr">
        <is>
          <t>VÄSTERÅS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46259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46259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46259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46259</v>
      </c>
      <c r="F103" t="inlineStr">
        <is>
          <t>VÄSTMANLANDS LÄN</t>
        </is>
      </c>
      <c r="G103" t="inlineStr">
        <is>
          <t>VÄSTERÅS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46259</v>
      </c>
      <c r="F104" t="inlineStr">
        <is>
          <t>VÄSTMANLANDS LÄN</t>
        </is>
      </c>
      <c r="G104" t="inlineStr">
        <is>
          <t>VÄSTERÅS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46259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46259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58085-2022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46259</v>
      </c>
      <c r="F107" t="inlineStr">
        <is>
          <t>VÄSTMANLANDS LÄN</t>
        </is>
      </c>
      <c r="G107" t="inlineStr">
        <is>
          <t>VÄSTERÅS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46259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46259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46259</v>
      </c>
      <c r="F110" t="inlineStr">
        <is>
          <t>VÄSTMANLANDS LÄN</t>
        </is>
      </c>
      <c r="G110" t="inlineStr">
        <is>
          <t>VÄSTERÅS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45453</v>
      </c>
      <c r="E111" s="1" t="n">
        <v>46259</v>
      </c>
      <c r="F111" t="inlineStr">
        <is>
          <t>VÄSTMANLANDS LÄN</t>
        </is>
      </c>
      <c r="G111" t="inlineStr">
        <is>
          <t>VÄSTERÅS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15273-2024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45400</v>
      </c>
      <c r="E112" s="1" t="n">
        <v>46259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46259</v>
      </c>
      <c r="F113" t="inlineStr">
        <is>
          <t>VÄSTMANLANDS LÄN</t>
        </is>
      </c>
      <c r="G113" t="inlineStr">
        <is>
          <t>VÄSTERÅS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46259</v>
      </c>
      <c r="F114" t="inlineStr">
        <is>
          <t>VÄSTMANLANDS LÄN</t>
        </is>
      </c>
      <c r="G114" t="inlineStr">
        <is>
          <t>VÄSTERÅS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46259</v>
      </c>
      <c r="F115" t="inlineStr">
        <is>
          <t>VÄSTMANLANDS LÄN</t>
        </is>
      </c>
      <c r="G115" t="inlineStr">
        <is>
          <t>VÄSTERÅS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45296</v>
      </c>
      <c r="E116" s="1" t="n">
        <v>46259</v>
      </c>
      <c r="F116" t="inlineStr">
        <is>
          <t>VÄSTMANLANDS LÄN</t>
        </is>
      </c>
      <c r="G116" t="inlineStr">
        <is>
          <t>VÄSTERÅS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46259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45257</v>
      </c>
      <c r="E118" s="1" t="n">
        <v>46259</v>
      </c>
      <c r="F118" t="inlineStr">
        <is>
          <t>VÄSTMANLANDS LÄN</t>
        </is>
      </c>
      <c r="G118" t="inlineStr">
        <is>
          <t>VÄSTERÅS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46259</v>
      </c>
      <c r="F119" t="inlineStr">
        <is>
          <t>VÄSTMANLANDS LÄN</t>
        </is>
      </c>
      <c r="G119" t="inlineStr">
        <is>
          <t>VÄSTERÅS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39127-2022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44816</v>
      </c>
      <c r="E120" s="1" t="n">
        <v>46259</v>
      </c>
      <c r="F120" t="inlineStr">
        <is>
          <t>VÄSTMANLANDS LÄN</t>
        </is>
      </c>
      <c r="G120" t="inlineStr">
        <is>
          <t>VÄSTERÅS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44986</v>
      </c>
      <c r="E121" s="1" t="n">
        <v>46259</v>
      </c>
      <c r="F121" t="inlineStr">
        <is>
          <t>VÄSTMANLANDS LÄN</t>
        </is>
      </c>
      <c r="G121" t="inlineStr">
        <is>
          <t>VÄSTERÅS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46259</v>
      </c>
      <c r="F122" t="inlineStr">
        <is>
          <t>VÄSTMANLANDS LÄN</t>
        </is>
      </c>
      <c r="G122" t="inlineStr">
        <is>
          <t>VÄSTERÅS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46259</v>
      </c>
      <c r="F123" t="inlineStr">
        <is>
          <t>VÄSTMANLANDS LÄN</t>
        </is>
      </c>
      <c r="G123" t="inlineStr">
        <is>
          <t>VÄSTERÅS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46259</v>
      </c>
      <c r="F124" t="inlineStr">
        <is>
          <t>VÄSTMANLANDS LÄN</t>
        </is>
      </c>
      <c r="G124" t="inlineStr">
        <is>
          <t>VÄSTERÅS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45833</v>
      </c>
      <c r="E125" s="1" t="n">
        <v>46259</v>
      </c>
      <c r="F125" t="inlineStr">
        <is>
          <t>VÄSTMANLANDS LÄN</t>
        </is>
      </c>
      <c r="G125" t="inlineStr">
        <is>
          <t>VÄSTERÅS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46259</v>
      </c>
      <c r="F126" t="inlineStr">
        <is>
          <t>VÄSTMANLANDS LÄN</t>
        </is>
      </c>
      <c r="G126" t="inlineStr">
        <is>
          <t>VÄSTERÅS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49232-2024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45595</v>
      </c>
      <c r="E127" s="1" t="n">
        <v>46259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Övriga Aktiebolag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46259</v>
      </c>
      <c r="F128" t="inlineStr">
        <is>
          <t>VÄSTMANLANDS LÄN</t>
        </is>
      </c>
      <c r="G128" t="inlineStr">
        <is>
          <t>VÄSTERÅS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46259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46259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46259</v>
      </c>
      <c r="F131" t="inlineStr">
        <is>
          <t>VÄSTMANLANDS LÄN</t>
        </is>
      </c>
      <c r="G131" t="inlineStr">
        <is>
          <t>VÄSTERÅS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45083</v>
      </c>
      <c r="E132" s="1" t="n">
        <v>46259</v>
      </c>
      <c r="F132" t="inlineStr">
        <is>
          <t>VÄSTMANLANDS LÄN</t>
        </is>
      </c>
      <c r="G132" t="inlineStr">
        <is>
          <t>VÄSTERÅS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46259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46259</v>
      </c>
      <c r="F134" t="inlineStr">
        <is>
          <t>VÄSTMANLANDS LÄN</t>
        </is>
      </c>
      <c r="G134" t="inlineStr">
        <is>
          <t>VÄSTERÅS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56980-2021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46259</v>
      </c>
      <c r="F135" t="inlineStr">
        <is>
          <t>VÄSTMANLANDS LÄN</t>
        </is>
      </c>
      <c r="G135" t="inlineStr">
        <is>
          <t>VÄSTERÅS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46259</v>
      </c>
      <c r="F136" t="inlineStr">
        <is>
          <t>VÄSTMANLANDS LÄN</t>
        </is>
      </c>
      <c r="G136" t="inlineStr">
        <is>
          <t>VÄSTERÅS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46259</v>
      </c>
      <c r="F137" t="inlineStr">
        <is>
          <t>VÄSTMANLANDS LÄN</t>
        </is>
      </c>
      <c r="G137" t="inlineStr">
        <is>
          <t>VÄSTERÅS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52569-2022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44874</v>
      </c>
      <c r="E138" s="1" t="n">
        <v>46259</v>
      </c>
      <c r="F138" t="inlineStr">
        <is>
          <t>VÄSTMANLANDS LÄN</t>
        </is>
      </c>
      <c r="G138" t="inlineStr">
        <is>
          <t>VÄSTERÅS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74314-2021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44559</v>
      </c>
      <c r="E139" s="1" t="n">
        <v>46259</v>
      </c>
      <c r="F139" t="inlineStr">
        <is>
          <t>VÄSTMANLANDS LÄN</t>
        </is>
      </c>
      <c r="G139" t="inlineStr">
        <is>
          <t>VÄSTERÅS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46259</v>
      </c>
      <c r="F140" t="inlineStr">
        <is>
          <t>VÄSTMANLANDS LÄN</t>
        </is>
      </c>
      <c r="G140" t="inlineStr">
        <is>
          <t>VÄSTERÅS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44908</v>
      </c>
      <c r="E141" s="1" t="n">
        <v>46259</v>
      </c>
      <c r="F141" t="inlineStr">
        <is>
          <t>VÄSTMANLANDS LÄN</t>
        </is>
      </c>
      <c r="G141" t="inlineStr">
        <is>
          <t>VÄSTERÅS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46259</v>
      </c>
      <c r="F142" t="inlineStr">
        <is>
          <t>VÄSTMANLANDS LÄN</t>
        </is>
      </c>
      <c r="G142" t="inlineStr">
        <is>
          <t>VÄSTERÅS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46259</v>
      </c>
      <c r="F143" t="inlineStr">
        <is>
          <t>VÄSTMANLANDS LÄN</t>
        </is>
      </c>
      <c r="G143" t="inlineStr">
        <is>
          <t>VÄSTERÅS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18482-2023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45042</v>
      </c>
      <c r="E144" s="1" t="n">
        <v>46259</v>
      </c>
      <c r="F144" t="inlineStr">
        <is>
          <t>VÄSTMANLANDS LÄN</t>
        </is>
      </c>
      <c r="G144" t="inlineStr">
        <is>
          <t>VÄSTERÅS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55676-2023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45232</v>
      </c>
      <c r="E145" s="1" t="n">
        <v>46259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37.9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46259</v>
      </c>
      <c r="F146" t="inlineStr">
        <is>
          <t>VÄSTMANLANDS LÄN</t>
        </is>
      </c>
      <c r="G146" t="inlineStr">
        <is>
          <t>VÄSTERÅS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45218</v>
      </c>
      <c r="E147" s="1" t="n">
        <v>46259</v>
      </c>
      <c r="F147" t="inlineStr">
        <is>
          <t>VÄSTMANLANDS LÄN</t>
        </is>
      </c>
      <c r="G147" t="inlineStr">
        <is>
          <t>VÄSTERÅS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44875</v>
      </c>
      <c r="E148" s="1" t="n">
        <v>46259</v>
      </c>
      <c r="F148" t="inlineStr">
        <is>
          <t>VÄSTMANLANDS LÄN</t>
        </is>
      </c>
      <c r="G148" t="inlineStr">
        <is>
          <t>VÄSTERÅS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70642-2021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44537</v>
      </c>
      <c r="E149" s="1" t="n">
        <v>46259</v>
      </c>
      <c r="F149" t="inlineStr">
        <is>
          <t>VÄSTMANLANDS LÄN</t>
        </is>
      </c>
      <c r="G149" t="inlineStr">
        <is>
          <t>VÄSTERÅS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44637</v>
      </c>
      <c r="E150" s="1" t="n">
        <v>46259</v>
      </c>
      <c r="F150" t="inlineStr">
        <is>
          <t>VÄSTMANLANDS LÄN</t>
        </is>
      </c>
      <c r="G150" t="inlineStr">
        <is>
          <t>VÄSTERÅS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16214-2023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45028</v>
      </c>
      <c r="E151" s="1" t="n">
        <v>46259</v>
      </c>
      <c r="F151" t="inlineStr">
        <is>
          <t>VÄSTMANLANDS LÄN</t>
        </is>
      </c>
      <c r="G151" t="inlineStr">
        <is>
          <t>VÄSTERÅS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46259</v>
      </c>
      <c r="F152" t="inlineStr">
        <is>
          <t>VÄSTMANLANDS LÄN</t>
        </is>
      </c>
      <c r="G152" t="inlineStr">
        <is>
          <t>VÄSTERÅS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45160</v>
      </c>
      <c r="E153" s="1" t="n">
        <v>46259</v>
      </c>
      <c r="F153" t="inlineStr">
        <is>
          <t>VÄSTMANLANDS LÄN</t>
        </is>
      </c>
      <c r="G153" t="inlineStr">
        <is>
          <t>VÄSTERÅS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44899</v>
      </c>
      <c r="E154" s="1" t="n">
        <v>46259</v>
      </c>
      <c r="F154" t="inlineStr">
        <is>
          <t>VÄSTMANLANDS LÄN</t>
        </is>
      </c>
      <c r="G154" t="inlineStr">
        <is>
          <t>VÄSTERÅS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46259</v>
      </c>
      <c r="F155" t="inlineStr">
        <is>
          <t>VÄSTMANLANDS LÄN</t>
        </is>
      </c>
      <c r="G155" t="inlineStr">
        <is>
          <t>VÄSTERÅS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46259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46259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46259</v>
      </c>
      <c r="F158" t="inlineStr">
        <is>
          <t>VÄSTMANLANDS LÄN</t>
        </is>
      </c>
      <c r="G158" t="inlineStr">
        <is>
          <t>VÄSTERÅS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45908</v>
      </c>
      <c r="E159" s="1" t="n">
        <v>46259</v>
      </c>
      <c r="F159" t="inlineStr">
        <is>
          <t>VÄSTMANLANDS LÄN</t>
        </is>
      </c>
      <c r="G159" t="inlineStr">
        <is>
          <t>VÄSTERÅS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32998-2023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45125</v>
      </c>
      <c r="E160" s="1" t="n">
        <v>46259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46259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46259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46259</v>
      </c>
      <c r="F163" t="inlineStr">
        <is>
          <t>VÄSTMANLANDS LÄN</t>
        </is>
      </c>
      <c r="G163" t="inlineStr">
        <is>
          <t>VÄSTERÅS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18465-2023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45042</v>
      </c>
      <c r="E164" s="1" t="n">
        <v>46259</v>
      </c>
      <c r="F164" t="inlineStr">
        <is>
          <t>VÄSTMANLANDS LÄN</t>
        </is>
      </c>
      <c r="G164" t="inlineStr">
        <is>
          <t>VÄSTERÅS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46259</v>
      </c>
      <c r="F165" t="inlineStr">
        <is>
          <t>VÄSTMANLANDS LÄN</t>
        </is>
      </c>
      <c r="G165" t="inlineStr">
        <is>
          <t>VÄSTERÅS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73994-2021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44556</v>
      </c>
      <c r="E166" s="1" t="n">
        <v>46259</v>
      </c>
      <c r="F166" t="inlineStr">
        <is>
          <t>VÄSTMANLANDS LÄN</t>
        </is>
      </c>
      <c r="G166" t="inlineStr">
        <is>
          <t>VÄSTERÅS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46259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46259</v>
      </c>
      <c r="F168" t="inlineStr">
        <is>
          <t>VÄSTMANLANDS LÄN</t>
        </is>
      </c>
      <c r="G168" t="inlineStr">
        <is>
          <t>VÄSTERÅS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46259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Kommuner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44636</v>
      </c>
      <c r="E170" s="1" t="n">
        <v>46259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Kommuner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46259</v>
      </c>
      <c r="F171" t="inlineStr">
        <is>
          <t>VÄSTMANLANDS LÄN</t>
        </is>
      </c>
      <c r="G171" t="inlineStr">
        <is>
          <t>VÄSTERÅS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46112</v>
      </c>
      <c r="E172" s="1" t="n">
        <v>46259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46259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46112</v>
      </c>
      <c r="E174" s="1" t="n">
        <v>46259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73597-2021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46259</v>
      </c>
      <c r="F175" t="inlineStr">
        <is>
          <t>VÄSTMANLANDS LÄN</t>
        </is>
      </c>
      <c r="G175" t="inlineStr">
        <is>
          <t>VÄSTERÅS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44645</v>
      </c>
      <c r="E176" s="1" t="n">
        <v>46259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45506</v>
      </c>
      <c r="E177" s="1" t="n">
        <v>46259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Kommuner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46259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Kommuner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46120</v>
      </c>
      <c r="E179" s="1" t="n">
        <v>46259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Allmännings- och besparingsskogar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67350-2021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44523</v>
      </c>
      <c r="E180" s="1" t="n">
        <v>46259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Aktiebolag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46259</v>
      </c>
      <c r="F181" t="inlineStr">
        <is>
          <t>VÄSTMANLANDS LÄN</t>
        </is>
      </c>
      <c r="G181" t="inlineStr">
        <is>
          <t>VÄSTERÅS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44606</v>
      </c>
      <c r="E182" s="1" t="n">
        <v>46259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46259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46259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44658</v>
      </c>
      <c r="E185" s="1" t="n">
        <v>46259</v>
      </c>
      <c r="F185" t="inlineStr">
        <is>
          <t>VÄSTMANLANDS LÄN</t>
        </is>
      </c>
      <c r="G185" t="inlineStr">
        <is>
          <t>VÄSTERÅS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17808-2023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45037</v>
      </c>
      <c r="E186" s="1" t="n">
        <v>46259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44635</v>
      </c>
      <c r="E187" s="1" t="n">
        <v>46259</v>
      </c>
      <c r="F187" t="inlineStr">
        <is>
          <t>VÄSTMANLANDS LÄN</t>
        </is>
      </c>
      <c r="G187" t="inlineStr">
        <is>
          <t>VÄSTERÅS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46259</v>
      </c>
      <c r="F188" t="inlineStr">
        <is>
          <t>VÄSTMANLANDS LÄN</t>
        </is>
      </c>
      <c r="G188" t="inlineStr">
        <is>
          <t>VÄSTERÅS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44610</v>
      </c>
      <c r="E189" s="1" t="n">
        <v>46259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12612-2023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46259</v>
      </c>
      <c r="F190" t="inlineStr">
        <is>
          <t>VÄSTMANLANDS LÄN</t>
        </is>
      </c>
      <c r="G190" t="inlineStr">
        <is>
          <t>VÄSTERÅS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44635</v>
      </c>
      <c r="E191" s="1" t="n">
        <v>46259</v>
      </c>
      <c r="F191" t="inlineStr">
        <is>
          <t>VÄSTMANLANDS LÄN</t>
        </is>
      </c>
      <c r="G191" t="inlineStr">
        <is>
          <t>VÄSTERÅS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46259</v>
      </c>
      <c r="F192" t="inlineStr">
        <is>
          <t>VÄSTMANLANDS LÄN</t>
        </is>
      </c>
      <c r="G192" t="inlineStr">
        <is>
          <t>VÄSTERÅS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22978-2022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44717</v>
      </c>
      <c r="E193" s="1" t="n">
        <v>46259</v>
      </c>
      <c r="F193" t="inlineStr">
        <is>
          <t>VÄSTMANLANDS LÄN</t>
        </is>
      </c>
      <c r="G193" t="inlineStr">
        <is>
          <t>VÄSTERÅS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44662</v>
      </c>
      <c r="E194" s="1" t="n">
        <v>46259</v>
      </c>
      <c r="F194" t="inlineStr">
        <is>
          <t>VÄSTMANLANDS LÄN</t>
        </is>
      </c>
      <c r="G194" t="inlineStr">
        <is>
          <t>VÄSTERÅS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46259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Sveaskog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45705</v>
      </c>
      <c r="E196" s="1" t="n">
        <v>46259</v>
      </c>
      <c r="F196" t="inlineStr">
        <is>
          <t>VÄSTMANLANDS LÄN</t>
        </is>
      </c>
      <c r="G196" t="inlineStr">
        <is>
          <t>VÄSTERÅS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46135</v>
      </c>
      <c r="E197" s="1" t="n">
        <v>46259</v>
      </c>
      <c r="F197" t="inlineStr">
        <is>
          <t>VÄSTMANLANDS LÄN</t>
        </is>
      </c>
      <c r="G197" t="inlineStr">
        <is>
          <t>VÄSTERÅS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46259</v>
      </c>
      <c r="F198" t="inlineStr">
        <is>
          <t>VÄSTMANLANDS LÄN</t>
        </is>
      </c>
      <c r="G198" t="inlineStr">
        <is>
          <t>VÄSTERÅS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46259</v>
      </c>
      <c r="F199" t="inlineStr">
        <is>
          <t>VÄSTMANLANDS LÄN</t>
        </is>
      </c>
      <c r="G199" t="inlineStr">
        <is>
          <t>VÄSTERÅS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46259</v>
      </c>
      <c r="F200" t="inlineStr">
        <is>
          <t>VÄSTMANLANDS LÄN</t>
        </is>
      </c>
      <c r="G200" t="inlineStr">
        <is>
          <t>VÄSTERÅS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44680</v>
      </c>
      <c r="E201" s="1" t="n">
        <v>46259</v>
      </c>
      <c r="F201" t="inlineStr">
        <is>
          <t>VÄSTMANLANDS LÄN</t>
        </is>
      </c>
      <c r="G201" t="inlineStr">
        <is>
          <t>VÄSTERÅS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63851-2021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44509</v>
      </c>
      <c r="E202" s="1" t="n">
        <v>46259</v>
      </c>
      <c r="F202" t="inlineStr">
        <is>
          <t>VÄSTMANLANDS LÄN</t>
        </is>
      </c>
      <c r="G202" t="inlineStr">
        <is>
          <t>VÄSTERÅS</t>
        </is>
      </c>
      <c r="I202" t="n">
        <v>11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46259</v>
      </c>
      <c r="F203" t="inlineStr">
        <is>
          <t>VÄSTMANLANDS LÄN</t>
        </is>
      </c>
      <c r="G203" t="inlineStr">
        <is>
          <t>VÄSTERÅS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46259</v>
      </c>
      <c r="F204" t="inlineStr">
        <is>
          <t>VÄSTMANLANDS LÄN</t>
        </is>
      </c>
      <c r="G204" t="inlineStr">
        <is>
          <t>VÄSTERÅS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46259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Övriga statliga verk och myndigheter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46259</v>
      </c>
      <c r="F206" t="inlineStr">
        <is>
          <t>VÄSTMANLANDS LÄN</t>
        </is>
      </c>
      <c r="G206" t="inlineStr">
        <is>
          <t>VÄSTERÅS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46259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46259</v>
      </c>
      <c r="F208" t="inlineStr">
        <is>
          <t>VÄSTMANLANDS LÄN</t>
        </is>
      </c>
      <c r="G208" t="inlineStr">
        <is>
          <t>VÄSTERÅS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46259</v>
      </c>
      <c r="F209" t="inlineStr">
        <is>
          <t>VÄSTMANLANDS LÄN</t>
        </is>
      </c>
      <c r="G209" t="inlineStr">
        <is>
          <t>VÄSTERÅS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46259</v>
      </c>
      <c r="F210" t="inlineStr">
        <is>
          <t>VÄSTMANLANDS LÄN</t>
        </is>
      </c>
      <c r="G210" t="inlineStr">
        <is>
          <t>VÄSTERÅS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45219</v>
      </c>
      <c r="E211" s="1" t="n">
        <v>46259</v>
      </c>
      <c r="F211" t="inlineStr">
        <is>
          <t>VÄSTMANLANDS LÄN</t>
        </is>
      </c>
      <c r="G211" t="inlineStr">
        <is>
          <t>VÄSTERÅS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44722</v>
      </c>
      <c r="E212" s="1" t="n">
        <v>46259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16035-2023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45027</v>
      </c>
      <c r="E213" s="1" t="n">
        <v>46259</v>
      </c>
      <c r="F213" t="inlineStr">
        <is>
          <t>VÄSTMANLANDS LÄN</t>
        </is>
      </c>
      <c r="G213" t="inlineStr">
        <is>
          <t>VÄSTERÅS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45027</v>
      </c>
      <c r="E214" s="1" t="n">
        <v>46259</v>
      </c>
      <c r="F214" t="inlineStr">
        <is>
          <t>VÄSTMANLANDS LÄN</t>
        </is>
      </c>
      <c r="G214" t="inlineStr">
        <is>
          <t>VÄSTERÅS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26556-2022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46259</v>
      </c>
      <c r="F215" t="inlineStr">
        <is>
          <t>VÄSTMANLANDS LÄN</t>
        </is>
      </c>
      <c r="G215" t="inlineStr">
        <is>
          <t>VÄSTERÅS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64202-2023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45279</v>
      </c>
      <c r="E216" s="1" t="n">
        <v>46259</v>
      </c>
      <c r="F216" t="inlineStr">
        <is>
          <t>VÄSTMANLANDS LÄN</t>
        </is>
      </c>
      <c r="G216" t="inlineStr">
        <is>
          <t>VÄSTERÅS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44826</v>
      </c>
      <c r="E217" s="1" t="n">
        <v>46259</v>
      </c>
      <c r="F217" t="inlineStr">
        <is>
          <t>VÄSTMANLANDS LÄN</t>
        </is>
      </c>
      <c r="G217" t="inlineStr">
        <is>
          <t>VÄSTERÅS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44999</v>
      </c>
      <c r="E218" s="1" t="n">
        <v>46259</v>
      </c>
      <c r="F218" t="inlineStr">
        <is>
          <t>VÄSTMANLANDS LÄN</t>
        </is>
      </c>
      <c r="G218" t="inlineStr">
        <is>
          <t>VÄSTERÅS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45282</v>
      </c>
      <c r="E219" s="1" t="n">
        <v>46259</v>
      </c>
      <c r="F219" t="inlineStr">
        <is>
          <t>VÄSTMANLANDS LÄN</t>
        </is>
      </c>
      <c r="G219" t="inlineStr">
        <is>
          <t>VÄSTERÅS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46259</v>
      </c>
      <c r="F220" t="inlineStr">
        <is>
          <t>VÄSTMANLANDS LÄN</t>
        </is>
      </c>
      <c r="G220" t="inlineStr">
        <is>
          <t>VÄSTERÅS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52015-2024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45607</v>
      </c>
      <c r="E221" s="1" t="n">
        <v>46259</v>
      </c>
      <c r="F221" t="inlineStr">
        <is>
          <t>VÄSTMANLANDS LÄN</t>
        </is>
      </c>
      <c r="G221" t="inlineStr">
        <is>
          <t>VÄSTERÅS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3118-2022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44582</v>
      </c>
      <c r="E222" s="1" t="n">
        <v>46259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Övriga Aktiebolag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45019</v>
      </c>
      <c r="E223" s="1" t="n">
        <v>46259</v>
      </c>
      <c r="F223" t="inlineStr">
        <is>
          <t>VÄSTMANLANDS LÄN</t>
        </is>
      </c>
      <c r="G223" t="inlineStr">
        <is>
          <t>VÄSTERÅS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44648</v>
      </c>
      <c r="E224" s="1" t="n">
        <v>46259</v>
      </c>
      <c r="F224" t="inlineStr">
        <is>
          <t>VÄSTMANLANDS LÄN</t>
        </is>
      </c>
      <c r="G224" t="inlineStr">
        <is>
          <t>VÄSTERÅS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46259</v>
      </c>
      <c r="F225" t="inlineStr">
        <is>
          <t>VÄSTMANLANDS LÄN</t>
        </is>
      </c>
      <c r="G225" t="inlineStr">
        <is>
          <t>VÄSTERÅS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46259</v>
      </c>
      <c r="F226" t="inlineStr">
        <is>
          <t>VÄSTMANLANDS LÄN</t>
        </is>
      </c>
      <c r="G226" t="inlineStr">
        <is>
          <t>VÄSTERÅS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46259</v>
      </c>
      <c r="F227" t="inlineStr">
        <is>
          <t>VÄSTMANLANDS LÄN</t>
        </is>
      </c>
      <c r="G227" t="inlineStr">
        <is>
          <t>VÄSTERÅS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67352-2021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44523</v>
      </c>
      <c r="E228" s="1" t="n">
        <v>46259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Övriga Aktiebolag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46259</v>
      </c>
      <c r="F229" t="inlineStr">
        <is>
          <t>VÄSTMANLANDS LÄN</t>
        </is>
      </c>
      <c r="G229" t="inlineStr">
        <is>
          <t>VÄSTERÅS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46259</v>
      </c>
      <c r="F230" t="inlineStr">
        <is>
          <t>VÄSTMANLANDS LÄN</t>
        </is>
      </c>
      <c r="G230" t="inlineStr">
        <is>
          <t>VÄSTERÅS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46259</v>
      </c>
      <c r="F231" t="inlineStr">
        <is>
          <t>VÄSTMANLANDS LÄN</t>
        </is>
      </c>
      <c r="G231" t="inlineStr">
        <is>
          <t>VÄSTERÅS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46259</v>
      </c>
      <c r="F232" t="inlineStr">
        <is>
          <t>VÄSTMANLANDS LÄN</t>
        </is>
      </c>
      <c r="G232" t="inlineStr">
        <is>
          <t>VÄSTERÅS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45448</v>
      </c>
      <c r="E233" s="1" t="n">
        <v>46259</v>
      </c>
      <c r="F233" t="inlineStr">
        <is>
          <t>VÄSTMANLANDS LÄN</t>
        </is>
      </c>
      <c r="G233" t="inlineStr">
        <is>
          <t>VÄSTERÅS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46259</v>
      </c>
      <c r="F234" t="inlineStr">
        <is>
          <t>VÄSTMANLANDS LÄN</t>
        </is>
      </c>
      <c r="G234" t="inlineStr">
        <is>
          <t>VÄSTERÅS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46259</v>
      </c>
      <c r="F235" t="inlineStr">
        <is>
          <t>VÄSTMANLANDS LÄN</t>
        </is>
      </c>
      <c r="G235" t="inlineStr">
        <is>
          <t>VÄSTERÅS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46259</v>
      </c>
      <c r="F236" t="inlineStr">
        <is>
          <t>VÄSTMANLANDS LÄN</t>
        </is>
      </c>
      <c r="G236" t="inlineStr">
        <is>
          <t>VÄSTERÅS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46259</v>
      </c>
      <c r="F237" t="inlineStr">
        <is>
          <t>VÄSTMANLANDS LÄN</t>
        </is>
      </c>
      <c r="G237" t="inlineStr">
        <is>
          <t>VÄSTERÅS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46259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Övriga statliga verk och myndigheter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14926-2022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44657</v>
      </c>
      <c r="E239" s="1" t="n">
        <v>46259</v>
      </c>
      <c r="F239" t="inlineStr">
        <is>
          <t>VÄSTMANLANDS LÄN</t>
        </is>
      </c>
      <c r="G239" t="inlineStr">
        <is>
          <t>VÄSTERÅS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46259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46259</v>
      </c>
      <c r="F241" t="inlineStr">
        <is>
          <t>VÄSTMANLANDS LÄN</t>
        </is>
      </c>
      <c r="G241" t="inlineStr">
        <is>
          <t>VÄSTERÅS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44755</v>
      </c>
      <c r="E242" s="1" t="n">
        <v>46259</v>
      </c>
      <c r="F242" t="inlineStr">
        <is>
          <t>VÄSTMANLANDS LÄN</t>
        </is>
      </c>
      <c r="G242" t="inlineStr">
        <is>
          <t>VÄSTERÅS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11137-2023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44987</v>
      </c>
      <c r="E243" s="1" t="n">
        <v>46259</v>
      </c>
      <c r="F243" t="inlineStr">
        <is>
          <t>VÄSTMANLANDS LÄN</t>
        </is>
      </c>
      <c r="G243" t="inlineStr">
        <is>
          <t>VÄSTERÅS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46259</v>
      </c>
      <c r="F244" t="inlineStr">
        <is>
          <t>VÄSTMANLANDS LÄN</t>
        </is>
      </c>
      <c r="G244" t="inlineStr">
        <is>
          <t>VÄSTERÅS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44610</v>
      </c>
      <c r="E245" s="1" t="n">
        <v>46259</v>
      </c>
      <c r="F245" t="inlineStr">
        <is>
          <t>VÄSTMANLANDS LÄN</t>
        </is>
      </c>
      <c r="G245" t="inlineStr">
        <is>
          <t>VÄSTERÅS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45443</v>
      </c>
      <c r="E246" s="1" t="n">
        <v>46259</v>
      </c>
      <c r="F246" t="inlineStr">
        <is>
          <t>VÄSTMANLANDS LÄN</t>
        </is>
      </c>
      <c r="G246" t="inlineStr">
        <is>
          <t>VÄSTERÅS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46259</v>
      </c>
      <c r="F247" t="inlineStr">
        <is>
          <t>VÄSTMANLANDS LÄN</t>
        </is>
      </c>
      <c r="G247" t="inlineStr">
        <is>
          <t>VÄSTERÅS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46259</v>
      </c>
      <c r="F248" t="inlineStr">
        <is>
          <t>VÄSTMANLANDS LÄN</t>
        </is>
      </c>
      <c r="G248" t="inlineStr">
        <is>
          <t>VÄSTERÅS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46259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Kyrkan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45579</v>
      </c>
      <c r="E250" s="1" t="n">
        <v>46259</v>
      </c>
      <c r="F250" t="inlineStr">
        <is>
          <t>VÄSTMANLANDS LÄN</t>
        </is>
      </c>
      <c r="G250" t="inlineStr">
        <is>
          <t>VÄSTERÅS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46259</v>
      </c>
      <c r="F251" t="inlineStr">
        <is>
          <t>VÄSTMANLANDS LÄN</t>
        </is>
      </c>
      <c r="G251" t="inlineStr">
        <is>
          <t>VÄSTERÅS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46259</v>
      </c>
      <c r="F252" t="inlineStr">
        <is>
          <t>VÄSTMANLANDS LÄN</t>
        </is>
      </c>
      <c r="G252" t="inlineStr">
        <is>
          <t>VÄSTERÅS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46259</v>
      </c>
      <c r="F253" t="inlineStr">
        <is>
          <t>VÄSTMANLANDS LÄN</t>
        </is>
      </c>
      <c r="G253" t="inlineStr">
        <is>
          <t>VÄSTERÅS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46259</v>
      </c>
      <c r="F254" t="inlineStr">
        <is>
          <t>VÄSTMANLANDS LÄN</t>
        </is>
      </c>
      <c r="G254" t="inlineStr">
        <is>
          <t>VÄSTERÅS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46259</v>
      </c>
      <c r="F255" t="inlineStr">
        <is>
          <t>VÄSTMANLANDS LÄN</t>
        </is>
      </c>
      <c r="G255" t="inlineStr">
        <is>
          <t>VÄSTERÅS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46259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46259</v>
      </c>
      <c r="F257" t="inlineStr">
        <is>
          <t>VÄSTMANLANDS LÄN</t>
        </is>
      </c>
      <c r="G257" t="inlineStr">
        <is>
          <t>VÄSTERÅS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45110</v>
      </c>
      <c r="E258" s="1" t="n">
        <v>46259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46259</v>
      </c>
      <c r="F259" t="inlineStr">
        <is>
          <t>VÄSTMANLANDS LÄN</t>
        </is>
      </c>
      <c r="G259" t="inlineStr">
        <is>
          <t>VÄSTERÅS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46259</v>
      </c>
      <c r="F260" t="inlineStr">
        <is>
          <t>VÄSTMANLANDS LÄN</t>
        </is>
      </c>
      <c r="G260" t="inlineStr">
        <is>
          <t>VÄSTERÅS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61249-2021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46259</v>
      </c>
      <c r="F261" t="inlineStr">
        <is>
          <t>VÄSTMANLANDS LÄN</t>
        </is>
      </c>
      <c r="G261" t="inlineStr">
        <is>
          <t>VÄSTERÅS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8727-2023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44978</v>
      </c>
      <c r="E262" s="1" t="n">
        <v>46259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46259</v>
      </c>
      <c r="F263" t="inlineStr">
        <is>
          <t>VÄSTMANLANDS LÄN</t>
        </is>
      </c>
      <c r="G263" t="inlineStr">
        <is>
          <t>VÄSTERÅS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46259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Allmännings- och besparingsskogar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46259</v>
      </c>
      <c r="F265" t="inlineStr">
        <is>
          <t>VÄSTMANLANDS LÄN</t>
        </is>
      </c>
      <c r="G265" t="inlineStr">
        <is>
          <t>VÄSTERÅS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46259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46259</v>
      </c>
      <c r="F267" t="inlineStr">
        <is>
          <t>VÄSTMANLANDS LÄN</t>
        </is>
      </c>
      <c r="G267" t="inlineStr">
        <is>
          <t>VÄSTERÅS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46259</v>
      </c>
      <c r="F268" t="inlineStr">
        <is>
          <t>VÄSTMANLANDS LÄN</t>
        </is>
      </c>
      <c r="G268" t="inlineStr">
        <is>
          <t>VÄSTERÅS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46259</v>
      </c>
      <c r="F269" t="inlineStr">
        <is>
          <t>VÄSTMANLANDS LÄN</t>
        </is>
      </c>
      <c r="G269" t="inlineStr">
        <is>
          <t>VÄSTERÅS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44659</v>
      </c>
      <c r="E270" s="1" t="n">
        <v>46259</v>
      </c>
      <c r="F270" t="inlineStr">
        <is>
          <t>VÄSTMANLANDS LÄN</t>
        </is>
      </c>
      <c r="G270" t="inlineStr">
        <is>
          <t>VÄSTERÅS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46259</v>
      </c>
      <c r="F271" t="inlineStr">
        <is>
          <t>VÄSTMANLANDS LÄN</t>
        </is>
      </c>
      <c r="G271" t="inlineStr">
        <is>
          <t>VÄSTERÅS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46259</v>
      </c>
      <c r="F272" t="inlineStr">
        <is>
          <t>VÄSTMANLANDS LÄN</t>
        </is>
      </c>
      <c r="G272" t="inlineStr">
        <is>
          <t>VÄSTERÅS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46259</v>
      </c>
      <c r="F273" t="inlineStr">
        <is>
          <t>VÄSTMANLANDS LÄN</t>
        </is>
      </c>
      <c r="G273" t="inlineStr">
        <is>
          <t>VÄSTERÅS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46259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46259</v>
      </c>
      <c r="F275" t="inlineStr">
        <is>
          <t>VÄSTMANLANDS LÄN</t>
        </is>
      </c>
      <c r="G275" t="inlineStr">
        <is>
          <t>VÄSTERÅS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44574</v>
      </c>
      <c r="E276" s="1" t="n">
        <v>46259</v>
      </c>
      <c r="F276" t="inlineStr">
        <is>
          <t>VÄSTMANLANDS LÄN</t>
        </is>
      </c>
      <c r="G276" t="inlineStr">
        <is>
          <t>VÄSTERÅS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46259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46259</v>
      </c>
      <c r="F278" t="inlineStr">
        <is>
          <t>VÄSTMANLANDS LÄN</t>
        </is>
      </c>
      <c r="G278" t="inlineStr">
        <is>
          <t>VÄSTERÅS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46259</v>
      </c>
      <c r="F279" t="inlineStr">
        <is>
          <t>VÄSTMANLANDS LÄN</t>
        </is>
      </c>
      <c r="G279" t="inlineStr">
        <is>
          <t>VÄSTERÅS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46259</v>
      </c>
      <c r="F280" t="inlineStr">
        <is>
          <t>VÄSTMANLANDS LÄN</t>
        </is>
      </c>
      <c r="G280" t="inlineStr">
        <is>
          <t>VÄSTERÅS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46259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46259</v>
      </c>
      <c r="F282" t="inlineStr">
        <is>
          <t>VÄSTMANLANDS LÄN</t>
        </is>
      </c>
      <c r="G282" t="inlineStr">
        <is>
          <t>VÄSTERÅS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46259</v>
      </c>
      <c r="F283" t="inlineStr">
        <is>
          <t>VÄSTMANLANDS LÄN</t>
        </is>
      </c>
      <c r="G283" t="inlineStr">
        <is>
          <t>VÄSTERÅS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55684-2023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45232</v>
      </c>
      <c r="E284" s="1" t="n">
        <v>46259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Övriga Aktiebolag</t>
        </is>
      </c>
      <c r="I284" t="n">
        <v>29.4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46259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46259</v>
      </c>
      <c r="F286" t="inlineStr">
        <is>
          <t>VÄSTMANLANDS LÄN</t>
        </is>
      </c>
      <c r="G286" t="inlineStr">
        <is>
          <t>VÄSTERÅS</t>
        </is>
      </c>
      <c r="I286" t="n">
        <v>14.1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45019</v>
      </c>
      <c r="E287" s="1" t="n">
        <v>46259</v>
      </c>
      <c r="F287" t="inlineStr">
        <is>
          <t>VÄSTMANLANDS LÄN</t>
        </is>
      </c>
      <c r="G287" t="inlineStr">
        <is>
          <t>VÄSTERÅS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18467-2023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45042</v>
      </c>
      <c r="E288" s="1" t="n">
        <v>46259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46259</v>
      </c>
      <c r="F289" t="inlineStr">
        <is>
          <t>VÄSTMANLANDS LÄN</t>
        </is>
      </c>
      <c r="G289" t="inlineStr">
        <is>
          <t>VÄSTERÅS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10912-2024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45370</v>
      </c>
      <c r="E290" s="1" t="n">
        <v>46259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45019</v>
      </c>
      <c r="E291" s="1" t="n">
        <v>46259</v>
      </c>
      <c r="F291" t="inlineStr">
        <is>
          <t>VÄSTMANLANDS LÄN</t>
        </is>
      </c>
      <c r="G291" t="inlineStr">
        <is>
          <t>VÄSTERÅS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46259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Allmännings- och besparingsskogar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46259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46259</v>
      </c>
      <c r="F294" t="inlineStr">
        <is>
          <t>VÄSTMANLANDS LÄN</t>
        </is>
      </c>
      <c r="G294" t="inlineStr">
        <is>
          <t>VÄSTERÅS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61258-2023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46259</v>
      </c>
      <c r="F295" t="inlineStr">
        <is>
          <t>VÄSTMANLANDS LÄN</t>
        </is>
      </c>
      <c r="G295" t="inlineStr">
        <is>
          <t>VÄSTERÅS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46259</v>
      </c>
      <c r="F296" t="inlineStr">
        <is>
          <t>VÄSTMANLANDS LÄN</t>
        </is>
      </c>
      <c r="G296" t="inlineStr">
        <is>
          <t>VÄSTERÅS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46259</v>
      </c>
      <c r="F297" t="inlineStr">
        <is>
          <t>VÄSTMANLANDS LÄN</t>
        </is>
      </c>
      <c r="G297" t="inlineStr">
        <is>
          <t>VÄSTERÅS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46259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45378</v>
      </c>
      <c r="E299" s="1" t="n">
        <v>46259</v>
      </c>
      <c r="F299" t="inlineStr">
        <is>
          <t>VÄSTMANLANDS LÄN</t>
        </is>
      </c>
      <c r="G299" t="inlineStr">
        <is>
          <t>VÄSTERÅS</t>
        </is>
      </c>
      <c r="I299" t="n">
        <v>15.4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8871-2026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46259</v>
      </c>
      <c r="F300" t="inlineStr">
        <is>
          <t>VÄSTMANLANDS LÄN</t>
        </is>
      </c>
      <c r="G300" t="inlineStr">
        <is>
          <t>VÄSTERÅS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46259</v>
      </c>
      <c r="F301" t="inlineStr">
        <is>
          <t>VÄSTMANLANDS LÄN</t>
        </is>
      </c>
      <c r="G301" t="inlineStr">
        <is>
          <t>VÄSTERÅS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46217</v>
      </c>
      <c r="E302" s="1" t="n">
        <v>46259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46215</v>
      </c>
      <c r="E303" s="1" t="n">
        <v>46259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46215</v>
      </c>
      <c r="E304" s="1" t="n">
        <v>46259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46213</v>
      </c>
      <c r="E305" s="1" t="n">
        <v>46259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46259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46259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46259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46259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46259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46259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7797-2026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46062</v>
      </c>
      <c r="E312" s="1" t="n">
        <v>46259</v>
      </c>
      <c r="F312" t="inlineStr">
        <is>
          <t>VÄSTMANLANDS LÄN</t>
        </is>
      </c>
      <c r="G312" t="inlineStr">
        <is>
          <t>VÄSTERÅS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45506</v>
      </c>
      <c r="E313" s="1" t="n">
        <v>46259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Kommuner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46259</v>
      </c>
      <c r="F314" t="inlineStr">
        <is>
          <t>VÄSTMANLANDS LÄN</t>
        </is>
      </c>
      <c r="G314" t="inlineStr">
        <is>
          <t>VÄSTERÅS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46259</v>
      </c>
      <c r="F315" t="inlineStr">
        <is>
          <t>VÄSTMANLANDS LÄN</t>
        </is>
      </c>
      <c r="G315" t="inlineStr">
        <is>
          <t>VÄSTERÅS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52027-2025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45952</v>
      </c>
      <c r="E316" s="1" t="n">
        <v>46259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Övriga statliga verk och myndigheter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46259</v>
      </c>
      <c r="F317" t="inlineStr">
        <is>
          <t>VÄSTMANLANDS LÄN</t>
        </is>
      </c>
      <c r="G317" t="inlineStr">
        <is>
          <t>VÄSTERÅS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46259</v>
      </c>
      <c r="F318" t="inlineStr">
        <is>
          <t>VÄSTMANLANDS LÄN</t>
        </is>
      </c>
      <c r="G318" t="inlineStr">
        <is>
          <t>VÄSTERÅS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46078</v>
      </c>
      <c r="E319" s="1" t="n">
        <v>46259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46259</v>
      </c>
      <c r="F320" t="inlineStr">
        <is>
          <t>VÄSTMANLANDS LÄN</t>
        </is>
      </c>
      <c r="G320" t="inlineStr">
        <is>
          <t>VÄSTERÅS</t>
        </is>
      </c>
      <c r="I320" t="n">
        <v>20.3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46259</v>
      </c>
      <c r="F321" t="inlineStr">
        <is>
          <t>VÄSTMANLANDS LÄN</t>
        </is>
      </c>
      <c r="G321" t="inlineStr">
        <is>
          <t>VÄSTERÅS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46259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46259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46259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46259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46259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46259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46259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2026-08-25T01:52:33Z</dcterms:created>
  <dcterms:modified xmlns:dcterms="http://purl.org/dc/terms/" xmlns:xsi="http://www.w3.org/2001/XMLSchema-instance" xsi:type="dcterms:W3CDTF">2026-08-25T01:52:33Z</dcterms:modified>
</cp:coreProperties>
</file>