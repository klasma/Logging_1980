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46268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46268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46268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46268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46268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46268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46268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46268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46268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46268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46268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46268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46268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46268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46268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41262-2023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45174</v>
      </c>
      <c r="E17" s="1" t="n">
        <v>46268</v>
      </c>
      <c r="F17" t="inlineStr">
        <is>
          <t>VÄSTMANLANDS LÄN</t>
        </is>
      </c>
      <c r="G17" t="inlineStr">
        <is>
          <t>VÄSTERÅS</t>
        </is>
      </c>
      <c r="H17" t="inlineStr">
        <is>
          <t>Kommuner</t>
        </is>
      </c>
      <c r="I17" t="n">
        <v>11.4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8</v>
      </c>
      <c r="U17" t="n">
        <v>2</v>
      </c>
      <c r="V17" s="2" t="inlineStr">
        <is>
          <t>Grönsångare
Gulsparv
Kungsfågel
Vanlig groda</t>
        </is>
      </c>
      <c r="W17">
        <f>HYPERLINK("https://klasma.github.io/Logging_1980/artfynd/A 41262-2023 artfynd.xlsx", "A 41262-2023")</f>
        <v/>
      </c>
      <c r="X17">
        <f>HYPERLINK("https://klasma.github.io/Logging_1980/kartor/A 41262-2023 karta.png", "A 41262-2023")</f>
        <v/>
      </c>
      <c r="Y17">
        <f>HYPERLINK("https://klasma.github.io/Logging_1980/kartor_geotiff/A 41262-2023 georefererad karta.tif", "A 41262-2023")</f>
        <v/>
      </c>
      <c r="AA17">
        <f>HYPERLINK("https://klasma.github.io/Logging_1980/klagomål/A 41262-2023 FSC-klagomål.docx", "A 41262-2023")</f>
        <v/>
      </c>
      <c r="AB17">
        <f>HYPERLINK("https://klasma.github.io/Logging_1980/klagomålsmail/A 41262-2023 FSC-klagomål mail.docx", "A 41262-2023")</f>
        <v/>
      </c>
      <c r="AC17">
        <f>HYPERLINK("https://klasma.github.io/Logging_1980/tillsyn/A 41262-2023 tillsynsbegäran.docx", "A 41262-2023")</f>
        <v/>
      </c>
      <c r="AD17">
        <f>HYPERLINK("https://klasma.github.io/Logging_1980/tillsynsmail/A 41262-2023 tillsynsbegäran mail.docx", "A 41262-2023")</f>
        <v/>
      </c>
      <c r="AE17">
        <f>HYPERLINK("https://klasma.github.io/Logging_1980/fåglar/A 41262-2023 prioriterade fågelarter.docx", "A 41262-2023")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46268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16581-2026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46112</v>
      </c>
      <c r="E19" s="1" t="n">
        <v>46268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17.5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12</v>
      </c>
      <c r="U19" t="n">
        <v>7</v>
      </c>
      <c r="V19" s="2" t="inlineStr">
        <is>
          <t>Grönpyrola
Spillkråka
Tjäder
Revlummer</t>
        </is>
      </c>
      <c r="W19">
        <f>HYPERLINK("https://klasma.github.io/Logging_1980/artfynd/A 16581-2026 artfynd.xlsx", "A 16581-2026")</f>
        <v/>
      </c>
      <c r="X19">
        <f>HYPERLINK("https://klasma.github.io/Logging_1980/kartor/A 16581-2026 karta.png", "A 16581-2026")</f>
        <v/>
      </c>
      <c r="Y19">
        <f>HYPERLINK("https://klasma.github.io/Logging_1980/kartor_geotiff/A 16581-2026 georefererad karta.tif", "A 16581-2026")</f>
        <v/>
      </c>
      <c r="AA19">
        <f>HYPERLINK("https://klasma.github.io/Logging_1980/klagomål/A 16581-2026 FSC-klagomål.docx", "A 16581-2026")</f>
        <v/>
      </c>
      <c r="AB19">
        <f>HYPERLINK("https://klasma.github.io/Logging_1980/klagomålsmail/A 16581-2026 FSC-klagomål mail.docx", "A 16581-2026")</f>
        <v/>
      </c>
      <c r="AC19">
        <f>HYPERLINK("https://klasma.github.io/Logging_1980/tillsyn/A 16581-2026 tillsynsbegäran.docx", "A 16581-2026")</f>
        <v/>
      </c>
      <c r="AD19">
        <f>HYPERLINK("https://klasma.github.io/Logging_1980/tillsynsmail/A 16581-2026 tillsynsbegäran mail.docx", "A 16581-2026")</f>
        <v/>
      </c>
      <c r="AE19">
        <f>HYPERLINK("https://klasma.github.io/Logging_1980/fåglar/A 16581-2026 prioriterade fågelarter.docx", "A 16581-2026")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46268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46268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46268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47228-2022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44852</v>
      </c>
      <c r="E23" s="1" t="n">
        <v>46268</v>
      </c>
      <c r="F23" t="inlineStr">
        <is>
          <t>VÄSTMANLANDS LÄN</t>
        </is>
      </c>
      <c r="G23" t="inlineStr">
        <is>
          <t>VÄSTERÅS</t>
        </is>
      </c>
      <c r="I23" t="n">
        <v>11.6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2</v>
      </c>
      <c r="V23" s="2" t="inlineStr">
        <is>
          <t>Vithornad barkskinnbagge
Xyletinus ater
Mindre märgborre
Fiskgjuse</t>
        </is>
      </c>
      <c r="W23">
        <f>HYPERLINK("https://klasma.github.io/Logging_1980/artfynd/A 47228-2022 artfynd.xlsx", "A 47228-2022")</f>
        <v/>
      </c>
      <c r="X23">
        <f>HYPERLINK("https://klasma.github.io/Logging_1980/kartor/A 47228-2022 karta.png", "A 47228-2022")</f>
        <v/>
      </c>
      <c r="Y23">
        <f>HYPERLINK("https://klasma.github.io/Logging_1980/kartor_geotiff/A 47228-2022 georefererad karta.tif", "A 47228-2022")</f>
        <v/>
      </c>
      <c r="AA23">
        <f>HYPERLINK("https://klasma.github.io/Logging_1980/klagomål/A 47228-2022 FSC-klagomål.docx", "A 47228-2022")</f>
        <v/>
      </c>
      <c r="AB23">
        <f>HYPERLINK("https://klasma.github.io/Logging_1980/klagomålsmail/A 47228-2022 FSC-klagomål mail.docx", "A 47228-2022")</f>
        <v/>
      </c>
      <c r="AC23">
        <f>HYPERLINK("https://klasma.github.io/Logging_1980/tillsyn/A 47228-2022 tillsynsbegäran.docx", "A 47228-2022")</f>
        <v/>
      </c>
      <c r="AD23">
        <f>HYPERLINK("https://klasma.github.io/Logging_1980/tillsynsmail/A 47228-2022 tillsynsbegäran mail.docx", "A 47228-2022")</f>
        <v/>
      </c>
      <c r="AE23">
        <f>HYPERLINK("https://klasma.github.io/Logging_1980/fåglar/A 47228-2022 prioriterade fågelarter.docx", "A 47228-2022")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46268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46268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16684-2026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46112</v>
      </c>
      <c r="E26" s="1" t="n">
        <v>46268</v>
      </c>
      <c r="F26" t="inlineStr">
        <is>
          <t>VÄSTMANLANDS LÄN</t>
        </is>
      </c>
      <c r="G26" t="inlineStr">
        <is>
          <t>VÄSTERÅS</t>
        </is>
      </c>
      <c r="I26" t="n">
        <v>7.9</v>
      </c>
      <c r="J26" t="n">
        <v>1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0</v>
      </c>
      <c r="V26" s="2" t="inlineStr">
        <is>
          <t>Knärot
Motaggsvamp
Ullticka</t>
        </is>
      </c>
      <c r="W26">
        <f>HYPERLINK("https://klasma.github.io/Logging_1980/artfynd/A 16684-2026 artfynd.xlsx", "A 16684-2026")</f>
        <v/>
      </c>
      <c r="X26">
        <f>HYPERLINK("https://klasma.github.io/Logging_1980/kartor/A 16684-2026 karta.png", "A 16684-2026")</f>
        <v/>
      </c>
      <c r="Y26">
        <f>HYPERLINK("https://klasma.github.io/Logging_1980/kartor_geotiff/A 16684-2026 georefererad karta.tif", "A 16684-2026")</f>
        <v/>
      </c>
      <c r="Z26">
        <f>HYPERLINK("https://klasma.github.io/Logging_1980/knärot/A 16684-2026 karta knärot.png", "A 16684-2026")</f>
        <v/>
      </c>
      <c r="AA26">
        <f>HYPERLINK("https://klasma.github.io/Logging_1980/klagomål/A 16684-2026 FSC-klagomål.docx", "A 16684-2026")</f>
        <v/>
      </c>
      <c r="AB26">
        <f>HYPERLINK("https://klasma.github.io/Logging_1980/klagomålsmail/A 16684-2026 FSC-klagomål mail.docx", "A 16684-2026")</f>
        <v/>
      </c>
      <c r="AC26">
        <f>HYPERLINK("https://klasma.github.io/Logging_1980/tillsyn/A 16684-2026 tillsynsbegäran.docx", "A 16684-2026")</f>
        <v/>
      </c>
      <c r="AD26">
        <f>HYPERLINK("https://klasma.github.io/Logging_1980/tillsynsmail/A 16684-2026 tillsynsbegäran mail.docx", "A 16684-2026")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46268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14265-2025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45740</v>
      </c>
      <c r="E28" s="1" t="n">
        <v>46268</v>
      </c>
      <c r="F28" t="inlineStr">
        <is>
          <t>VÄSTMANLANDS LÄN</t>
        </is>
      </c>
      <c r="G28" t="inlineStr">
        <is>
          <t>VÄSTERÅS</t>
        </is>
      </c>
      <c r="I28" t="n">
        <v>2.1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0</v>
      </c>
      <c r="V28" s="2" t="inlineStr">
        <is>
          <t>Knärot
Tallticka
Blåsippa</t>
        </is>
      </c>
      <c r="W28">
        <f>HYPERLINK("https://klasma.github.io/Logging_1980/artfynd/A 14265-2025 artfynd.xlsx", "A 14265-2025")</f>
        <v/>
      </c>
      <c r="X28">
        <f>HYPERLINK("https://klasma.github.io/Logging_1980/kartor/A 14265-2025 karta.png", "A 14265-2025")</f>
        <v/>
      </c>
      <c r="Y28">
        <f>HYPERLINK("https://klasma.github.io/Logging_1980/kartor_geotiff/A 14265-2025 georefererad karta.tif", "A 14265-2025")</f>
        <v/>
      </c>
      <c r="Z28">
        <f>HYPERLINK("https://klasma.github.io/Logging_1980/knärot/A 14265-2025 karta knärot.png", "A 14265-2025")</f>
        <v/>
      </c>
      <c r="AA28">
        <f>HYPERLINK("https://klasma.github.io/Logging_1980/klagomål/A 14265-2025 FSC-klagomål.docx", "A 14265-2025")</f>
        <v/>
      </c>
      <c r="AB28">
        <f>HYPERLINK("https://klasma.github.io/Logging_1980/klagomålsmail/A 14265-2025 FSC-klagomål mail.docx", "A 14265-2025")</f>
        <v/>
      </c>
      <c r="AC28">
        <f>HYPERLINK("https://klasma.github.io/Logging_1980/tillsyn/A 14265-2025 tillsynsbegäran.docx", "A 14265-2025")</f>
        <v/>
      </c>
      <c r="AD28">
        <f>HYPERLINK("https://klasma.github.io/Logging_1980/tillsynsmail/A 14265-2025 tillsynsbegäran mail.docx", "A 14265-2025")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46268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46268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46268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46268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46268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46268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46268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46268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46268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46268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46268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46268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46268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46268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26568-2022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46268</v>
      </c>
      <c r="F43" t="inlineStr">
        <is>
          <t>VÄSTMANLANDS LÄN</t>
        </is>
      </c>
      <c r="G43" t="inlineStr">
        <is>
          <t>VÄSTERÅS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Mistel</t>
        </is>
      </c>
      <c r="W43">
        <f>HYPERLINK("https://klasma.github.io/Logging_1980/artfynd/A 26568-2022 artfynd.xlsx", "A 26568-2022")</f>
        <v/>
      </c>
      <c r="X43">
        <f>HYPERLINK("https://klasma.github.io/Logging_1980/kartor/A 26568-2022 karta.png", "A 26568-2022")</f>
        <v/>
      </c>
      <c r="Y43">
        <f>HYPERLINK("https://klasma.github.io/Logging_1980/kartor_geotiff/A 26568-2022 georefererad karta.tif", "A 26568-2022")</f>
        <v/>
      </c>
      <c r="AA43">
        <f>HYPERLINK("https://klasma.github.io/Logging_1980/klagomål/A 26568-2022 FSC-klagomål.docx", "A 26568-2022")</f>
        <v/>
      </c>
      <c r="AB43">
        <f>HYPERLINK("https://klasma.github.io/Logging_1980/klagomålsmail/A 26568-2022 FSC-klagomål mail.docx", "A 26568-2022")</f>
        <v/>
      </c>
      <c r="AC43">
        <f>HYPERLINK("https://klasma.github.io/Logging_1980/tillsyn/A 26568-2022 tillsynsbegäran.docx", "A 26568-2022")</f>
        <v/>
      </c>
      <c r="AD43">
        <f>HYPERLINK("https://klasma.github.io/Logging_1980/tillsynsmail/A 26568-2022 tillsynsbegäran mail.docx", "A 26568-2022")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46268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8362-2022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44610</v>
      </c>
      <c r="E45" s="1" t="n">
        <v>46268</v>
      </c>
      <c r="F45" t="inlineStr">
        <is>
          <t>VÄSTMANLANDS LÄN</t>
        </is>
      </c>
      <c r="G45" t="inlineStr">
        <is>
          <t>VÄSTERÅS</t>
        </is>
      </c>
      <c r="H45" t="inlineStr">
        <is>
          <t>Sveaskog</t>
        </is>
      </c>
      <c r="I45" t="n">
        <v>3.7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Köpingfibbla</t>
        </is>
      </c>
      <c r="W45">
        <f>HYPERLINK("https://klasma.github.io/Logging_1980/artfynd/A 8362-2022 artfynd.xlsx", "A 8362-2022")</f>
        <v/>
      </c>
      <c r="X45">
        <f>HYPERLINK("https://klasma.github.io/Logging_1980/kartor/A 8362-2022 karta.png", "A 8362-2022")</f>
        <v/>
      </c>
      <c r="Y45">
        <f>HYPERLINK("https://klasma.github.io/Logging_1980/kartor_geotiff/A 8362-2022 georefererad karta.tif", "A 8362-2022")</f>
        <v/>
      </c>
      <c r="AA45">
        <f>HYPERLINK("https://klasma.github.io/Logging_1980/klagomål/A 8362-2022 FSC-klagomål.docx", "A 8362-2022")</f>
        <v/>
      </c>
      <c r="AB45">
        <f>HYPERLINK("https://klasma.github.io/Logging_1980/klagomålsmail/A 8362-2022 FSC-klagomål mail.docx", "A 8362-2022")</f>
        <v/>
      </c>
      <c r="AC45">
        <f>HYPERLINK("https://klasma.github.io/Logging_1980/tillsyn/A 8362-2022 tillsynsbegäran.docx", "A 8362-2022")</f>
        <v/>
      </c>
      <c r="AD45">
        <f>HYPERLINK("https://klasma.github.io/Logging_1980/tillsynsmail/A 8362-2022 tillsynsbegäran mail.docx", "A 8362-2022")</f>
        <v/>
      </c>
    </row>
    <row r="46" ht="15" customHeight="1">
      <c r="A46" t="inlineStr">
        <is>
          <t>A 51147-2023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45219</v>
      </c>
      <c r="E46" s="1" t="n">
        <v>46268</v>
      </c>
      <c r="F46" t="inlineStr">
        <is>
          <t>VÄSTMANLANDS LÄN</t>
        </is>
      </c>
      <c r="G46" t="inlineStr">
        <is>
          <t>VÄSTERÅS</t>
        </is>
      </c>
      <c r="I46" t="n">
        <v>1.4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Mindre märgborre</t>
        </is>
      </c>
      <c r="W46">
        <f>HYPERLINK("https://klasma.github.io/Logging_1980/artfynd/A 51147-2023 artfynd.xlsx", "A 51147-2023")</f>
        <v/>
      </c>
      <c r="X46">
        <f>HYPERLINK("https://klasma.github.io/Logging_1980/kartor/A 51147-2023 karta.png", "A 51147-2023")</f>
        <v/>
      </c>
      <c r="Y46">
        <f>HYPERLINK("https://klasma.github.io/Logging_1980/kartor_geotiff/A 51147-2023 georefererad karta.tif", "A 51147-2023")</f>
        <v/>
      </c>
      <c r="AA46">
        <f>HYPERLINK("https://klasma.github.io/Logging_1980/klagomål/A 51147-2023 FSC-klagomål.docx", "A 51147-2023")</f>
        <v/>
      </c>
      <c r="AB46">
        <f>HYPERLINK("https://klasma.github.io/Logging_1980/klagomålsmail/A 51147-2023 FSC-klagomål mail.docx", "A 51147-2023")</f>
        <v/>
      </c>
      <c r="AC46">
        <f>HYPERLINK("https://klasma.github.io/Logging_1980/tillsyn/A 51147-2023 tillsynsbegäran.docx", "A 51147-2023")</f>
        <v/>
      </c>
      <c r="AD46">
        <f>HYPERLINK("https://klasma.github.io/Logging_1980/tillsynsmail/A 51147-2023 tillsynsbegäran mail.docx", "A 51147-2023")</f>
        <v/>
      </c>
    </row>
    <row r="47" ht="15" customHeight="1">
      <c r="A47" t="inlineStr">
        <is>
          <t>A 40886-2025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45897</v>
      </c>
      <c r="E47" s="1" t="n">
        <v>46268</v>
      </c>
      <c r="F47" t="inlineStr">
        <is>
          <t>VÄSTMANLANDS LÄN</t>
        </is>
      </c>
      <c r="G47" t="inlineStr">
        <is>
          <t>VÄSTERÅS</t>
        </is>
      </c>
      <c r="I47" t="n">
        <v>1.5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HYPERLINK("https://klasma.github.io/Logging_1980/artfynd/A 40886-2025 artfynd.xlsx", "A 40886-2025")</f>
        <v/>
      </c>
      <c r="X47">
        <f>HYPERLINK("https://klasma.github.io/Logging_1980/kartor/A 40886-2025 karta.png", "A 40886-2025")</f>
        <v/>
      </c>
      <c r="Y47">
        <f>HYPERLINK("https://klasma.github.io/Logging_1980/kartor_geotiff/A 40886-2025 georefererad karta.tif", "A 40886-2025")</f>
        <v/>
      </c>
      <c r="AA47">
        <f>HYPERLINK("https://klasma.github.io/Logging_1980/klagomål/A 40886-2025 FSC-klagomål.docx", "A 40886-2025")</f>
        <v/>
      </c>
      <c r="AB47">
        <f>HYPERLINK("https://klasma.github.io/Logging_1980/klagomålsmail/A 40886-2025 FSC-klagomål mail.docx", "A 40886-2025")</f>
        <v/>
      </c>
      <c r="AC47">
        <f>HYPERLINK("https://klasma.github.io/Logging_1980/tillsyn/A 40886-2025 tillsynsbegäran.docx", "A 40886-2025")</f>
        <v/>
      </c>
      <c r="AD47">
        <f>HYPERLINK("https://klasma.github.io/Logging_1980/tillsynsmail/A 40886-2025 tillsynsbegäran mail.docx", "A 40886-2025")</f>
        <v/>
      </c>
    </row>
    <row r="48" ht="15" customHeight="1">
      <c r="A48" t="inlineStr">
        <is>
          <t>A 12950-2023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45001</v>
      </c>
      <c r="E48" s="1" t="n">
        <v>46268</v>
      </c>
      <c r="F48" t="inlineStr">
        <is>
          <t>VÄSTMANLANDS LÄN</t>
        </is>
      </c>
      <c r="G48" t="inlineStr">
        <is>
          <t>VÄSTERÅS</t>
        </is>
      </c>
      <c r="I48" t="n">
        <v>2.1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HYPERLINK("https://klasma.github.io/Logging_1980/artfynd/A 12950-2023 artfynd.xlsx", "A 12950-2023")</f>
        <v/>
      </c>
      <c r="X48">
        <f>HYPERLINK("https://klasma.github.io/Logging_1980/kartor/A 12950-2023 karta.png", "A 12950-2023")</f>
        <v/>
      </c>
      <c r="Y48">
        <f>HYPERLINK("https://klasma.github.io/Logging_1980/kartor_geotiff/A 12950-2023 georefererad karta.tif", "A 12950-2023")</f>
        <v/>
      </c>
      <c r="AA48">
        <f>HYPERLINK("https://klasma.github.io/Logging_1980/klagomål/A 12950-2023 FSC-klagomål.docx", "A 12950-2023")</f>
        <v/>
      </c>
      <c r="AB48">
        <f>HYPERLINK("https://klasma.github.io/Logging_1980/klagomålsmail/A 12950-2023 FSC-klagomål mail.docx", "A 12950-2023")</f>
        <v/>
      </c>
      <c r="AC48">
        <f>HYPERLINK("https://klasma.github.io/Logging_1980/tillsyn/A 12950-2023 tillsynsbegäran.docx", "A 12950-2023")</f>
        <v/>
      </c>
      <c r="AD48">
        <f>HYPERLINK("https://klasma.github.io/Logging_1980/tillsynsmail/A 12950-2023 tillsynsbegäran mail.docx", "A 12950-2023")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46268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16374-2025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46268</v>
      </c>
      <c r="F50" t="inlineStr">
        <is>
          <t>VÄSTMANLANDS LÄN</t>
        </is>
      </c>
      <c r="G50" t="inlineStr">
        <is>
          <t>VÄSTERÅS</t>
        </is>
      </c>
      <c r="I50" t="n">
        <v>0.6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Lönnlav</t>
        </is>
      </c>
      <c r="W50">
        <f>HYPERLINK("https://klasma.github.io/Logging_1980/artfynd/A 16374-2025 artfynd.xlsx", "A 16374-2025")</f>
        <v/>
      </c>
      <c r="X50">
        <f>HYPERLINK("https://klasma.github.io/Logging_1980/kartor/A 16374-2025 karta.png", "A 16374-2025")</f>
        <v/>
      </c>
      <c r="Y50">
        <f>HYPERLINK("https://klasma.github.io/Logging_1980/kartor_geotiff/A 16374-2025 georefererad karta.tif", "A 16374-2025")</f>
        <v/>
      </c>
      <c r="AA50">
        <f>HYPERLINK("https://klasma.github.io/Logging_1980/klagomål/A 16374-2025 FSC-klagomål.docx", "A 16374-2025")</f>
        <v/>
      </c>
      <c r="AB50">
        <f>HYPERLINK("https://klasma.github.io/Logging_1980/klagomålsmail/A 16374-2025 FSC-klagomål mail.docx", "A 16374-2025")</f>
        <v/>
      </c>
      <c r="AC50">
        <f>HYPERLINK("https://klasma.github.io/Logging_1980/tillsyn/A 16374-2025 tillsynsbegäran.docx", "A 16374-2025")</f>
        <v/>
      </c>
      <c r="AD50">
        <f>HYPERLINK("https://klasma.github.io/Logging_1980/tillsynsmail/A 16374-2025 tillsynsbegäran mail.docx", "A 16374-2025")</f>
        <v/>
      </c>
    </row>
    <row r="51" ht="15" customHeight="1">
      <c r="A51" t="inlineStr">
        <is>
          <t>A 61059-2024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45645</v>
      </c>
      <c r="E51" s="1" t="n">
        <v>46268</v>
      </c>
      <c r="F51" t="inlineStr">
        <is>
          <t>VÄSTMANLANDS LÄN</t>
        </is>
      </c>
      <c r="G51" t="inlineStr">
        <is>
          <t>VÄSTERÅS</t>
        </is>
      </c>
      <c r="I51" t="n">
        <v>4.7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Bandad skulderbock</t>
        </is>
      </c>
      <c r="W51">
        <f>HYPERLINK("https://klasma.github.io/Logging_1980/artfynd/A 61059-2024 artfynd.xlsx", "A 61059-2024")</f>
        <v/>
      </c>
      <c r="X51">
        <f>HYPERLINK("https://klasma.github.io/Logging_1980/kartor/A 61059-2024 karta.png", "A 61059-2024")</f>
        <v/>
      </c>
      <c r="Y51">
        <f>HYPERLINK("https://klasma.github.io/Logging_1980/kartor_geotiff/A 61059-2024 georefererad karta.tif", "A 61059-2024")</f>
        <v/>
      </c>
      <c r="AA51">
        <f>HYPERLINK("https://klasma.github.io/Logging_1980/klagomål/A 61059-2024 FSC-klagomål.docx", "A 61059-2024")</f>
        <v/>
      </c>
      <c r="AB51">
        <f>HYPERLINK("https://klasma.github.io/Logging_1980/klagomålsmail/A 61059-2024 FSC-klagomål mail.docx", "A 61059-2024")</f>
        <v/>
      </c>
      <c r="AC51">
        <f>HYPERLINK("https://klasma.github.io/Logging_1980/tillsyn/A 61059-2024 tillsynsbegäran.docx", "A 61059-2024")</f>
        <v/>
      </c>
      <c r="AD51">
        <f>HYPERLINK("https://klasma.github.io/Logging_1980/tillsynsmail/A 61059-2024 tillsynsbegäran mail.docx", "A 61059-2024")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46268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59144-2025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45988</v>
      </c>
      <c r="E53" s="1" t="n">
        <v>46268</v>
      </c>
      <c r="F53" t="inlineStr">
        <is>
          <t>VÄSTMANLANDS LÄN</t>
        </is>
      </c>
      <c r="G53" t="inlineStr">
        <is>
          <t>VÄSTERÅS</t>
        </is>
      </c>
      <c r="H53" t="inlineStr">
        <is>
          <t>Sveaskog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Fläcknycklar</t>
        </is>
      </c>
      <c r="W53">
        <f>HYPERLINK("https://klasma.github.io/Logging_1980/artfynd/A 59144-2025 artfynd.xlsx", "A 59144-2025")</f>
        <v/>
      </c>
      <c r="X53">
        <f>HYPERLINK("https://klasma.github.io/Logging_1980/kartor/A 59144-2025 karta.png", "A 59144-2025")</f>
        <v/>
      </c>
      <c r="Y53">
        <f>HYPERLINK("https://klasma.github.io/Logging_1980/kartor_geotiff/A 59144-2025 georefererad karta.tif", "A 59144-2025")</f>
        <v/>
      </c>
      <c r="AA53">
        <f>HYPERLINK("https://klasma.github.io/Logging_1980/klagomål/A 59144-2025 FSC-klagomål.docx", "A 59144-2025")</f>
        <v/>
      </c>
      <c r="AB53">
        <f>HYPERLINK("https://klasma.github.io/Logging_1980/klagomålsmail/A 59144-2025 FSC-klagomål mail.docx", "A 59144-2025")</f>
        <v/>
      </c>
      <c r="AC53">
        <f>HYPERLINK("https://klasma.github.io/Logging_1980/tillsyn/A 59144-2025 tillsynsbegäran.docx", "A 59144-2025")</f>
        <v/>
      </c>
      <c r="AD53">
        <f>HYPERLINK("https://klasma.github.io/Logging_1980/tillsynsmail/A 59144-2025 tillsynsbegäran mail.docx", "A 59144-2025")</f>
        <v/>
      </c>
    </row>
    <row r="54" ht="15" customHeight="1">
      <c r="A54" t="inlineStr">
        <is>
          <t>A 29787-2023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45107</v>
      </c>
      <c r="E54" s="1" t="n">
        <v>46268</v>
      </c>
      <c r="F54" t="inlineStr">
        <is>
          <t>VÄSTMANLANDS LÄN</t>
        </is>
      </c>
      <c r="G54" t="inlineStr">
        <is>
          <t>VÄSTERÅS</t>
        </is>
      </c>
      <c r="H54" t="inlineStr">
        <is>
          <t>Sveaskog</t>
        </is>
      </c>
      <c r="I54" t="n">
        <v>5.3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Kopparödla</t>
        </is>
      </c>
      <c r="W54">
        <f>HYPERLINK("https://klasma.github.io/Logging_1980/artfynd/A 29787-2023 artfynd.xlsx", "A 29787-2023")</f>
        <v/>
      </c>
      <c r="X54">
        <f>HYPERLINK("https://klasma.github.io/Logging_1980/kartor/A 29787-2023 karta.png", "A 29787-2023")</f>
        <v/>
      </c>
      <c r="Y54">
        <f>HYPERLINK("https://klasma.github.io/Logging_1980/kartor_geotiff/A 29787-2023 georefererad karta.tif", "A 29787-2023")</f>
        <v/>
      </c>
      <c r="AA54">
        <f>HYPERLINK("https://klasma.github.io/Logging_1980/klagomål/A 29787-2023 FSC-klagomål.docx", "A 29787-2023")</f>
        <v/>
      </c>
      <c r="AB54">
        <f>HYPERLINK("https://klasma.github.io/Logging_1980/klagomålsmail/A 29787-2023 FSC-klagomål mail.docx", "A 29787-2023")</f>
        <v/>
      </c>
      <c r="AC54">
        <f>HYPERLINK("https://klasma.github.io/Logging_1980/tillsyn/A 29787-2023 tillsynsbegäran.docx", "A 29787-2023")</f>
        <v/>
      </c>
      <c r="AD54">
        <f>HYPERLINK("https://klasma.github.io/Logging_1980/tillsynsmail/A 29787-2023 tillsynsbegäran mail.docx", "A 29787-2023")</f>
        <v/>
      </c>
    </row>
    <row r="55" ht="15" customHeight="1">
      <c r="A55" t="inlineStr">
        <is>
          <t>A 58395-2022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46268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Korskovall</t>
        </is>
      </c>
      <c r="W55">
        <f>HYPERLINK("https://klasma.github.io/Logging_1980/artfynd/A 58395-2022 artfynd.xlsx", "A 58395-2022")</f>
        <v/>
      </c>
      <c r="X55">
        <f>HYPERLINK("https://klasma.github.io/Logging_1980/kartor/A 58395-2022 karta.png", "A 58395-2022")</f>
        <v/>
      </c>
      <c r="Y55">
        <f>HYPERLINK("https://klasma.github.io/Logging_1980/kartor_geotiff/A 58395-2022 georefererad karta.tif", "A 58395-2022")</f>
        <v/>
      </c>
      <c r="AA55">
        <f>HYPERLINK("https://klasma.github.io/Logging_1980/klagomål/A 58395-2022 FSC-klagomål.docx", "A 58395-2022")</f>
        <v/>
      </c>
      <c r="AB55">
        <f>HYPERLINK("https://klasma.github.io/Logging_1980/klagomålsmail/A 58395-2022 FSC-klagomål mail.docx", "A 58395-2022")</f>
        <v/>
      </c>
      <c r="AC55">
        <f>HYPERLINK("https://klasma.github.io/Logging_1980/tillsyn/A 58395-2022 tillsynsbegäran.docx", "A 58395-2022")</f>
        <v/>
      </c>
      <c r="AD55">
        <f>HYPERLINK("https://klasma.github.io/Logging_1980/tillsynsmail/A 58395-2022 tillsynsbegäran mail.docx", "A 58395-2022")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46268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22378-2026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46154</v>
      </c>
      <c r="E57" s="1" t="n">
        <v>46268</v>
      </c>
      <c r="F57" t="inlineStr">
        <is>
          <t>VÄSTMANLANDS LÄN</t>
        </is>
      </c>
      <c r="G57" t="inlineStr">
        <is>
          <t>VÄSTERÅS</t>
        </is>
      </c>
      <c r="I57" t="n">
        <v>5.6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Igelkott</t>
        </is>
      </c>
      <c r="W57">
        <f>HYPERLINK("https://klasma.github.io/Logging_1980/artfynd/A 22378-2026 artfynd.xlsx", "A 22378-2026")</f>
        <v/>
      </c>
      <c r="X57">
        <f>HYPERLINK("https://klasma.github.io/Logging_1980/kartor/A 22378-2026 karta.png", "A 22378-2026")</f>
        <v/>
      </c>
      <c r="Y57">
        <f>HYPERLINK("https://klasma.github.io/Logging_1980/kartor_geotiff/A 22378-2026 georefererad karta.tif", "A 22378-2026")</f>
        <v/>
      </c>
      <c r="AA57">
        <f>HYPERLINK("https://klasma.github.io/Logging_1980/klagomål/A 22378-2026 FSC-klagomål.docx", "A 22378-2026")</f>
        <v/>
      </c>
      <c r="AB57">
        <f>HYPERLINK("https://klasma.github.io/Logging_1980/klagomålsmail/A 22378-2026 FSC-klagomål mail.docx", "A 22378-2026")</f>
        <v/>
      </c>
      <c r="AC57">
        <f>HYPERLINK("https://klasma.github.io/Logging_1980/tillsyn/A 22378-2026 tillsynsbegäran.docx", "A 22378-2026")</f>
        <v/>
      </c>
      <c r="AD57">
        <f>HYPERLINK("https://klasma.github.io/Logging_1980/tillsynsmail/A 22378-2026 tillsynsbegäran mail.docx", "A 22378-2026")</f>
        <v/>
      </c>
    </row>
    <row r="58" ht="15" customHeight="1">
      <c r="A58" t="inlineStr">
        <is>
          <t>A 31976-2026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46232</v>
      </c>
      <c r="E58" s="1" t="n">
        <v>46268</v>
      </c>
      <c r="F58" t="inlineStr">
        <is>
          <t>VÄSTMANLANDS LÄN</t>
        </is>
      </c>
      <c r="G58" t="inlineStr">
        <is>
          <t>VÄSTERÅS</t>
        </is>
      </c>
      <c r="H58" t="inlineStr">
        <is>
          <t>Övriga Aktiebolag</t>
        </is>
      </c>
      <c r="I58" t="n">
        <v>14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Rostfläck</t>
        </is>
      </c>
      <c r="W58">
        <f>HYPERLINK("https://klasma.github.io/Logging_1980/artfynd/A 31976-2026 artfynd.xlsx", "A 31976-2026")</f>
        <v/>
      </c>
      <c r="X58">
        <f>HYPERLINK("https://klasma.github.io/Logging_1980/kartor/A 31976-2026 karta.png", "A 31976-2026")</f>
        <v/>
      </c>
      <c r="Y58">
        <f>HYPERLINK("https://klasma.github.io/Logging_1980/kartor_geotiff/A 31976-2026 georefererad karta.tif", "A 31976-2026")</f>
        <v/>
      </c>
      <c r="AA58">
        <f>HYPERLINK("https://klasma.github.io/Logging_1980/klagomål/A 31976-2026 FSC-klagomål.docx", "A 31976-2026")</f>
        <v/>
      </c>
      <c r="AB58">
        <f>HYPERLINK("https://klasma.github.io/Logging_1980/klagomålsmail/A 31976-2026 FSC-klagomål mail.docx", "A 31976-2026")</f>
        <v/>
      </c>
      <c r="AC58">
        <f>HYPERLINK("https://klasma.github.io/Logging_1980/tillsyn/A 31976-2026 tillsynsbegäran.docx", "A 31976-2026")</f>
        <v/>
      </c>
      <c r="AD58">
        <f>HYPERLINK("https://klasma.github.io/Logging_1980/tillsynsmail/A 31976-2026 tillsynsbegäran mail.docx", "A 31976-2026")</f>
        <v/>
      </c>
    </row>
    <row r="59" ht="15" customHeight="1">
      <c r="A59" t="inlineStr">
        <is>
          <t>A 46189-2023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45196</v>
      </c>
      <c r="E59" s="1" t="n">
        <v>46268</v>
      </c>
      <c r="F59" t="inlineStr">
        <is>
          <t>VÄSTMANLANDS LÄN</t>
        </is>
      </c>
      <c r="G59" t="inlineStr">
        <is>
          <t>VÄSTERÅS</t>
        </is>
      </c>
      <c r="I59" t="n">
        <v>0.5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Gullviva</t>
        </is>
      </c>
      <c r="W59">
        <f>HYPERLINK("https://klasma.github.io/Logging_1980/artfynd/A 46189-2023 artfynd.xlsx", "A 46189-2023")</f>
        <v/>
      </c>
      <c r="X59">
        <f>HYPERLINK("https://klasma.github.io/Logging_1980/kartor/A 46189-2023 karta.png", "A 46189-2023")</f>
        <v/>
      </c>
      <c r="Y59">
        <f>HYPERLINK("https://klasma.github.io/Logging_1980/kartor_geotiff/A 46189-2023 georefererad karta.tif", "A 46189-2023")</f>
        <v/>
      </c>
      <c r="AA59">
        <f>HYPERLINK("https://klasma.github.io/Logging_1980/klagomål/A 46189-2023 FSC-klagomål.docx", "A 46189-2023")</f>
        <v/>
      </c>
      <c r="AB59">
        <f>HYPERLINK("https://klasma.github.io/Logging_1980/klagomålsmail/A 46189-2023 FSC-klagomål mail.docx", "A 46189-2023")</f>
        <v/>
      </c>
      <c r="AC59">
        <f>HYPERLINK("https://klasma.github.io/Logging_1980/tillsyn/A 46189-2023 tillsynsbegäran.docx", "A 46189-2023")</f>
        <v/>
      </c>
      <c r="AD59">
        <f>HYPERLINK("https://klasma.github.io/Logging_1980/tillsynsmail/A 46189-2023 tillsynsbegäran mail.docx", "A 46189-2023")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46268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59520-2024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45638</v>
      </c>
      <c r="E61" s="1" t="n">
        <v>46268</v>
      </c>
      <c r="F61" t="inlineStr">
        <is>
          <t>VÄSTMANLANDS LÄN</t>
        </is>
      </c>
      <c r="G61" t="inlineStr">
        <is>
          <t>VÄSTERÅS</t>
        </is>
      </c>
      <c r="I61" t="n">
        <v>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59520-2024 artfynd.xlsx", "A 59520-2024")</f>
        <v/>
      </c>
      <c r="X61">
        <f>HYPERLINK("https://klasma.github.io/Logging_1980/kartor/A 59520-2024 karta.png", "A 59520-2024")</f>
        <v/>
      </c>
      <c r="Y61">
        <f>HYPERLINK("https://klasma.github.io/Logging_1980/kartor_geotiff/A 59520-2024 georefererad karta.tif", "A 59520-2024")</f>
        <v/>
      </c>
      <c r="AA61">
        <f>HYPERLINK("https://klasma.github.io/Logging_1980/klagomål/A 59520-2024 FSC-klagomål.docx", "A 59520-2024")</f>
        <v/>
      </c>
      <c r="AB61">
        <f>HYPERLINK("https://klasma.github.io/Logging_1980/klagomålsmail/A 59520-2024 FSC-klagomål mail.docx", "A 59520-2024")</f>
        <v/>
      </c>
      <c r="AC61">
        <f>HYPERLINK("https://klasma.github.io/Logging_1980/tillsyn/A 59520-2024 tillsynsbegäran.docx", "A 59520-2024")</f>
        <v/>
      </c>
      <c r="AD61">
        <f>HYPERLINK("https://klasma.github.io/Logging_1980/tillsynsmail/A 59520-2024 tillsynsbegäran mail.docx", "A 59520-2024")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46268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21857-2022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44711</v>
      </c>
      <c r="E63" s="1" t="n">
        <v>46268</v>
      </c>
      <c r="F63" t="inlineStr">
        <is>
          <t>VÄSTMANLANDS LÄN</t>
        </is>
      </c>
      <c r="G63" t="inlineStr">
        <is>
          <t>VÄSTERÅS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46268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46268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46268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46268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46268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46268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46268</v>
      </c>
      <c r="F70" t="inlineStr">
        <is>
          <t>VÄSTMANLANDS LÄN</t>
        </is>
      </c>
      <c r="G70" t="inlineStr">
        <is>
          <t>VÄSTERÅS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19164-2022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46268</v>
      </c>
      <c r="F71" t="inlineStr">
        <is>
          <t>VÄSTMANLANDS LÄN</t>
        </is>
      </c>
      <c r="G71" t="inlineStr">
        <is>
          <t>VÄSTERÅS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46268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44449</v>
      </c>
      <c r="E73" s="1" t="n">
        <v>46268</v>
      </c>
      <c r="F73" t="inlineStr">
        <is>
          <t>VÄSTMANLANDS LÄN</t>
        </is>
      </c>
      <c r="G73" t="inlineStr">
        <is>
          <t>VÄSTERÅS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46268</v>
      </c>
      <c r="F74" t="inlineStr">
        <is>
          <t>VÄSTMANLANDS LÄN</t>
        </is>
      </c>
      <c r="G74" t="inlineStr">
        <is>
          <t>VÄSTERÅS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72019-2021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44540</v>
      </c>
      <c r="E75" s="1" t="n">
        <v>46268</v>
      </c>
      <c r="F75" t="inlineStr">
        <is>
          <t>VÄSTMANLANDS LÄN</t>
        </is>
      </c>
      <c r="G75" t="inlineStr">
        <is>
          <t>VÄSTERÅS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12138-2022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44636</v>
      </c>
      <c r="E76" s="1" t="n">
        <v>46268</v>
      </c>
      <c r="F76" t="inlineStr">
        <is>
          <t>VÄSTMANLANDS LÄN</t>
        </is>
      </c>
      <c r="G76" t="inlineStr">
        <is>
          <t>VÄSTERÅS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19336-2022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44692</v>
      </c>
      <c r="E77" s="1" t="n">
        <v>46268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46268</v>
      </c>
      <c r="F78" t="inlineStr">
        <is>
          <t>VÄSTMANLANDS LÄN</t>
        </is>
      </c>
      <c r="G78" t="inlineStr">
        <is>
          <t>VÄSTERÅS</t>
        </is>
      </c>
      <c r="H78" t="inlineStr">
        <is>
          <t>Sveaskog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73334-2021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44551</v>
      </c>
      <c r="E79" s="1" t="n">
        <v>46268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44722</v>
      </c>
      <c r="E80" s="1" t="n">
        <v>46268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46268</v>
      </c>
      <c r="F81" t="inlineStr">
        <is>
          <t>VÄSTMANLANDS LÄN</t>
        </is>
      </c>
      <c r="G81" t="inlineStr">
        <is>
          <t>VÄSTERÅS</t>
        </is>
      </c>
      <c r="I81" t="n">
        <v>11.3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7719-2022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44608</v>
      </c>
      <c r="E82" s="1" t="n">
        <v>46268</v>
      </c>
      <c r="F82" t="inlineStr">
        <is>
          <t>VÄSTMANLANDS LÄN</t>
        </is>
      </c>
      <c r="G82" t="inlineStr">
        <is>
          <t>VÄSTERÅS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17036-2022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44676</v>
      </c>
      <c r="E83" s="1" t="n">
        <v>46268</v>
      </c>
      <c r="F83" t="inlineStr">
        <is>
          <t>VÄSTMANLANDS LÄN</t>
        </is>
      </c>
      <c r="G83" t="inlineStr">
        <is>
          <t>VÄSTERÅS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44662</v>
      </c>
      <c r="E84" s="1" t="n">
        <v>46268</v>
      </c>
      <c r="F84" t="inlineStr">
        <is>
          <t>VÄSTMANLANDS LÄN</t>
        </is>
      </c>
      <c r="G84" t="inlineStr">
        <is>
          <t>VÄSTERÅS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46268</v>
      </c>
      <c r="F85" t="inlineStr">
        <is>
          <t>VÄSTMANLANDS LÄN</t>
        </is>
      </c>
      <c r="G85" t="inlineStr">
        <is>
          <t>VÄSTERÅS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46268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46268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46268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46268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44761</v>
      </c>
      <c r="E90" s="1" t="n">
        <v>46268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46268</v>
      </c>
      <c r="F91" t="inlineStr">
        <is>
          <t>VÄSTMANLANDS LÄN</t>
        </is>
      </c>
      <c r="G91" t="inlineStr">
        <is>
          <t>VÄSTERÅS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46268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44671</v>
      </c>
      <c r="E93" s="1" t="n">
        <v>46268</v>
      </c>
      <c r="F93" t="inlineStr">
        <is>
          <t>VÄSTMANLANDS LÄN</t>
        </is>
      </c>
      <c r="G93" t="inlineStr">
        <is>
          <t>VÄSTERÅS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46268</v>
      </c>
      <c r="F94" t="inlineStr">
        <is>
          <t>VÄSTMANLANDS LÄN</t>
        </is>
      </c>
      <c r="G94" t="inlineStr">
        <is>
          <t>VÄSTERÅS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55676-2023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45232</v>
      </c>
      <c r="E95" s="1" t="n">
        <v>46268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37.9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73601-2021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44552</v>
      </c>
      <c r="E96" s="1" t="n">
        <v>46268</v>
      </c>
      <c r="F96" t="inlineStr">
        <is>
          <t>VÄSTMANLANDS LÄN</t>
        </is>
      </c>
      <c r="G96" t="inlineStr">
        <is>
          <t>VÄSTERÅS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42257-2023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45180</v>
      </c>
      <c r="E97" s="1" t="n">
        <v>46268</v>
      </c>
      <c r="F97" t="inlineStr">
        <is>
          <t>VÄSTMANLANDS LÄN</t>
        </is>
      </c>
      <c r="G97" t="inlineStr">
        <is>
          <t>VÄSTERÅS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44847</v>
      </c>
      <c r="E98" s="1" t="n">
        <v>46268</v>
      </c>
      <c r="F98" t="inlineStr">
        <is>
          <t>VÄSTMANLANDS LÄN</t>
        </is>
      </c>
      <c r="G98" t="inlineStr">
        <is>
          <t>VÄSTERÅS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55684-2023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45232</v>
      </c>
      <c r="E99" s="1" t="n">
        <v>46268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29.4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46268</v>
      </c>
      <c r="F100" t="inlineStr">
        <is>
          <t>VÄSTMANLANDS LÄN</t>
        </is>
      </c>
      <c r="G100" t="inlineStr">
        <is>
          <t>VÄSTERÅS</t>
        </is>
      </c>
      <c r="I100" t="n">
        <v>5.6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46268</v>
      </c>
      <c r="F101" t="inlineStr">
        <is>
          <t>VÄSTMANLANDS LÄN</t>
        </is>
      </c>
      <c r="G101" t="inlineStr">
        <is>
          <t>VÄSTERÅS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45110</v>
      </c>
      <c r="E102" s="1" t="n">
        <v>46268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Sveaskog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44610</v>
      </c>
      <c r="E103" s="1" t="n">
        <v>46268</v>
      </c>
      <c r="F103" t="inlineStr">
        <is>
          <t>VÄSTMANLANDS LÄN</t>
        </is>
      </c>
      <c r="G103" t="inlineStr">
        <is>
          <t>VÄSTERÅS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74314-2021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44559</v>
      </c>
      <c r="E104" s="1" t="n">
        <v>46268</v>
      </c>
      <c r="F104" t="inlineStr">
        <is>
          <t>VÄSTMANLANDS LÄN</t>
        </is>
      </c>
      <c r="G104" t="inlineStr">
        <is>
          <t>VÄSTERÅS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8346-2022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44610</v>
      </c>
      <c r="E105" s="1" t="n">
        <v>46268</v>
      </c>
      <c r="F105" t="inlineStr">
        <is>
          <t>VÄSTMANLANDS LÄN</t>
        </is>
      </c>
      <c r="G105" t="inlineStr">
        <is>
          <t>VÄSTERÅS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15355-2023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46268</v>
      </c>
      <c r="F106" t="inlineStr">
        <is>
          <t>VÄSTMANLANDS LÄN</t>
        </is>
      </c>
      <c r="G106" t="inlineStr">
        <is>
          <t>VÄSTERÅS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59740-2024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45639</v>
      </c>
      <c r="E107" s="1" t="n">
        <v>46268</v>
      </c>
      <c r="F107" t="inlineStr">
        <is>
          <t>VÄSTMANLANDS LÄN</t>
        </is>
      </c>
      <c r="G107" t="inlineStr">
        <is>
          <t>VÄSTERÅS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46268</v>
      </c>
      <c r="F108" t="inlineStr">
        <is>
          <t>VÄSTMANLANDS LÄN</t>
        </is>
      </c>
      <c r="G108" t="inlineStr">
        <is>
          <t>VÄSTERÅS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44961</v>
      </c>
      <c r="E109" s="1" t="n">
        <v>46268</v>
      </c>
      <c r="F109" t="inlineStr">
        <is>
          <t>VÄSTMANLANDS LÄN</t>
        </is>
      </c>
      <c r="G109" t="inlineStr">
        <is>
          <t>VÄSTERÅS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22832-2023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45072</v>
      </c>
      <c r="E110" s="1" t="n">
        <v>46268</v>
      </c>
      <c r="F110" t="inlineStr">
        <is>
          <t>VÄSTMANLANDS LÄN</t>
        </is>
      </c>
      <c r="G110" t="inlineStr">
        <is>
          <t>VÄSTERÅS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46268</v>
      </c>
      <c r="F111" t="inlineStr">
        <is>
          <t>VÄSTMANLANDS LÄN</t>
        </is>
      </c>
      <c r="G111" t="inlineStr">
        <is>
          <t>VÄSTERÅS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45705</v>
      </c>
      <c r="E112" s="1" t="n">
        <v>46268</v>
      </c>
      <c r="F112" t="inlineStr">
        <is>
          <t>VÄSTMANLANDS LÄN</t>
        </is>
      </c>
      <c r="G112" t="inlineStr">
        <is>
          <t>VÄSTERÅS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10912-2024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45370</v>
      </c>
      <c r="E113" s="1" t="n">
        <v>46268</v>
      </c>
      <c r="F113" t="inlineStr">
        <is>
          <t>VÄSTMANLANDS LÄN</t>
        </is>
      </c>
      <c r="G113" t="inlineStr">
        <is>
          <t>VÄSTERÅS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15329-2023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46268</v>
      </c>
      <c r="F114" t="inlineStr">
        <is>
          <t>VÄSTMANLANDS LÄN</t>
        </is>
      </c>
      <c r="G114" t="inlineStr">
        <is>
          <t>VÄSTERÅS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51951-2023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45223</v>
      </c>
      <c r="E115" s="1" t="n">
        <v>46268</v>
      </c>
      <c r="F115" t="inlineStr">
        <is>
          <t>VÄSTMANLANDS LÄN</t>
        </is>
      </c>
      <c r="G115" t="inlineStr">
        <is>
          <t>VÄSTERÅS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56945-2024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45628</v>
      </c>
      <c r="E116" s="1" t="n">
        <v>46268</v>
      </c>
      <c r="F116" t="inlineStr">
        <is>
          <t>VÄSTMANLANDS LÄN</t>
        </is>
      </c>
      <c r="G116" t="inlineStr">
        <is>
          <t>VÄSTERÅS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24546-2025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45798</v>
      </c>
      <c r="E117" s="1" t="n">
        <v>46268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45638</v>
      </c>
      <c r="E118" s="1" t="n">
        <v>46268</v>
      </c>
      <c r="F118" t="inlineStr">
        <is>
          <t>VÄSTMANLANDS LÄN</t>
        </is>
      </c>
      <c r="G118" t="inlineStr">
        <is>
          <t>VÄSTERÅS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23455-2024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45453</v>
      </c>
      <c r="E119" s="1" t="n">
        <v>46268</v>
      </c>
      <c r="F119" t="inlineStr">
        <is>
          <t>VÄSTMANLANDS LÄN</t>
        </is>
      </c>
      <c r="G119" t="inlineStr">
        <is>
          <t>VÄSTERÅS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46030</v>
      </c>
      <c r="E120" s="1" t="n">
        <v>46268</v>
      </c>
      <c r="F120" t="inlineStr">
        <is>
          <t>VÄSTMANLANDS LÄN</t>
        </is>
      </c>
      <c r="G120" t="inlineStr">
        <is>
          <t>VÄSTERÅS</t>
        </is>
      </c>
      <c r="H120" t="inlineStr">
        <is>
          <t>Allmännings- och besparingsskogar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46268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46268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46268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46268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56076-2023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45235</v>
      </c>
      <c r="E125" s="1" t="n">
        <v>46268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Övriga Aktiebolag</t>
        </is>
      </c>
      <c r="I125" t="n">
        <v>37.8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45603</v>
      </c>
      <c r="E126" s="1" t="n">
        <v>46268</v>
      </c>
      <c r="F126" t="inlineStr">
        <is>
          <t>VÄSTMANLANDS LÄN</t>
        </is>
      </c>
      <c r="G126" t="inlineStr">
        <is>
          <t>VÄSTERÅS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46268</v>
      </c>
      <c r="F127" t="inlineStr">
        <is>
          <t>VÄSTMANLANDS LÄN</t>
        </is>
      </c>
      <c r="G127" t="inlineStr">
        <is>
          <t>VÄSTERÅS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49232-2024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45595</v>
      </c>
      <c r="E128" s="1" t="n">
        <v>46268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Övriga Aktiebolag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8541-2023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46268</v>
      </c>
      <c r="F129" t="inlineStr">
        <is>
          <t>VÄSTMANLANDS LÄN</t>
        </is>
      </c>
      <c r="G129" t="inlineStr">
        <is>
          <t>VÄSTERÅS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11137-2023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44987</v>
      </c>
      <c r="E130" s="1" t="n">
        <v>46268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45617</v>
      </c>
      <c r="E131" s="1" t="n">
        <v>46268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46268</v>
      </c>
      <c r="F132" t="inlineStr">
        <is>
          <t>VÄSTMANLANDS LÄN</t>
        </is>
      </c>
      <c r="G132" t="inlineStr">
        <is>
          <t>VÄSTERÅS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31569-2025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46268</v>
      </c>
      <c r="F133" t="inlineStr">
        <is>
          <t>VÄSTMANLANDS LÄN</t>
        </is>
      </c>
      <c r="G133" t="inlineStr">
        <is>
          <t>VÄSTERÅS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64207-2023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45279</v>
      </c>
      <c r="E134" s="1" t="n">
        <v>46268</v>
      </c>
      <c r="F134" t="inlineStr">
        <is>
          <t>VÄSTMANLANDS LÄN</t>
        </is>
      </c>
      <c r="G134" t="inlineStr">
        <is>
          <t>VÄSTERÅS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24121-2024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45456</v>
      </c>
      <c r="E135" s="1" t="n">
        <v>46268</v>
      </c>
      <c r="F135" t="inlineStr">
        <is>
          <t>VÄSTMANLANDS LÄN</t>
        </is>
      </c>
      <c r="G135" t="inlineStr">
        <is>
          <t>VÄSTERÅS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44635</v>
      </c>
      <c r="E136" s="1" t="n">
        <v>46268</v>
      </c>
      <c r="F136" t="inlineStr">
        <is>
          <t>VÄSTMANLANDS LÄN</t>
        </is>
      </c>
      <c r="G136" t="inlineStr">
        <is>
          <t>VÄSTERÅS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42894-2025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45908</v>
      </c>
      <c r="E137" s="1" t="n">
        <v>46268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42899-2025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46268</v>
      </c>
      <c r="F138" t="inlineStr">
        <is>
          <t>VÄSTMANLANDS LÄN</t>
        </is>
      </c>
      <c r="G138" t="inlineStr">
        <is>
          <t>VÄSTERÅS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46268</v>
      </c>
      <c r="F139" t="inlineStr">
        <is>
          <t>VÄSTMANLANDS LÄN</t>
        </is>
      </c>
      <c r="G139" t="inlineStr">
        <is>
          <t>VÄSTERÅS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46268</v>
      </c>
      <c r="F140" t="inlineStr">
        <is>
          <t>VÄSTMANLANDS LÄN</t>
        </is>
      </c>
      <c r="G140" t="inlineStr">
        <is>
          <t>VÄSTERÅS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45516</v>
      </c>
      <c r="E141" s="1" t="n">
        <v>46268</v>
      </c>
      <c r="F141" t="inlineStr">
        <is>
          <t>VÄSTMANLANDS LÄN</t>
        </is>
      </c>
      <c r="G141" t="inlineStr">
        <is>
          <t>VÄSTERÅS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53836-2022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44880</v>
      </c>
      <c r="E142" s="1" t="n">
        <v>46268</v>
      </c>
      <c r="F142" t="inlineStr">
        <is>
          <t>VÄSTMANLANDS LÄN</t>
        </is>
      </c>
      <c r="G142" t="inlineStr">
        <is>
          <t>VÄSTERÅS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53833-2022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44880</v>
      </c>
      <c r="E143" s="1" t="n">
        <v>46268</v>
      </c>
      <c r="F143" t="inlineStr">
        <is>
          <t>VÄSTMANLANDS LÄN</t>
        </is>
      </c>
      <c r="G143" t="inlineStr">
        <is>
          <t>VÄSTERÅS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31361-2025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45833</v>
      </c>
      <c r="E144" s="1" t="n">
        <v>46268</v>
      </c>
      <c r="F144" t="inlineStr">
        <is>
          <t>VÄSTMANLANDS LÄN</t>
        </is>
      </c>
      <c r="G144" t="inlineStr">
        <is>
          <t>VÄSTERÅS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31578-2025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45833</v>
      </c>
      <c r="E145" s="1" t="n">
        <v>46268</v>
      </c>
      <c r="F145" t="inlineStr">
        <is>
          <t>VÄSTMANLANDS LÄN</t>
        </is>
      </c>
      <c r="G145" t="inlineStr">
        <is>
          <t>VÄSTERÅS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45125</v>
      </c>
      <c r="E146" s="1" t="n">
        <v>46268</v>
      </c>
      <c r="F146" t="inlineStr">
        <is>
          <t>VÄSTMANLANDS LÄN</t>
        </is>
      </c>
      <c r="G146" t="inlineStr">
        <is>
          <t>VÄSTERÅS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27722-2022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44743</v>
      </c>
      <c r="E147" s="1" t="n">
        <v>46268</v>
      </c>
      <c r="F147" t="inlineStr">
        <is>
          <t>VÄSTMANLANDS LÄN</t>
        </is>
      </c>
      <c r="G147" t="inlineStr">
        <is>
          <t>VÄSTERÅS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64208-2023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46268</v>
      </c>
      <c r="F148" t="inlineStr">
        <is>
          <t>VÄSTMANLANDS LÄN</t>
        </is>
      </c>
      <c r="G148" t="inlineStr">
        <is>
          <t>VÄSTERÅS</t>
        </is>
      </c>
      <c r="I148" t="n">
        <v>13.9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46799-2025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46268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39127-2022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44816</v>
      </c>
      <c r="E150" s="1" t="n">
        <v>46268</v>
      </c>
      <c r="F150" t="inlineStr">
        <is>
          <t>VÄSTMANLANDS LÄN</t>
        </is>
      </c>
      <c r="G150" t="inlineStr">
        <is>
          <t>VÄSTERÅS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32053-2023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46268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Sveaskog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44645</v>
      </c>
      <c r="E152" s="1" t="n">
        <v>46268</v>
      </c>
      <c r="F152" t="inlineStr">
        <is>
          <t>VÄSTMANLANDS LÄN</t>
        </is>
      </c>
      <c r="G152" t="inlineStr">
        <is>
          <t>VÄSTERÅS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44648</v>
      </c>
      <c r="E153" s="1" t="n">
        <v>46268</v>
      </c>
      <c r="F153" t="inlineStr">
        <is>
          <t>VÄSTMANLANDS LÄN</t>
        </is>
      </c>
      <c r="G153" t="inlineStr">
        <is>
          <t>VÄSTERÅS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45832</v>
      </c>
      <c r="E154" s="1" t="n">
        <v>46268</v>
      </c>
      <c r="F154" t="inlineStr">
        <is>
          <t>VÄSTMANLANDS LÄN</t>
        </is>
      </c>
      <c r="G154" t="inlineStr">
        <is>
          <t>VÄSTERÅS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46268</v>
      </c>
      <c r="F155" t="inlineStr">
        <is>
          <t>VÄSTMANLANDS LÄN</t>
        </is>
      </c>
      <c r="G155" t="inlineStr">
        <is>
          <t>VÄSTERÅS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46268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45945</v>
      </c>
      <c r="E157" s="1" t="n">
        <v>46268</v>
      </c>
      <c r="F157" t="inlineStr">
        <is>
          <t>VÄSTMANLANDS LÄN</t>
        </is>
      </c>
      <c r="G157" t="inlineStr">
        <is>
          <t>VÄSTERÅS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11983-2022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46268</v>
      </c>
      <c r="F158" t="inlineStr">
        <is>
          <t>VÄSTMANLANDS LÄN</t>
        </is>
      </c>
      <c r="G158" t="inlineStr">
        <is>
          <t>VÄSTERÅS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11989-2022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46268</v>
      </c>
      <c r="F159" t="inlineStr">
        <is>
          <t>VÄSTMANLANDS LÄN</t>
        </is>
      </c>
      <c r="G159" t="inlineStr">
        <is>
          <t>VÄSTERÅS</t>
        </is>
      </c>
      <c r="I159" t="n">
        <v>12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51200-2025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45947</v>
      </c>
      <c r="E160" s="1" t="n">
        <v>46268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Övriga statliga verk och myndigheter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46268</v>
      </c>
      <c r="F161" t="inlineStr">
        <is>
          <t>VÄSTMANLANDS LÄN</t>
        </is>
      </c>
      <c r="G161" t="inlineStr">
        <is>
          <t>VÄSTERÅS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46268</v>
      </c>
      <c r="F162" t="inlineStr">
        <is>
          <t>VÄSTMANLANDS LÄN</t>
        </is>
      </c>
      <c r="G162" t="inlineStr">
        <is>
          <t>VÄSTERÅS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7797-2026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46062</v>
      </c>
      <c r="E163" s="1" t="n">
        <v>46268</v>
      </c>
      <c r="F163" t="inlineStr">
        <is>
          <t>VÄSTMANLANDS LÄN</t>
        </is>
      </c>
      <c r="G163" t="inlineStr">
        <is>
          <t>VÄSTERÅS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59765-2023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45257</v>
      </c>
      <c r="E164" s="1" t="n">
        <v>46268</v>
      </c>
      <c r="F164" t="inlineStr">
        <is>
          <t>VÄSTMANLANDS LÄN</t>
        </is>
      </c>
      <c r="G164" t="inlineStr">
        <is>
          <t>VÄSTERÅS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46268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44908</v>
      </c>
      <c r="E166" s="1" t="n">
        <v>46268</v>
      </c>
      <c r="F166" t="inlineStr">
        <is>
          <t>VÄSTMANLANDS LÄN</t>
        </is>
      </c>
      <c r="G166" t="inlineStr">
        <is>
          <t>VÄSTERÅS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41344-2023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45174</v>
      </c>
      <c r="E167" s="1" t="n">
        <v>46268</v>
      </c>
      <c r="F167" t="inlineStr">
        <is>
          <t>VÄSTMANLANDS LÄN</t>
        </is>
      </c>
      <c r="G167" t="inlineStr">
        <is>
          <t>VÄSTERÅS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45979</v>
      </c>
      <c r="E168" s="1" t="n">
        <v>46268</v>
      </c>
      <c r="F168" t="inlineStr">
        <is>
          <t>VÄSTMANLANDS LÄN</t>
        </is>
      </c>
      <c r="G168" t="inlineStr">
        <is>
          <t>VÄSTERÅS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46268</v>
      </c>
      <c r="F169" t="inlineStr">
        <is>
          <t>VÄSTMANLANDS LÄN</t>
        </is>
      </c>
      <c r="G169" t="inlineStr">
        <is>
          <t>VÄSTERÅS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16035-2023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45027</v>
      </c>
      <c r="E170" s="1" t="n">
        <v>46268</v>
      </c>
      <c r="F170" t="inlineStr">
        <is>
          <t>VÄSTMANLANDS LÄN</t>
        </is>
      </c>
      <c r="G170" t="inlineStr">
        <is>
          <t>VÄSTERÅS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46268</v>
      </c>
      <c r="F171" t="inlineStr">
        <is>
          <t>VÄSTMANLANDS LÄN</t>
        </is>
      </c>
      <c r="G171" t="inlineStr">
        <is>
          <t>VÄSTERÅS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44825</v>
      </c>
      <c r="E172" s="1" t="n">
        <v>46268</v>
      </c>
      <c r="F172" t="inlineStr">
        <is>
          <t>VÄSTMANLANDS LÄN</t>
        </is>
      </c>
      <c r="G172" t="inlineStr">
        <is>
          <t>VÄSTERÅS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52027-2025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45952</v>
      </c>
      <c r="E173" s="1" t="n">
        <v>46268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Övriga statliga verk och myndigheter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11072-2026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46268</v>
      </c>
      <c r="F174" t="inlineStr">
        <is>
          <t>VÄSTMANLANDS LÄN</t>
        </is>
      </c>
      <c r="G174" t="inlineStr">
        <is>
          <t>VÄSTERÅS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52015-2024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45607</v>
      </c>
      <c r="E175" s="1" t="n">
        <v>46268</v>
      </c>
      <c r="F175" t="inlineStr">
        <is>
          <t>VÄSTMANLANDS LÄN</t>
        </is>
      </c>
      <c r="G175" t="inlineStr">
        <is>
          <t>VÄSTERÅS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46084</v>
      </c>
      <c r="E176" s="1" t="n">
        <v>46268</v>
      </c>
      <c r="F176" t="inlineStr">
        <is>
          <t>VÄSTMANLANDS LÄN</t>
        </is>
      </c>
      <c r="G176" t="inlineStr">
        <is>
          <t>VÄSTERÅS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44594</v>
      </c>
      <c r="E177" s="1" t="n">
        <v>46268</v>
      </c>
      <c r="F177" t="inlineStr">
        <is>
          <t>VÄSTMANLANDS LÄN</t>
        </is>
      </c>
      <c r="G177" t="inlineStr">
        <is>
          <t>VÄSTERÅS</t>
        </is>
      </c>
      <c r="I177" t="n">
        <v>20.3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12649-2023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44999</v>
      </c>
      <c r="E178" s="1" t="n">
        <v>46268</v>
      </c>
      <c r="F178" t="inlineStr">
        <is>
          <t>VÄSTMANLANDS LÄN</t>
        </is>
      </c>
      <c r="G178" t="inlineStr">
        <is>
          <t>VÄSTERÅS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11739-2026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46084</v>
      </c>
      <c r="E179" s="1" t="n">
        <v>46268</v>
      </c>
      <c r="F179" t="inlineStr">
        <is>
          <t>VÄSTMANLANDS LÄN</t>
        </is>
      </c>
      <c r="G179" t="inlineStr">
        <is>
          <t>VÄSTERÅS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10870-2026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46078</v>
      </c>
      <c r="E180" s="1" t="n">
        <v>46268</v>
      </c>
      <c r="F180" t="inlineStr">
        <is>
          <t>VÄSTMANLANDS LÄN</t>
        </is>
      </c>
      <c r="G180" t="inlineStr">
        <is>
          <t>VÄSTERÅS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11520-2026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46083</v>
      </c>
      <c r="E181" s="1" t="n">
        <v>46268</v>
      </c>
      <c r="F181" t="inlineStr">
        <is>
          <t>VÄSTMANLANDS LÄN</t>
        </is>
      </c>
      <c r="G181" t="inlineStr">
        <is>
          <t>VÄSTERÅS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59142-2025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46268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45219</v>
      </c>
      <c r="E183" s="1" t="n">
        <v>46268</v>
      </c>
      <c r="F183" t="inlineStr">
        <is>
          <t>VÄSTMANLANDS LÄN</t>
        </is>
      </c>
      <c r="G183" t="inlineStr">
        <is>
          <t>VÄSTERÅS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5123-2023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46268</v>
      </c>
      <c r="F184" t="inlineStr">
        <is>
          <t>VÄSTMANLANDS LÄN</t>
        </is>
      </c>
      <c r="G184" t="inlineStr">
        <is>
          <t>VÄSTERÅS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44582</v>
      </c>
      <c r="E185" s="1" t="n">
        <v>46268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Övriga Aktiebolag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38381-2022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44812</v>
      </c>
      <c r="E186" s="1" t="n">
        <v>46268</v>
      </c>
      <c r="F186" t="inlineStr">
        <is>
          <t>VÄSTMANLANDS LÄN</t>
        </is>
      </c>
      <c r="G186" t="inlineStr">
        <is>
          <t>VÄSTERÅS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44600</v>
      </c>
      <c r="E187" s="1" t="n">
        <v>46268</v>
      </c>
      <c r="F187" t="inlineStr">
        <is>
          <t>VÄSTMANLANDS LÄN</t>
        </is>
      </c>
      <c r="G187" t="inlineStr">
        <is>
          <t>VÄSTERÅS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17258-2024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45414</v>
      </c>
      <c r="E188" s="1" t="n">
        <v>46268</v>
      </c>
      <c r="F188" t="inlineStr">
        <is>
          <t>VÄSTMANLANDS LÄN</t>
        </is>
      </c>
      <c r="G188" t="inlineStr">
        <is>
          <t>VÄSTERÅS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18465-2023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45042</v>
      </c>
      <c r="E189" s="1" t="n">
        <v>46268</v>
      </c>
      <c r="F189" t="inlineStr">
        <is>
          <t>VÄSTMANLANDS LÄN</t>
        </is>
      </c>
      <c r="G189" t="inlineStr">
        <is>
          <t>VÄSTERÅS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64202-2023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45279</v>
      </c>
      <c r="E190" s="1" t="n">
        <v>46268</v>
      </c>
      <c r="F190" t="inlineStr">
        <is>
          <t>VÄSTMANLANDS LÄN</t>
        </is>
      </c>
      <c r="G190" t="inlineStr">
        <is>
          <t>VÄSTERÅS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14885-2026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46268</v>
      </c>
      <c r="F191" t="inlineStr">
        <is>
          <t>VÄSTMANLANDS LÄN</t>
        </is>
      </c>
      <c r="G191" t="inlineStr">
        <is>
          <t>VÄSTERÅS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45553</v>
      </c>
      <c r="E192" s="1" t="n">
        <v>46268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Kyrkan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38436-2023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46268</v>
      </c>
      <c r="F193" t="inlineStr">
        <is>
          <t>VÄSTMANLANDS LÄN</t>
        </is>
      </c>
      <c r="G193" t="inlineStr">
        <is>
          <t>VÄSTERÅS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15316-2022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44659</v>
      </c>
      <c r="E194" s="1" t="n">
        <v>46268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44595</v>
      </c>
      <c r="E195" s="1" t="n">
        <v>46268</v>
      </c>
      <c r="F195" t="inlineStr">
        <is>
          <t>VÄSTMANLANDS LÄN</t>
        </is>
      </c>
      <c r="G195" t="inlineStr">
        <is>
          <t>VÄSTERÅS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46112</v>
      </c>
      <c r="E196" s="1" t="n">
        <v>46268</v>
      </c>
      <c r="F196" t="inlineStr">
        <is>
          <t>VÄSTMANLANDS LÄN</t>
        </is>
      </c>
      <c r="G196" t="inlineStr">
        <is>
          <t>VÄSTERÅS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16582-2026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46112</v>
      </c>
      <c r="E197" s="1" t="n">
        <v>46268</v>
      </c>
      <c r="F197" t="inlineStr">
        <is>
          <t>VÄSTMANLANDS LÄN</t>
        </is>
      </c>
      <c r="G197" t="inlineStr">
        <is>
          <t>VÄSTERÅS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46112</v>
      </c>
      <c r="E198" s="1" t="n">
        <v>46268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Sveaskog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16579-2026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46268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16671-2026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46112</v>
      </c>
      <c r="E200" s="1" t="n">
        <v>46268</v>
      </c>
      <c r="F200" t="inlineStr">
        <is>
          <t>VÄSTMANLANDS LÄN</t>
        </is>
      </c>
      <c r="G200" t="inlineStr">
        <is>
          <t>VÄSTERÅS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46268</v>
      </c>
      <c r="F201" t="inlineStr">
        <is>
          <t>VÄSTMANLANDS LÄN</t>
        </is>
      </c>
      <c r="G201" t="inlineStr">
        <is>
          <t>VÄSTERÅS</t>
        </is>
      </c>
      <c r="H201" t="inlineStr">
        <is>
          <t>Allmännings- och besparingsskogar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46268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Kommuner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19791-2026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46268</v>
      </c>
      <c r="F203" t="inlineStr">
        <is>
          <t>VÄSTMANLANDS LÄN</t>
        </is>
      </c>
      <c r="G203" t="inlineStr">
        <is>
          <t>VÄSTERÅS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63851-2021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44509</v>
      </c>
      <c r="E204" s="1" t="n">
        <v>46268</v>
      </c>
      <c r="F204" t="inlineStr">
        <is>
          <t>VÄSTMANLANDS LÄN</t>
        </is>
      </c>
      <c r="G204" t="inlineStr">
        <is>
          <t>VÄSTERÅS</t>
        </is>
      </c>
      <c r="I204" t="n">
        <v>11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23641-2023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45077</v>
      </c>
      <c r="E205" s="1" t="n">
        <v>46268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46268</v>
      </c>
      <c r="F206" t="inlineStr">
        <is>
          <t>VÄSTMANLANDS LÄN</t>
        </is>
      </c>
      <c r="G206" t="inlineStr">
        <is>
          <t>VÄSTERÅS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18457-2023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45042</v>
      </c>
      <c r="E207" s="1" t="n">
        <v>46268</v>
      </c>
      <c r="F207" t="inlineStr">
        <is>
          <t>VÄSTMANLANDS LÄN</t>
        </is>
      </c>
      <c r="G207" t="inlineStr">
        <is>
          <t>VÄSTERÅS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22978-2022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44717</v>
      </c>
      <c r="E208" s="1" t="n">
        <v>46268</v>
      </c>
      <c r="F208" t="inlineStr">
        <is>
          <t>VÄSTMANLANDS LÄN</t>
        </is>
      </c>
      <c r="G208" t="inlineStr">
        <is>
          <t>VÄSTERÅS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45929</v>
      </c>
      <c r="E209" s="1" t="n">
        <v>46268</v>
      </c>
      <c r="F209" t="inlineStr">
        <is>
          <t>VÄSTMANLANDS LÄN</t>
        </is>
      </c>
      <c r="G209" t="inlineStr">
        <is>
          <t>VÄSTERÅS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46268</v>
      </c>
      <c r="F210" t="inlineStr">
        <is>
          <t>VÄSTMANLANDS LÄN</t>
        </is>
      </c>
      <c r="G210" t="inlineStr">
        <is>
          <t>VÄSTERÅS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19927-2026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46136</v>
      </c>
      <c r="E211" s="1" t="n">
        <v>46268</v>
      </c>
      <c r="F211" t="inlineStr">
        <is>
          <t>VÄSTMANLANDS LÄN</t>
        </is>
      </c>
      <c r="G211" t="inlineStr">
        <is>
          <t>VÄSTERÅS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17725-2022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44680</v>
      </c>
      <c r="E212" s="1" t="n">
        <v>46268</v>
      </c>
      <c r="F212" t="inlineStr">
        <is>
          <t>VÄSTMANLANDS LÄN</t>
        </is>
      </c>
      <c r="G212" t="inlineStr">
        <is>
          <t>VÄSTERÅS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46268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46268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56902-2024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45628</v>
      </c>
      <c r="E215" s="1" t="n">
        <v>46268</v>
      </c>
      <c r="F215" t="inlineStr">
        <is>
          <t>VÄSTMANLANDS LÄN</t>
        </is>
      </c>
      <c r="G215" t="inlineStr">
        <is>
          <t>VÄSTERÅS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21926-2024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45443</v>
      </c>
      <c r="E216" s="1" t="n">
        <v>46268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44986</v>
      </c>
      <c r="E217" s="1" t="n">
        <v>46268</v>
      </c>
      <c r="F217" t="inlineStr">
        <is>
          <t>VÄSTMANLANDS LÄN</t>
        </is>
      </c>
      <c r="G217" t="inlineStr">
        <is>
          <t>VÄSTERÅS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57873-2022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44899</v>
      </c>
      <c r="E218" s="1" t="n">
        <v>46268</v>
      </c>
      <c r="F218" t="inlineStr">
        <is>
          <t>VÄSTMANLANDS LÄN</t>
        </is>
      </c>
      <c r="G218" t="inlineStr">
        <is>
          <t>VÄSTERÅS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15350-2023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45019</v>
      </c>
      <c r="E219" s="1" t="n">
        <v>46268</v>
      </c>
      <c r="F219" t="inlineStr">
        <is>
          <t>VÄSTMANLANDS LÄN</t>
        </is>
      </c>
      <c r="G219" t="inlineStr">
        <is>
          <t>VÄSTERÅS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22370-2026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46154</v>
      </c>
      <c r="E220" s="1" t="n">
        <v>46268</v>
      </c>
      <c r="F220" t="inlineStr">
        <is>
          <t>VÄSTMANLANDS LÄN</t>
        </is>
      </c>
      <c r="G220" t="inlineStr">
        <is>
          <t>VÄSTERÅS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22291-2026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46154</v>
      </c>
      <c r="E221" s="1" t="n">
        <v>46268</v>
      </c>
      <c r="F221" t="inlineStr">
        <is>
          <t>VÄSTMANLANDS LÄN</t>
        </is>
      </c>
      <c r="G221" t="inlineStr">
        <is>
          <t>VÄSTERÅS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12143-2022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44636</v>
      </c>
      <c r="E222" s="1" t="n">
        <v>46268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Kommuner</t>
        </is>
      </c>
      <c r="I222" t="n">
        <v>12.9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12148-2022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44636</v>
      </c>
      <c r="E223" s="1" t="n">
        <v>46268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Kommuner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22293-2026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46154</v>
      </c>
      <c r="E224" s="1" t="n">
        <v>46268</v>
      </c>
      <c r="F224" t="inlineStr">
        <is>
          <t>VÄSTMANLANDS LÄN</t>
        </is>
      </c>
      <c r="G224" t="inlineStr">
        <is>
          <t>VÄSTERÅS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44695-2022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44840</v>
      </c>
      <c r="E225" s="1" t="n">
        <v>46268</v>
      </c>
      <c r="F225" t="inlineStr">
        <is>
          <t>VÄSTMANLANDS LÄN</t>
        </is>
      </c>
      <c r="G225" t="inlineStr">
        <is>
          <t>VÄSTERÅS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44574</v>
      </c>
      <c r="E226" s="1" t="n">
        <v>46268</v>
      </c>
      <c r="F226" t="inlineStr">
        <is>
          <t>VÄSTMANLANDS LÄN</t>
        </is>
      </c>
      <c r="G226" t="inlineStr">
        <is>
          <t>VÄSTERÅS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56532-2022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46268</v>
      </c>
      <c r="F227" t="inlineStr">
        <is>
          <t>VÄSTMANLANDS LÄN</t>
        </is>
      </c>
      <c r="G227" t="inlineStr">
        <is>
          <t>VÄSTERÅS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15889-2022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46268</v>
      </c>
      <c r="F228" t="inlineStr">
        <is>
          <t>VÄSTMANLANDS LÄN</t>
        </is>
      </c>
      <c r="G228" t="inlineStr">
        <is>
          <t>VÄSTERÅS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18119-2025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45761</v>
      </c>
      <c r="E229" s="1" t="n">
        <v>46268</v>
      </c>
      <c r="F229" t="inlineStr">
        <is>
          <t>VÄSTMANLANDS LÄN</t>
        </is>
      </c>
      <c r="G229" t="inlineStr">
        <is>
          <t>VÄSTERÅS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23347-2026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46268</v>
      </c>
      <c r="F230" t="inlineStr">
        <is>
          <t>VÄSTMANLANDS LÄN</t>
        </is>
      </c>
      <c r="G230" t="inlineStr">
        <is>
          <t>VÄSTERÅS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23497-2026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46268</v>
      </c>
      <c r="F231" t="inlineStr">
        <is>
          <t>VÄSTMANLANDS LÄN</t>
        </is>
      </c>
      <c r="G231" t="inlineStr">
        <is>
          <t>VÄSTERÅS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46268</v>
      </c>
      <c r="F232" t="inlineStr">
        <is>
          <t>VÄSTMANLANDS LÄN</t>
        </is>
      </c>
      <c r="G232" t="inlineStr">
        <is>
          <t>VÄSTERÅS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24262-2026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46268</v>
      </c>
      <c r="F233" t="inlineStr">
        <is>
          <t>VÄSTMANLANDS LÄN</t>
        </is>
      </c>
      <c r="G233" t="inlineStr">
        <is>
          <t>VÄSTERÅS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32341-2023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45110</v>
      </c>
      <c r="E234" s="1" t="n">
        <v>46268</v>
      </c>
      <c r="F234" t="inlineStr">
        <is>
          <t>VÄSTMANLANDS LÄN</t>
        </is>
      </c>
      <c r="G234" t="inlineStr">
        <is>
          <t>VÄSTERÅS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15330-2023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45019</v>
      </c>
      <c r="E235" s="1" t="n">
        <v>46268</v>
      </c>
      <c r="F235" t="inlineStr">
        <is>
          <t>VÄSTMANLANDS LÄN</t>
        </is>
      </c>
      <c r="G235" t="inlineStr">
        <is>
          <t>VÄSTERÅS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46268</v>
      </c>
      <c r="F236" t="inlineStr">
        <is>
          <t>VÄSTMANLANDS LÄN</t>
        </is>
      </c>
      <c r="G236" t="inlineStr">
        <is>
          <t>VÄSTERÅS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15348-2023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45019</v>
      </c>
      <c r="E237" s="1" t="n">
        <v>46268</v>
      </c>
      <c r="F237" t="inlineStr">
        <is>
          <t>VÄSTMANLANDS LÄN</t>
        </is>
      </c>
      <c r="G237" t="inlineStr">
        <is>
          <t>VÄSTERÅS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18482-2023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45042</v>
      </c>
      <c r="E238" s="1" t="n">
        <v>46268</v>
      </c>
      <c r="F238" t="inlineStr">
        <is>
          <t>VÄSTMANLANDS LÄN</t>
        </is>
      </c>
      <c r="G238" t="inlineStr">
        <is>
          <t>VÄSTERÅS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45274</v>
      </c>
      <c r="E239" s="1" t="n">
        <v>46268</v>
      </c>
      <c r="F239" t="inlineStr">
        <is>
          <t>VÄSTMANLANDS LÄN</t>
        </is>
      </c>
      <c r="G239" t="inlineStr">
        <is>
          <t>VÄSTERÅS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46268</v>
      </c>
      <c r="F240" t="inlineStr">
        <is>
          <t>VÄSTMANLANDS LÄN</t>
        </is>
      </c>
      <c r="G240" t="inlineStr">
        <is>
          <t>VÄSTERÅS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24540-2026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46268</v>
      </c>
      <c r="F241" t="inlineStr">
        <is>
          <t>VÄSTMANLANDS LÄN</t>
        </is>
      </c>
      <c r="G241" t="inlineStr">
        <is>
          <t>VÄSTERÅS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58085-2022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46268</v>
      </c>
      <c r="F242" t="inlineStr">
        <is>
          <t>VÄSTMANLANDS LÄN</t>
        </is>
      </c>
      <c r="G242" t="inlineStr">
        <is>
          <t>VÄSTERÅS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45761</v>
      </c>
      <c r="E243" s="1" t="n">
        <v>46268</v>
      </c>
      <c r="F243" t="inlineStr">
        <is>
          <t>VÄSTMANLANDS LÄN</t>
        </is>
      </c>
      <c r="G243" t="inlineStr">
        <is>
          <t>VÄSTERÅS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24572-2023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45083</v>
      </c>
      <c r="E244" s="1" t="n">
        <v>46268</v>
      </c>
      <c r="F244" t="inlineStr">
        <is>
          <t>VÄSTMANLANDS LÄN</t>
        </is>
      </c>
      <c r="G244" t="inlineStr">
        <is>
          <t>VÄSTERÅS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15273-2024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45400</v>
      </c>
      <c r="E245" s="1" t="n">
        <v>46268</v>
      </c>
      <c r="F245" t="inlineStr">
        <is>
          <t>VÄSTMANLANDS LÄN</t>
        </is>
      </c>
      <c r="G245" t="inlineStr">
        <is>
          <t>VÄSTERÅS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7378-2022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44606</v>
      </c>
      <c r="E246" s="1" t="n">
        <v>46268</v>
      </c>
      <c r="F246" t="inlineStr">
        <is>
          <t>VÄSTMANLANDS LÄN</t>
        </is>
      </c>
      <c r="G246" t="inlineStr">
        <is>
          <t>VÄSTERÅS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45735</v>
      </c>
      <c r="E247" s="1" t="n">
        <v>46268</v>
      </c>
      <c r="F247" t="inlineStr">
        <is>
          <t>VÄSTMANLANDS LÄN</t>
        </is>
      </c>
      <c r="G247" t="inlineStr">
        <is>
          <t>VÄSTERÅS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8800-2023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44978</v>
      </c>
      <c r="E248" s="1" t="n">
        <v>46268</v>
      </c>
      <c r="F248" t="inlineStr">
        <is>
          <t>VÄSTMANLANDS LÄN</t>
        </is>
      </c>
      <c r="G248" t="inlineStr">
        <is>
          <t>VÄSTERÅS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67352-2021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44523</v>
      </c>
      <c r="E249" s="1" t="n">
        <v>46268</v>
      </c>
      <c r="F249" t="inlineStr">
        <is>
          <t>VÄSTMANLANDS LÄN</t>
        </is>
      </c>
      <c r="G249" t="inlineStr">
        <is>
          <t>VÄSTERÅS</t>
        </is>
      </c>
      <c r="H249" t="inlineStr">
        <is>
          <t>Övriga Aktiebolag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45532</v>
      </c>
      <c r="E250" s="1" t="n">
        <v>46268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45804-2024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46268</v>
      </c>
      <c r="F251" t="inlineStr">
        <is>
          <t>VÄSTMANLANDS LÄN</t>
        </is>
      </c>
      <c r="G251" t="inlineStr">
        <is>
          <t>VÄSTERÅS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52396-2022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44874</v>
      </c>
      <c r="E252" s="1" t="n">
        <v>46268</v>
      </c>
      <c r="F252" t="inlineStr">
        <is>
          <t>VÄSTMANLANDS LÄN</t>
        </is>
      </c>
      <c r="G252" t="inlineStr">
        <is>
          <t>VÄSTERÅS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58231-2022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44901</v>
      </c>
      <c r="E253" s="1" t="n">
        <v>46268</v>
      </c>
      <c r="F253" t="inlineStr">
        <is>
          <t>VÄSTMANLANDS LÄN</t>
        </is>
      </c>
      <c r="G253" t="inlineStr">
        <is>
          <t>VÄSTERÅS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26751-2026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46268</v>
      </c>
      <c r="F254" t="inlineStr">
        <is>
          <t>VÄSTMANLANDS LÄN</t>
        </is>
      </c>
      <c r="G254" t="inlineStr">
        <is>
          <t>VÄSTERÅS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46268</v>
      </c>
      <c r="F255" t="inlineStr">
        <is>
          <t>VÄSTMANLANDS LÄN</t>
        </is>
      </c>
      <c r="G255" t="inlineStr">
        <is>
          <t>VÄSTERÅS</t>
        </is>
      </c>
      <c r="H255" t="inlineStr">
        <is>
          <t>Allmännings- och besparingsskogar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50948-2023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45218</v>
      </c>
      <c r="E256" s="1" t="n">
        <v>46268</v>
      </c>
      <c r="F256" t="inlineStr">
        <is>
          <t>VÄSTMANLANDS LÄN</t>
        </is>
      </c>
      <c r="G256" t="inlineStr">
        <is>
          <t>VÄSTERÅS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27271-2026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46268</v>
      </c>
      <c r="F257" t="inlineStr">
        <is>
          <t>VÄSTMANLANDS LÄN</t>
        </is>
      </c>
      <c r="G257" t="inlineStr">
        <is>
          <t>VÄSTERÅS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61258-2023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45264</v>
      </c>
      <c r="E258" s="1" t="n">
        <v>46268</v>
      </c>
      <c r="F258" t="inlineStr">
        <is>
          <t>VÄSTMANLANDS LÄN</t>
        </is>
      </c>
      <c r="G258" t="inlineStr">
        <is>
          <t>VÄSTERÅS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46188</v>
      </c>
      <c r="E259" s="1" t="n">
        <v>46268</v>
      </c>
      <c r="F259" t="inlineStr">
        <is>
          <t>VÄSTMANLANDS LÄN</t>
        </is>
      </c>
      <c r="G259" t="inlineStr">
        <is>
          <t>VÄSTERÅS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18467-2023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45042</v>
      </c>
      <c r="E260" s="1" t="n">
        <v>46268</v>
      </c>
      <c r="F260" t="inlineStr">
        <is>
          <t>VÄSTMANLANDS LÄN</t>
        </is>
      </c>
      <c r="G260" t="inlineStr">
        <is>
          <t>VÄSTERÅS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46190</v>
      </c>
      <c r="E261" s="1" t="n">
        <v>46268</v>
      </c>
      <c r="F261" t="inlineStr">
        <is>
          <t>VÄSTMANLANDS LÄN</t>
        </is>
      </c>
      <c r="G261" t="inlineStr">
        <is>
          <t>VÄSTERÅS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45457</v>
      </c>
      <c r="E262" s="1" t="n">
        <v>46268</v>
      </c>
      <c r="F262" t="inlineStr">
        <is>
          <t>VÄSTMANLANDS LÄN</t>
        </is>
      </c>
      <c r="G262" t="inlineStr">
        <is>
          <t>VÄSTERÅS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39817-2024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45553</v>
      </c>
      <c r="E263" s="1" t="n">
        <v>46268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Kyrkan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46268</v>
      </c>
      <c r="F264" t="inlineStr">
        <is>
          <t>VÄSTMANLANDS LÄN</t>
        </is>
      </c>
      <c r="G264" t="inlineStr">
        <is>
          <t>VÄSTERÅS</t>
        </is>
      </c>
      <c r="I264" t="n">
        <v>14.1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67350-2021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44523</v>
      </c>
      <c r="E265" s="1" t="n">
        <v>46268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Aktiebolag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46268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28126-2026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46195</v>
      </c>
      <c r="E267" s="1" t="n">
        <v>46268</v>
      </c>
      <c r="F267" t="inlineStr">
        <is>
          <t>VÄSTMANLANDS LÄN</t>
        </is>
      </c>
      <c r="G267" t="inlineStr">
        <is>
          <t>VÄSTERÅS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16844-2023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45033</v>
      </c>
      <c r="E268" s="1" t="n">
        <v>46268</v>
      </c>
      <c r="F268" t="inlineStr">
        <is>
          <t>VÄSTMANLANDS LÄN</t>
        </is>
      </c>
      <c r="G268" t="inlineStr">
        <is>
          <t>VÄSTERÅS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73994-2021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44556</v>
      </c>
      <c r="E269" s="1" t="n">
        <v>46268</v>
      </c>
      <c r="F269" t="inlineStr">
        <is>
          <t>VÄSTMANLANDS LÄN</t>
        </is>
      </c>
      <c r="G269" t="inlineStr">
        <is>
          <t>VÄSTERÅS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61249-2021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44498</v>
      </c>
      <c r="E270" s="1" t="n">
        <v>46268</v>
      </c>
      <c r="F270" t="inlineStr">
        <is>
          <t>VÄSTMANLANDS LÄN</t>
        </is>
      </c>
      <c r="G270" t="inlineStr">
        <is>
          <t>VÄSTERÅS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45603</v>
      </c>
      <c r="E271" s="1" t="n">
        <v>46268</v>
      </c>
      <c r="F271" t="inlineStr">
        <is>
          <t>VÄSTMANLANDS LÄN</t>
        </is>
      </c>
      <c r="G271" t="inlineStr">
        <is>
          <t>VÄSTERÅS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34461-2022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44792</v>
      </c>
      <c r="E272" s="1" t="n">
        <v>46268</v>
      </c>
      <c r="F272" t="inlineStr">
        <is>
          <t>VÄSTMANLANDS LÄN</t>
        </is>
      </c>
      <c r="G272" t="inlineStr">
        <is>
          <t>VÄSTERÅS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51572-2023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45222</v>
      </c>
      <c r="E273" s="1" t="n">
        <v>46268</v>
      </c>
      <c r="F273" t="inlineStr">
        <is>
          <t>VÄSTMANLANDS LÄN</t>
        </is>
      </c>
      <c r="G273" t="inlineStr">
        <is>
          <t>VÄSTERÅS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52569-2022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46268</v>
      </c>
      <c r="F274" t="inlineStr">
        <is>
          <t>VÄSTMANLANDS LÄN</t>
        </is>
      </c>
      <c r="G274" t="inlineStr">
        <is>
          <t>VÄSTERÅS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21761-2022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44708</v>
      </c>
      <c r="E275" s="1" t="n">
        <v>46268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29746-2022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44755</v>
      </c>
      <c r="E276" s="1" t="n">
        <v>46268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67353-2021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44523</v>
      </c>
      <c r="E277" s="1" t="n">
        <v>46268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Övriga Aktiebolag</t>
        </is>
      </c>
      <c r="I277" t="n">
        <v>7.6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46268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46080</v>
      </c>
      <c r="E279" s="1" t="n">
        <v>46268</v>
      </c>
      <c r="F279" t="inlineStr">
        <is>
          <t>VÄSTMANLANDS LÄN</t>
        </is>
      </c>
      <c r="G279" t="inlineStr">
        <is>
          <t>VÄSTERÅS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11324-2026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46080</v>
      </c>
      <c r="E280" s="1" t="n">
        <v>46268</v>
      </c>
      <c r="F280" t="inlineStr">
        <is>
          <t>VÄSTMANLANDS LÄN</t>
        </is>
      </c>
      <c r="G280" t="inlineStr">
        <is>
          <t>VÄSTERÅS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46268</v>
      </c>
      <c r="F281" t="inlineStr">
        <is>
          <t>VÄSTMANLANDS LÄN</t>
        </is>
      </c>
      <c r="G281" t="inlineStr">
        <is>
          <t>VÄSTERÅS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56980-2021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44482</v>
      </c>
      <c r="E282" s="1" t="n">
        <v>46268</v>
      </c>
      <c r="F282" t="inlineStr">
        <is>
          <t>VÄSTMANLANDS LÄN</t>
        </is>
      </c>
      <c r="G282" t="inlineStr">
        <is>
          <t>VÄSTERÅS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8871-2026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46268</v>
      </c>
      <c r="F283" t="inlineStr">
        <is>
          <t>VÄSTMANLANDS LÄN</t>
        </is>
      </c>
      <c r="G283" t="inlineStr">
        <is>
          <t>VÄSTERÅS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7439-2025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45705</v>
      </c>
      <c r="E284" s="1" t="n">
        <v>46268</v>
      </c>
      <c r="F284" t="inlineStr">
        <is>
          <t>VÄSTMANLANDS LÄN</t>
        </is>
      </c>
      <c r="G284" t="inlineStr">
        <is>
          <t>VÄSTERÅS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45713</v>
      </c>
      <c r="E285" s="1" t="n">
        <v>46268</v>
      </c>
      <c r="F285" t="inlineStr">
        <is>
          <t>VÄSTMANLANDS LÄN</t>
        </is>
      </c>
      <c r="G285" t="inlineStr">
        <is>
          <t>VÄSTERÅS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15201-2022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44658</v>
      </c>
      <c r="E286" s="1" t="n">
        <v>46268</v>
      </c>
      <c r="F286" t="inlineStr">
        <is>
          <t>VÄSTMANLANDS LÄN</t>
        </is>
      </c>
      <c r="G286" t="inlineStr">
        <is>
          <t>VÄSTERÅS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58960-2022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44903</v>
      </c>
      <c r="E287" s="1" t="n">
        <v>46268</v>
      </c>
      <c r="F287" t="inlineStr">
        <is>
          <t>VÄSTMANLANDS LÄN</t>
        </is>
      </c>
      <c r="G287" t="inlineStr">
        <is>
          <t>VÄSTERÅS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64714-2023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45281</v>
      </c>
      <c r="E288" s="1" t="n">
        <v>46268</v>
      </c>
      <c r="F288" t="inlineStr">
        <is>
          <t>VÄSTMANLANDS LÄN</t>
        </is>
      </c>
      <c r="G288" t="inlineStr">
        <is>
          <t>VÄSTERÅS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30970-2026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46213</v>
      </c>
      <c r="E289" s="1" t="n">
        <v>46268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Sveaskog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46215</v>
      </c>
      <c r="E290" s="1" t="n">
        <v>46268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Sveaskog</t>
        </is>
      </c>
      <c r="I290" t="n">
        <v>9.800000000000001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46215</v>
      </c>
      <c r="E291" s="1" t="n">
        <v>46268</v>
      </c>
      <c r="F291" t="inlineStr">
        <is>
          <t>VÄSTMANLANDS LÄN</t>
        </is>
      </c>
      <c r="G291" t="inlineStr">
        <is>
          <t>VÄSTERÅS</t>
        </is>
      </c>
      <c r="H291" t="inlineStr">
        <is>
          <t>Sveaskog</t>
        </is>
      </c>
      <c r="I291" t="n">
        <v>5.8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46215</v>
      </c>
      <c r="E292" s="1" t="n">
        <v>46268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8727-2023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44978</v>
      </c>
      <c r="E293" s="1" t="n">
        <v>46268</v>
      </c>
      <c r="F293" t="inlineStr">
        <is>
          <t>VÄSTMANLANDS LÄN</t>
        </is>
      </c>
      <c r="G293" t="inlineStr">
        <is>
          <t>VÄSTERÅS</t>
        </is>
      </c>
      <c r="H293" t="inlineStr">
        <is>
          <t>Kyrkan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16214-2023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45028</v>
      </c>
      <c r="E294" s="1" t="n">
        <v>46268</v>
      </c>
      <c r="F294" t="inlineStr">
        <is>
          <t>VÄSTMANLANDS LÄN</t>
        </is>
      </c>
      <c r="G294" t="inlineStr">
        <is>
          <t>VÄSTERÅS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46215</v>
      </c>
      <c r="E295" s="1" t="n">
        <v>46268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46215</v>
      </c>
      <c r="E296" s="1" t="n">
        <v>46268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31062-2026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46215</v>
      </c>
      <c r="E297" s="1" t="n">
        <v>46268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45398</v>
      </c>
      <c r="E298" s="1" t="n">
        <v>46268</v>
      </c>
      <c r="F298" t="inlineStr">
        <is>
          <t>VÄSTMANLANDS LÄN</t>
        </is>
      </c>
      <c r="G298" t="inlineStr">
        <is>
          <t>VÄSTERÅS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51004-2024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45603</v>
      </c>
      <c r="E299" s="1" t="n">
        <v>46268</v>
      </c>
      <c r="F299" t="inlineStr">
        <is>
          <t>VÄSTMANLANDS LÄN</t>
        </is>
      </c>
      <c r="G299" t="inlineStr">
        <is>
          <t>VÄSTERÅS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45366</v>
      </c>
      <c r="E300" s="1" t="n">
        <v>46268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26743-2026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46268</v>
      </c>
      <c r="F301" t="inlineStr">
        <is>
          <t>VÄSTMANLANDS LÄN</t>
        </is>
      </c>
      <c r="G301" t="inlineStr">
        <is>
          <t>VÄSTERÅS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31232-2026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46217</v>
      </c>
      <c r="E302" s="1" t="n">
        <v>46268</v>
      </c>
      <c r="F302" t="inlineStr">
        <is>
          <t>VÄSTMANLANDS LÄN</t>
        </is>
      </c>
      <c r="G302" t="inlineStr">
        <is>
          <t>VÄSTERÅS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46268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70642-2021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44537</v>
      </c>
      <c r="E304" s="1" t="n">
        <v>46268</v>
      </c>
      <c r="F304" t="inlineStr">
        <is>
          <t>VÄSTMANLANDS LÄN</t>
        </is>
      </c>
      <c r="G304" t="inlineStr">
        <is>
          <t>VÄSTERÅS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46268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46268</v>
      </c>
      <c r="F306" t="inlineStr">
        <is>
          <t>VÄSTMANLANDS LÄN</t>
        </is>
      </c>
      <c r="G306" t="inlineStr">
        <is>
          <t>VÄSTERÅS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45296</v>
      </c>
      <c r="E307" s="1" t="n">
        <v>46268</v>
      </c>
      <c r="F307" t="inlineStr">
        <is>
          <t>VÄSTMANLANDS LÄN</t>
        </is>
      </c>
      <c r="G307" t="inlineStr">
        <is>
          <t>VÄSTERÅS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17808-2023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45037</v>
      </c>
      <c r="E308" s="1" t="n">
        <v>46268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46268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45223</v>
      </c>
      <c r="E310" s="1" t="n">
        <v>46268</v>
      </c>
      <c r="F310" t="inlineStr">
        <is>
          <t>VÄSTMANLANDS LÄN</t>
        </is>
      </c>
      <c r="G310" t="inlineStr">
        <is>
          <t>VÄSTERÅS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35682-2026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46268</v>
      </c>
      <c r="F311" t="inlineStr">
        <is>
          <t>VÄSTMANLANDS LÄN</t>
        </is>
      </c>
      <c r="G311" t="inlineStr">
        <is>
          <t>VÄSTERÅS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73597-2021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44552</v>
      </c>
      <c r="E312" s="1" t="n">
        <v>46268</v>
      </c>
      <c r="F312" t="inlineStr">
        <is>
          <t>VÄSTMANLANDS LÄN</t>
        </is>
      </c>
      <c r="G312" t="inlineStr">
        <is>
          <t>VÄSTERÅS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22287-2026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46154</v>
      </c>
      <c r="E313" s="1" t="n">
        <v>46268</v>
      </c>
      <c r="F313" t="inlineStr">
        <is>
          <t>VÄSTMANLANDS LÄN</t>
        </is>
      </c>
      <c r="G313" t="inlineStr">
        <is>
          <t>VÄSTERÅS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45153</v>
      </c>
      <c r="E314" s="1" t="n">
        <v>46268</v>
      </c>
      <c r="F314" t="inlineStr">
        <is>
          <t>VÄSTMANLANDS LÄN</t>
        </is>
      </c>
      <c r="G314" t="inlineStr">
        <is>
          <t>VÄSTERÅS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45448</v>
      </c>
      <c r="E315" s="1" t="n">
        <v>46268</v>
      </c>
      <c r="F315" t="inlineStr">
        <is>
          <t>VÄSTMANLANDS LÄN</t>
        </is>
      </c>
      <c r="G315" t="inlineStr">
        <is>
          <t>VÄSTERÅS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14926-2022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44657</v>
      </c>
      <c r="E316" s="1" t="n">
        <v>46268</v>
      </c>
      <c r="F316" t="inlineStr">
        <is>
          <t>VÄSTMANLANDS LÄN</t>
        </is>
      </c>
      <c r="G316" t="inlineStr">
        <is>
          <t>VÄSTERÅS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12289-2024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45378</v>
      </c>
      <c r="E317" s="1" t="n">
        <v>46268</v>
      </c>
      <c r="F317" t="inlineStr">
        <is>
          <t>VÄSTMANLANDS LÄN</t>
        </is>
      </c>
      <c r="G317" t="inlineStr">
        <is>
          <t>VÄSTERÅS</t>
        </is>
      </c>
      <c r="I317" t="n">
        <v>15.4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46268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Kommuner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45545</v>
      </c>
      <c r="E319" s="1" t="n">
        <v>46268</v>
      </c>
      <c r="F319" t="inlineStr">
        <is>
          <t>VÄSTMANLANDS LÄN</t>
        </is>
      </c>
      <c r="G319" t="inlineStr">
        <is>
          <t>VÄSTERÅS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951-2020</t>
        </is>
      </c>
      <c r="B320" t="inlineStr">
        <is>
          <t>samrådsanmälan</t>
        </is>
      </c>
      <c r="C320" t="inlineStr">
        <is>
          <t>Åtgärd i nyckelbiotop</t>
        </is>
      </c>
      <c r="D320" s="1" t="n">
        <v>43948</v>
      </c>
      <c r="E320" s="1" t="n">
        <v>46268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Kommuner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3639-2022</t>
        </is>
      </c>
      <c r="B321" t="inlineStr">
        <is>
          <t>samrådsanmälan</t>
        </is>
      </c>
      <c r="C321" t="inlineStr">
        <is>
          <t>Skogsbilväg</t>
        </is>
      </c>
      <c r="D321" s="1" t="n">
        <v>44740</v>
      </c>
      <c r="E321" s="1" t="n">
        <v>46268</v>
      </c>
      <c r="F321" t="inlineStr">
        <is>
          <t>VÄSTMANLANDS LÄN</t>
        </is>
      </c>
      <c r="G321" t="inlineStr">
        <is>
          <t>VÄSTERÅS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S 953-2023</t>
        </is>
      </c>
      <c r="B322" t="inlineStr">
        <is>
          <t>samrådsanmälan</t>
        </is>
      </c>
      <c r="C322" t="inlineStr">
        <is>
          <t>Annan skogsbruksåtgärd</t>
        </is>
      </c>
      <c r="D322" s="1" t="n">
        <v>45005</v>
      </c>
      <c r="E322" s="1" t="n">
        <v>46268</v>
      </c>
      <c r="F322" t="inlineStr">
        <is>
          <t>VÄSTMANLANDS LÄN</t>
        </is>
      </c>
      <c r="G322" t="inlineStr">
        <is>
          <t>VÄSTERÅS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1415-2022</t>
        </is>
      </c>
      <c r="B323" t="inlineStr">
        <is>
          <t>samrådsanmälan</t>
        </is>
      </c>
      <c r="C323" t="inlineStr">
        <is>
          <t>Skogsbilväg</t>
        </is>
      </c>
      <c r="D323" s="1" t="n">
        <v>44634</v>
      </c>
      <c r="E323" s="1" t="n">
        <v>46268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Kyrkan</t>
        </is>
      </c>
      <c r="I323" t="n">
        <v>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696-2026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46091</v>
      </c>
      <c r="E324" s="1" t="n">
        <v>46268</v>
      </c>
      <c r="F324" t="inlineStr">
        <is>
          <t>VÄSTMANLANDS LÄN</t>
        </is>
      </c>
      <c r="G324" t="inlineStr">
        <is>
          <t>VÄSTERÅS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949-2026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46113</v>
      </c>
      <c r="E325" s="1" t="n">
        <v>46268</v>
      </c>
      <c r="F325" t="inlineStr">
        <is>
          <t>VÄSTMANLANDS LÄN</t>
        </is>
      </c>
      <c r="G325" t="inlineStr">
        <is>
          <t>VÄSTERÅS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>
      <c r="A326" t="inlineStr">
        <is>
          <t>S 1468-2026</t>
        </is>
      </c>
      <c r="B326" t="inlineStr">
        <is>
          <t>samrådsanmälan</t>
        </is>
      </c>
      <c r="C326" t="inlineStr">
        <is>
          <t>Dikesrensning</t>
        </is>
      </c>
      <c r="D326" s="1" t="n">
        <v>46134</v>
      </c>
      <c r="E326" s="1" t="n">
        <v>46268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Sveaskog</t>
        </is>
      </c>
      <c r="I326" t="n">
        <v>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2026-09-03T02:07:00Z</dcterms:created>
  <dcterms:modified xmlns:dcterms="http://purl.org/dc/terms/" xmlns:xsi="http://www.w3.org/2001/XMLSchema-instance" xsi:type="dcterms:W3CDTF">2026-09-03T02:07:01Z</dcterms:modified>
</cp:coreProperties>
</file>