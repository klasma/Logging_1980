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46309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46309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46309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46309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46309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46309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46309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46309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46309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59140-2025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46309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3.6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Järpe
Tjäder
Fiskgjuse</t>
        </is>
      </c>
      <c r="W26">
        <f>HYPERLINK("https://klasma.github.io/Logging_1980/artfynd/A 59140-2025 artfynd.xlsx", "A 59140-2025")</f>
        <v/>
      </c>
      <c r="X26">
        <f>HYPERLINK("https://klasma.github.io/Logging_1980/kartor/A 59140-2025 karta.png", "A 59140-2025")</f>
        <v/>
      </c>
      <c r="Y26">
        <f>HYPERLINK("https://klasma.github.io/Logging_1980/kartor_geotiff/A 59140-2025 georefererad karta.tif", "A 59140-2025")</f>
        <v/>
      </c>
      <c r="AA26">
        <f>HYPERLINK("https://klasma.github.io/Logging_1980/klagomål/A 59140-2025 FSC-klagomål.docx", "A 59140-2025")</f>
        <v/>
      </c>
      <c r="AB26">
        <f>HYPERLINK("https://klasma.github.io/Logging_1980/klagomålsmail/A 59140-2025 FSC-klagomål mail.docx", "A 59140-2025")</f>
        <v/>
      </c>
      <c r="AC26">
        <f>HYPERLINK("https://klasma.github.io/Logging_1980/tillsyn/A 59140-2025 tillsynsbegäran.docx", "A 59140-2025")</f>
        <v/>
      </c>
      <c r="AD26">
        <f>HYPERLINK("https://klasma.github.io/Logging_1980/tillsynsmail/A 59140-2025 tillsynsbegäran mail.docx", "A 59140-2025")</f>
        <v/>
      </c>
      <c r="AE26">
        <f>HYPERLINK("https://klasma.github.io/Logging_1980/fåglar/A 59140-2025 prioriterade fågelarter.docx", "A 59140-2025")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46309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46309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46309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46309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46309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46309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46309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46309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46309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46309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46309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46309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46309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46309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46309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46309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46309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46309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46309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46309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46309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46309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46309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59144-2025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46309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HYPERLINK("https://klasma.github.io/Logging_1980/artfynd/A 59144-2025 artfynd.xlsx", "A 59144-2025")</f>
        <v/>
      </c>
      <c r="X50">
        <f>HYPERLINK("https://klasma.github.io/Logging_1980/kartor/A 59144-2025 karta.png", "A 59144-2025")</f>
        <v/>
      </c>
      <c r="Y50">
        <f>HYPERLINK("https://klasma.github.io/Logging_1980/kartor_geotiff/A 59144-2025 georefererad karta.tif", "A 59144-2025")</f>
        <v/>
      </c>
      <c r="AA50">
        <f>HYPERLINK("https://klasma.github.io/Logging_1980/klagomål/A 59144-2025 FSC-klagomål.docx", "A 59144-2025")</f>
        <v/>
      </c>
      <c r="AB50">
        <f>HYPERLINK("https://klasma.github.io/Logging_1980/klagomålsmail/A 59144-2025 FSC-klagomål mail.docx", "A 59144-2025")</f>
        <v/>
      </c>
      <c r="AC50">
        <f>HYPERLINK("https://klasma.github.io/Logging_1980/tillsyn/A 59144-2025 tillsynsbegäran.docx", "A 59144-2025")</f>
        <v/>
      </c>
      <c r="AD50">
        <f>HYPERLINK("https://klasma.github.io/Logging_1980/tillsynsmail/A 59144-2025 tillsynsbegäran mail.docx", "A 59144-2025")</f>
        <v/>
      </c>
    </row>
    <row r="51" ht="15" customHeight="1">
      <c r="A51" t="inlineStr">
        <is>
          <t>A 29787-2023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46309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HYPERLINK("https://klasma.github.io/Logging_1980/artfynd/A 29787-2023 artfynd.xlsx", "A 29787-2023")</f>
        <v/>
      </c>
      <c r="X51">
        <f>HYPERLINK("https://klasma.github.io/Logging_1980/kartor/A 29787-2023 karta.png", "A 29787-2023")</f>
        <v/>
      </c>
      <c r="Y51">
        <f>HYPERLINK("https://klasma.github.io/Logging_1980/kartor_geotiff/A 29787-2023 georefererad karta.tif", "A 29787-2023")</f>
        <v/>
      </c>
      <c r="AA51">
        <f>HYPERLINK("https://klasma.github.io/Logging_1980/klagomål/A 29787-2023 FSC-klagomål.docx", "A 29787-2023")</f>
        <v/>
      </c>
      <c r="AB51">
        <f>HYPERLINK("https://klasma.github.io/Logging_1980/klagomålsmail/A 29787-2023 FSC-klagomål mail.docx", "A 29787-2023")</f>
        <v/>
      </c>
      <c r="AC51">
        <f>HYPERLINK("https://klasma.github.io/Logging_1980/tillsyn/A 29787-2023 tillsynsbegäran.docx", "A 29787-2023")</f>
        <v/>
      </c>
      <c r="AD51">
        <f>HYPERLINK("https://klasma.github.io/Logging_1980/tillsynsmail/A 29787-2023 tillsynsbegäran mail.docx", "A 29787-2023")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46309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46309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46309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1594-2023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46309</v>
      </c>
      <c r="F55" t="inlineStr">
        <is>
          <t>VÄSTMANLANDS LÄN</t>
        </is>
      </c>
      <c r="G55" t="inlineStr">
        <is>
          <t>VÄSTERÅS</t>
        </is>
      </c>
      <c r="I55" t="n">
        <v>10.9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HYPERLINK("https://klasma.github.io/Logging_1980/artfynd/A 1594-2023 artfynd.xlsx", "A 1594-2023")</f>
        <v/>
      </c>
      <c r="X55">
        <f>HYPERLINK("https://klasma.github.io/Logging_1980/kartor/A 1594-2023 karta.png", "A 1594-2023")</f>
        <v/>
      </c>
      <c r="Y55">
        <f>HYPERLINK("https://klasma.github.io/Logging_1980/kartor_geotiff/A 1594-2023 georefererad karta.tif", "A 1594-2023")</f>
        <v/>
      </c>
      <c r="AA55">
        <f>HYPERLINK("https://klasma.github.io/Logging_1980/klagomål/A 1594-2023 FSC-klagomål.docx", "A 1594-2023")</f>
        <v/>
      </c>
      <c r="AB55">
        <f>HYPERLINK("https://klasma.github.io/Logging_1980/klagomålsmail/A 1594-2023 FSC-klagomål mail.docx", "A 1594-2023")</f>
        <v/>
      </c>
      <c r="AC55">
        <f>HYPERLINK("https://klasma.github.io/Logging_1980/tillsyn/A 1594-2023 tillsynsbegäran.docx", "A 1594-2023")</f>
        <v/>
      </c>
      <c r="AD55">
        <f>HYPERLINK("https://klasma.github.io/Logging_1980/tillsynsmail/A 1594-2023 tillsynsbegäran mail.docx", "A 1594-2023")</f>
        <v/>
      </c>
      <c r="AE55">
        <f>HYPERLINK("https://klasma.github.io/Logging_1980/fåglar/A 1594-2023 prioriterade fågelarter.docx", "A 1594-2023")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46309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46309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46309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8362-2022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46309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Köpingfibbla</t>
        </is>
      </c>
      <c r="W59">
        <f>HYPERLINK("https://klasma.github.io/Logging_1980/artfynd/A 8362-2022 artfynd.xlsx", "A 8362-2022")</f>
        <v/>
      </c>
      <c r="X59">
        <f>HYPERLINK("https://klasma.github.io/Logging_1980/kartor/A 8362-2022 karta.png", "A 8362-2022")</f>
        <v/>
      </c>
      <c r="Y59">
        <f>HYPERLINK("https://klasma.github.io/Logging_1980/kartor_geotiff/A 8362-2022 georefererad karta.tif", "A 8362-2022")</f>
        <v/>
      </c>
      <c r="AA59">
        <f>HYPERLINK("https://klasma.github.io/Logging_1980/klagomål/A 8362-2022 FSC-klagomål.docx", "A 8362-2022")</f>
        <v/>
      </c>
      <c r="AB59">
        <f>HYPERLINK("https://klasma.github.io/Logging_1980/klagomålsmail/A 8362-2022 FSC-klagomål mail.docx", "A 8362-2022")</f>
        <v/>
      </c>
      <c r="AC59">
        <f>HYPERLINK("https://klasma.github.io/Logging_1980/tillsyn/A 8362-2022 tillsynsbegäran.docx", "A 8362-2022")</f>
        <v/>
      </c>
      <c r="AD59">
        <f>HYPERLINK("https://klasma.github.io/Logging_1980/tillsynsmail/A 8362-2022 tillsynsbegäran mail.docx", "A 8362-2022")</f>
        <v/>
      </c>
    </row>
    <row r="60" ht="15" customHeight="1">
      <c r="A60" t="inlineStr">
        <is>
          <t>A 26568-2022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46309</v>
      </c>
      <c r="F60" t="inlineStr">
        <is>
          <t>VÄSTMANLANDS LÄN</t>
        </is>
      </c>
      <c r="G60" t="inlineStr">
        <is>
          <t>VÄSTERÅS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HYPERLINK("https://klasma.github.io/Logging_1980/artfynd/A 26568-2022 artfynd.xlsx", "A 26568-2022")</f>
        <v/>
      </c>
      <c r="X60">
        <f>HYPERLINK("https://klasma.github.io/Logging_1980/kartor/A 26568-2022 karta.png", "A 26568-2022")</f>
        <v/>
      </c>
      <c r="Y60">
        <f>HYPERLINK("https://klasma.github.io/Logging_1980/kartor_geotiff/A 26568-2022 georefererad karta.tif", "A 26568-2022")</f>
        <v/>
      </c>
      <c r="AA60">
        <f>HYPERLINK("https://klasma.github.io/Logging_1980/klagomål/A 26568-2022 FSC-klagomål.docx", "A 26568-2022")</f>
        <v/>
      </c>
      <c r="AB60">
        <f>HYPERLINK("https://klasma.github.io/Logging_1980/klagomålsmail/A 26568-2022 FSC-klagomål mail.docx", "A 26568-2022")</f>
        <v/>
      </c>
      <c r="AC60">
        <f>HYPERLINK("https://klasma.github.io/Logging_1980/tillsyn/A 26568-2022 tillsynsbegäran.docx", "A 26568-2022")</f>
        <v/>
      </c>
      <c r="AD60">
        <f>HYPERLINK("https://klasma.github.io/Logging_1980/tillsynsmail/A 26568-2022 tillsynsbegäran mail.docx", "A 26568-2022")</f>
        <v/>
      </c>
    </row>
    <row r="61" ht="15" customHeight="1">
      <c r="A61" t="inlineStr">
        <is>
          <t>A 51147-2023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46309</v>
      </c>
      <c r="F61" t="inlineStr">
        <is>
          <t>VÄSTMANLANDS LÄN</t>
        </is>
      </c>
      <c r="G61" t="inlineStr">
        <is>
          <t>VÄSTERÅS</t>
        </is>
      </c>
      <c r="I61" t="n">
        <v>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Mindre märgborre</t>
        </is>
      </c>
      <c r="W61">
        <f>HYPERLINK("https://klasma.github.io/Logging_1980/artfynd/A 51147-2023 artfynd.xlsx", "A 51147-2023")</f>
        <v/>
      </c>
      <c r="X61">
        <f>HYPERLINK("https://klasma.github.io/Logging_1980/kartor/A 51147-2023 karta.png", "A 51147-2023")</f>
        <v/>
      </c>
      <c r="Y61">
        <f>HYPERLINK("https://klasma.github.io/Logging_1980/kartor_geotiff/A 51147-2023 georefererad karta.tif", "A 51147-2023")</f>
        <v/>
      </c>
      <c r="AA61">
        <f>HYPERLINK("https://klasma.github.io/Logging_1980/klagomål/A 51147-2023 FSC-klagomål.docx", "A 51147-2023")</f>
        <v/>
      </c>
      <c r="AB61">
        <f>HYPERLINK("https://klasma.github.io/Logging_1980/klagomålsmail/A 51147-2023 FSC-klagomål mail.docx", "A 51147-2023")</f>
        <v/>
      </c>
      <c r="AC61">
        <f>HYPERLINK("https://klasma.github.io/Logging_1980/tillsyn/A 51147-2023 tillsynsbegäran.docx", "A 51147-2023")</f>
        <v/>
      </c>
      <c r="AD61">
        <f>HYPERLINK("https://klasma.github.io/Logging_1980/tillsynsmail/A 51147-2023 tillsynsbegäran mail.docx", "A 51147-2023")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46309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31976-2026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46232</v>
      </c>
      <c r="E63" s="1" t="n">
        <v>46309</v>
      </c>
      <c r="F63" t="inlineStr">
        <is>
          <t>VÄSTMANLANDS LÄN</t>
        </is>
      </c>
      <c r="G63" t="inlineStr">
        <is>
          <t>VÄSTERÅS</t>
        </is>
      </c>
      <c r="H63" t="inlineStr">
        <is>
          <t>Övriga Aktiebolag</t>
        </is>
      </c>
      <c r="I63" t="n">
        <v>14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Rostfläck</t>
        </is>
      </c>
      <c r="W63">
        <f>HYPERLINK("https://klasma.github.io/Logging_1980/artfynd/A 31976-2026 artfynd.xlsx", "A 31976-2026")</f>
        <v/>
      </c>
      <c r="X63">
        <f>HYPERLINK("https://klasma.github.io/Logging_1980/kartor/A 31976-2026 karta.png", "A 31976-2026")</f>
        <v/>
      </c>
      <c r="Y63">
        <f>HYPERLINK("https://klasma.github.io/Logging_1980/kartor_geotiff/A 31976-2026 georefererad karta.tif", "A 31976-2026")</f>
        <v/>
      </c>
      <c r="AA63">
        <f>HYPERLINK("https://klasma.github.io/Logging_1980/klagomål/A 31976-2026 FSC-klagomål.docx", "A 31976-2026")</f>
        <v/>
      </c>
      <c r="AB63">
        <f>HYPERLINK("https://klasma.github.io/Logging_1980/klagomålsmail/A 31976-2026 FSC-klagomål mail.docx", "A 31976-2026")</f>
        <v/>
      </c>
      <c r="AC63">
        <f>HYPERLINK("https://klasma.github.io/Logging_1980/tillsyn/A 31976-2026 tillsynsbegäran.docx", "A 31976-2026")</f>
        <v/>
      </c>
      <c r="AD63">
        <f>HYPERLINK("https://klasma.github.io/Logging_1980/tillsynsmail/A 31976-2026 tillsynsbegäran mail.docx", "A 31976-2026")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46309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39919-2026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46309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HYPERLINK("https://klasma.github.io/Logging_1980/artfynd/A 39919-2026 artfynd.xlsx", "A 39919-2026")</f>
        <v/>
      </c>
      <c r="X65">
        <f>HYPERLINK("https://klasma.github.io/Logging_1980/kartor/A 39919-2026 karta.png", "A 39919-2026")</f>
        <v/>
      </c>
      <c r="Y65">
        <f>HYPERLINK("https://klasma.github.io/Logging_1980/kartor_geotiff/A 39919-2026 georefererad karta.tif", "A 39919-2026")</f>
        <v/>
      </c>
      <c r="AA65">
        <f>HYPERLINK("https://klasma.github.io/Logging_1980/klagomål/A 39919-2026 FSC-klagomål.docx", "A 39919-2026")</f>
        <v/>
      </c>
      <c r="AB65">
        <f>HYPERLINK("https://klasma.github.io/Logging_1980/klagomålsmail/A 39919-2026 FSC-klagomål mail.docx", "A 39919-2026")</f>
        <v/>
      </c>
      <c r="AC65">
        <f>HYPERLINK("https://klasma.github.io/Logging_1980/tillsyn/A 39919-2026 tillsynsbegäran.docx", "A 39919-2026")</f>
        <v/>
      </c>
      <c r="AD65">
        <f>HYPERLINK("https://klasma.github.io/Logging_1980/tillsynsmail/A 39919-2026 tillsynsbegäran mail.docx", "A 39919-2026")</f>
        <v/>
      </c>
      <c r="AE65">
        <f>HYPERLINK("https://klasma.github.io/Logging_1980/fåglar/A 39919-2026 prioriterade fågelarter.docx", "A 39919-2026")</f>
        <v/>
      </c>
    </row>
    <row r="66" ht="15" customHeight="1">
      <c r="A66" t="inlineStr">
        <is>
          <t>A 5363-2025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46309</v>
      </c>
      <c r="F66" t="inlineStr">
        <is>
          <t>VÄSTMANLANDS LÄN</t>
        </is>
      </c>
      <c r="G66" t="inlineStr">
        <is>
          <t>VÄSTERÅS</t>
        </is>
      </c>
      <c r="I66" t="n">
        <v>1.2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5363-2025 artfynd.xlsx", "A 5363-2025")</f>
        <v/>
      </c>
      <c r="X66">
        <f>HYPERLINK("https://klasma.github.io/Logging_1980/kartor/A 5363-2025 karta.png", "A 5363-2025")</f>
        <v/>
      </c>
      <c r="Y66">
        <f>HYPERLINK("https://klasma.github.io/Logging_1980/kartor_geotiff/A 5363-2025 georefererad karta.tif", "A 5363-2025")</f>
        <v/>
      </c>
      <c r="AA66">
        <f>HYPERLINK("https://klasma.github.io/Logging_1980/klagomål/A 5363-2025 FSC-klagomål.docx", "A 5363-2025")</f>
        <v/>
      </c>
      <c r="AB66">
        <f>HYPERLINK("https://klasma.github.io/Logging_1980/klagomålsmail/A 5363-2025 FSC-klagomål mail.docx", "A 5363-2025")</f>
        <v/>
      </c>
      <c r="AC66">
        <f>HYPERLINK("https://klasma.github.io/Logging_1980/tillsyn/A 5363-2025 tillsynsbegäran.docx", "A 5363-2025")</f>
        <v/>
      </c>
      <c r="AD66">
        <f>HYPERLINK("https://klasma.github.io/Logging_1980/tillsynsmail/A 5363-2025 tillsynsbegäran mail.docx", "A 5363-2025")</f>
        <v/>
      </c>
    </row>
    <row r="67" ht="15" customHeight="1">
      <c r="A67" t="inlineStr">
        <is>
          <t>A 61254-2023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45264</v>
      </c>
      <c r="E67" s="1" t="n">
        <v>46309</v>
      </c>
      <c r="F67" t="inlineStr">
        <is>
          <t>VÄSTMANLANDS LÄN</t>
        </is>
      </c>
      <c r="G67" t="inlineStr">
        <is>
          <t>VÄSTERÅS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Mistel</t>
        </is>
      </c>
      <c r="W67">
        <f>HYPERLINK("https://klasma.github.io/Logging_1980/artfynd/A 61254-2023 artfynd.xlsx", "A 61254-2023")</f>
        <v/>
      </c>
      <c r="X67">
        <f>HYPERLINK("https://klasma.github.io/Logging_1980/kartor/A 61254-2023 karta.png", "A 61254-2023")</f>
        <v/>
      </c>
      <c r="Y67">
        <f>HYPERLINK("https://klasma.github.io/Logging_1980/kartor_geotiff/A 61254-2023 georefererad karta.tif", "A 61254-2023")</f>
        <v/>
      </c>
      <c r="AA67">
        <f>HYPERLINK("https://klasma.github.io/Logging_1980/klagomål/A 61254-2023 FSC-klagomål.docx", "A 61254-2023")</f>
        <v/>
      </c>
      <c r="AB67">
        <f>HYPERLINK("https://klasma.github.io/Logging_1980/klagomålsmail/A 61254-2023 FSC-klagomål mail.docx", "A 61254-2023")</f>
        <v/>
      </c>
      <c r="AC67">
        <f>HYPERLINK("https://klasma.github.io/Logging_1980/tillsyn/A 61254-2023 tillsynsbegäran.docx", "A 61254-2023")</f>
        <v/>
      </c>
      <c r="AD67">
        <f>HYPERLINK("https://klasma.github.io/Logging_1980/tillsynsmail/A 61254-2023 tillsynsbegäran mail.docx", "A 61254-2023")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46309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46309</v>
      </c>
      <c r="F70" t="inlineStr">
        <is>
          <t>VÄSTMANLANDS LÄN</t>
        </is>
      </c>
      <c r="G70" t="inlineStr">
        <is>
          <t>VÄSTERÅS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46309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46309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46309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46309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46309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46309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46309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46309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46309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46309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46309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46309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46309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46309</v>
      </c>
      <c r="F84" t="inlineStr">
        <is>
          <t>VÄSTMANLANDS LÄN</t>
        </is>
      </c>
      <c r="G84" t="inlineStr">
        <is>
          <t>VÄSTERÅS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46309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46309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46309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46309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46309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46309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46309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46309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46309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46309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46309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46309</v>
      </c>
      <c r="F96" t="inlineStr">
        <is>
          <t>VÄSTMANLANDS LÄN</t>
        </is>
      </c>
      <c r="G96" t="inlineStr">
        <is>
          <t>VÄSTERÅS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18457-2023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45042</v>
      </c>
      <c r="E97" s="1" t="n">
        <v>46309</v>
      </c>
      <c r="F97" t="inlineStr">
        <is>
          <t>VÄSTMANLANDS LÄN</t>
        </is>
      </c>
      <c r="G97" t="inlineStr">
        <is>
          <t>VÄSTERÅS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46309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46309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46309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46309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46309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46309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46309</v>
      </c>
      <c r="F104" t="inlineStr">
        <is>
          <t>VÄSTMANLANDS LÄN</t>
        </is>
      </c>
      <c r="G104" t="inlineStr">
        <is>
          <t>VÄSTERÅS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39127-2022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44816</v>
      </c>
      <c r="E105" s="1" t="n">
        <v>46309</v>
      </c>
      <c r="F105" t="inlineStr">
        <is>
          <t>VÄSTMANLANDS LÄN</t>
        </is>
      </c>
      <c r="G105" t="inlineStr">
        <is>
          <t>VÄSTERÅS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46309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46309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67353-2021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46309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Övriga Aktiebolag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46309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46309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46309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46309</v>
      </c>
      <c r="F112" t="inlineStr">
        <is>
          <t>VÄSTMANLANDS LÄN</t>
        </is>
      </c>
      <c r="G112" t="inlineStr">
        <is>
          <t>VÄSTERÅS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46309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45506</v>
      </c>
      <c r="E114" s="1" t="n">
        <v>46309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Kommuner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46309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Allmännings- och besparingsskogar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46309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46309</v>
      </c>
      <c r="F117" t="inlineStr">
        <is>
          <t>VÄSTMANLANDS LÄN</t>
        </is>
      </c>
      <c r="G117" t="inlineStr">
        <is>
          <t>VÄSTERÅS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46309</v>
      </c>
      <c r="F118" t="inlineStr">
        <is>
          <t>VÄSTMANLANDS LÄN</t>
        </is>
      </c>
      <c r="G118" t="inlineStr">
        <is>
          <t>VÄSTERÅS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46309</v>
      </c>
      <c r="F119" t="inlineStr">
        <is>
          <t>VÄSTMANLANDS LÄN</t>
        </is>
      </c>
      <c r="G119" t="inlineStr">
        <is>
          <t>VÄSTERÅS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46309</v>
      </c>
      <c r="F120" t="inlineStr">
        <is>
          <t>VÄSTMANLANDS LÄN</t>
        </is>
      </c>
      <c r="G120" t="inlineStr">
        <is>
          <t>VÄSTERÅS</t>
        </is>
      </c>
      <c r="I120" t="n">
        <v>13.9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46309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46309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18482-2023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45042</v>
      </c>
      <c r="E123" s="1" t="n">
        <v>46309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45235</v>
      </c>
      <c r="E124" s="1" t="n">
        <v>46309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Övriga Aktiebolag</t>
        </is>
      </c>
      <c r="I124" t="n">
        <v>37.8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46309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46309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46309</v>
      </c>
      <c r="F127" t="inlineStr">
        <is>
          <t>VÄSTMANLANDS LÄN</t>
        </is>
      </c>
      <c r="G127" t="inlineStr">
        <is>
          <t>VÄSTERÅS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46309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46309</v>
      </c>
      <c r="F129" t="inlineStr">
        <is>
          <t>VÄSTMANLANDS LÄN</t>
        </is>
      </c>
      <c r="G129" t="inlineStr">
        <is>
          <t>VÄSTERÅS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46309</v>
      </c>
      <c r="F130" t="inlineStr">
        <is>
          <t>VÄSTMANLANDS LÄN</t>
        </is>
      </c>
      <c r="G130" t="inlineStr">
        <is>
          <t>VÄSTERÅS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44899</v>
      </c>
      <c r="E131" s="1" t="n">
        <v>46309</v>
      </c>
      <c r="F131" t="inlineStr">
        <is>
          <t>VÄSTMANLANDS LÄN</t>
        </is>
      </c>
      <c r="G131" t="inlineStr">
        <is>
          <t>VÄSTERÅS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46309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46309</v>
      </c>
      <c r="F133" t="inlineStr">
        <is>
          <t>VÄSTMANLANDS LÄN</t>
        </is>
      </c>
      <c r="G133" t="inlineStr">
        <is>
          <t>VÄSTERÅS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46309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44914</v>
      </c>
      <c r="E135" s="1" t="n">
        <v>46309</v>
      </c>
      <c r="F135" t="inlineStr">
        <is>
          <t>VÄSTMANLANDS LÄN</t>
        </is>
      </c>
      <c r="G135" t="inlineStr">
        <is>
          <t>VÄSTERÅS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46309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46309</v>
      </c>
      <c r="F137" t="inlineStr">
        <is>
          <t>VÄSTMANLANDS LÄN</t>
        </is>
      </c>
      <c r="G137" t="inlineStr">
        <is>
          <t>VÄSTERÅS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46309</v>
      </c>
      <c r="F138" t="inlineStr">
        <is>
          <t>VÄSTMANLANDS LÄN</t>
        </is>
      </c>
      <c r="G138" t="inlineStr">
        <is>
          <t>VÄSTERÅS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46309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46309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Kommuner</t>
        </is>
      </c>
      <c r="I140" t="n">
        <v>12.9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46309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Kommuner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46309</v>
      </c>
      <c r="F142" t="inlineStr">
        <is>
          <t>VÄSTMANLANDS LÄN</t>
        </is>
      </c>
      <c r="G142" t="inlineStr">
        <is>
          <t>VÄSTERÅS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46309</v>
      </c>
      <c r="F143" t="inlineStr">
        <is>
          <t>VÄSTMANLANDS LÄN</t>
        </is>
      </c>
      <c r="G143" t="inlineStr">
        <is>
          <t>VÄSTERÅS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46309</v>
      </c>
      <c r="F144" t="inlineStr">
        <is>
          <t>VÄSTMANLANDS LÄN</t>
        </is>
      </c>
      <c r="G144" t="inlineStr">
        <is>
          <t>VÄSTERÅS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46309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46309</v>
      </c>
      <c r="F146" t="inlineStr">
        <is>
          <t>VÄSTMANLANDS LÄN</t>
        </is>
      </c>
      <c r="G146" t="inlineStr">
        <is>
          <t>VÄSTERÅS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46309</v>
      </c>
      <c r="F147" t="inlineStr">
        <is>
          <t>VÄSTMANLANDS LÄN</t>
        </is>
      </c>
      <c r="G147" t="inlineStr">
        <is>
          <t>VÄSTERÅS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46309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46309</v>
      </c>
      <c r="F149" t="inlineStr">
        <is>
          <t>VÄSTMANLANDS LÄN</t>
        </is>
      </c>
      <c r="G149" t="inlineStr">
        <is>
          <t>VÄSTERÅS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17808-2023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45037</v>
      </c>
      <c r="E150" s="1" t="n">
        <v>46309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46309</v>
      </c>
      <c r="F151" t="inlineStr">
        <is>
          <t>VÄSTMANLANDS LÄN</t>
        </is>
      </c>
      <c r="G151" t="inlineStr">
        <is>
          <t>VÄSTERÅS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46309</v>
      </c>
      <c r="F152" t="inlineStr">
        <is>
          <t>VÄSTMANLANDS LÄN</t>
        </is>
      </c>
      <c r="G152" t="inlineStr">
        <is>
          <t>VÄSTERÅS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46309</v>
      </c>
      <c r="F153" t="inlineStr">
        <is>
          <t>VÄSTMANLANDS LÄN</t>
        </is>
      </c>
      <c r="G153" t="inlineStr">
        <is>
          <t>VÄSTERÅS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22978-2022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44717</v>
      </c>
      <c r="E154" s="1" t="n">
        <v>46309</v>
      </c>
      <c r="F154" t="inlineStr">
        <is>
          <t>VÄSTMANLANDS LÄN</t>
        </is>
      </c>
      <c r="G154" t="inlineStr">
        <is>
          <t>VÄSTERÅS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44662</v>
      </c>
      <c r="E155" s="1" t="n">
        <v>46309</v>
      </c>
      <c r="F155" t="inlineStr">
        <is>
          <t>VÄSTMANLANDS LÄN</t>
        </is>
      </c>
      <c r="G155" t="inlineStr">
        <is>
          <t>VÄSTERÅS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46309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46309</v>
      </c>
      <c r="F157" t="inlineStr">
        <is>
          <t>VÄSTMANLANDS LÄN</t>
        </is>
      </c>
      <c r="G157" t="inlineStr">
        <is>
          <t>VÄSTERÅS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46309</v>
      </c>
      <c r="F158" t="inlineStr">
        <is>
          <t>VÄSTMANLANDS LÄN</t>
        </is>
      </c>
      <c r="G158" t="inlineStr">
        <is>
          <t>VÄSTERÅS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63851-2021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44509</v>
      </c>
      <c r="E159" s="1" t="n">
        <v>46309</v>
      </c>
      <c r="F159" t="inlineStr">
        <is>
          <t>VÄSTMANLANDS LÄN</t>
        </is>
      </c>
      <c r="G159" t="inlineStr">
        <is>
          <t>VÄSTERÅS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46309</v>
      </c>
      <c r="F160" t="inlineStr">
        <is>
          <t>VÄSTMANLANDS LÄN</t>
        </is>
      </c>
      <c r="G160" t="inlineStr">
        <is>
          <t>VÄSTERÅS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7797-2026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46062</v>
      </c>
      <c r="E161" s="1" t="n">
        <v>46309</v>
      </c>
      <c r="F161" t="inlineStr">
        <is>
          <t>VÄSTMANLANDS LÄN</t>
        </is>
      </c>
      <c r="G161" t="inlineStr">
        <is>
          <t>VÄSTERÅS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46309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46309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46309</v>
      </c>
      <c r="F164" t="inlineStr">
        <is>
          <t>VÄSTMANLANDS LÄN</t>
        </is>
      </c>
      <c r="G164" t="inlineStr">
        <is>
          <t>VÄSTERÅS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46309</v>
      </c>
      <c r="F165" t="inlineStr">
        <is>
          <t>VÄSTMANLANDS LÄN</t>
        </is>
      </c>
      <c r="G165" t="inlineStr">
        <is>
          <t>VÄSTERÅS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46309</v>
      </c>
      <c r="F166" t="inlineStr">
        <is>
          <t>VÄSTMANLANDS LÄN</t>
        </is>
      </c>
      <c r="G166" t="inlineStr">
        <is>
          <t>VÄSTERÅS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46309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46309</v>
      </c>
      <c r="F168" t="inlineStr">
        <is>
          <t>VÄSTMANLANDS LÄN</t>
        </is>
      </c>
      <c r="G168" t="inlineStr">
        <is>
          <t>VÄSTERÅS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44999</v>
      </c>
      <c r="E169" s="1" t="n">
        <v>46309</v>
      </c>
      <c r="F169" t="inlineStr">
        <is>
          <t>VÄSTMANLANDS LÄN</t>
        </is>
      </c>
      <c r="G169" t="inlineStr">
        <is>
          <t>VÄSTERÅS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52027-2025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45952</v>
      </c>
      <c r="E170" s="1" t="n">
        <v>46309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Övriga statliga verk och myndigheter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45607</v>
      </c>
      <c r="E171" s="1" t="n">
        <v>46309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44582</v>
      </c>
      <c r="E172" s="1" t="n">
        <v>46309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46309</v>
      </c>
      <c r="F173" t="inlineStr">
        <is>
          <t>VÄSTMANLANDS LÄN</t>
        </is>
      </c>
      <c r="G173" t="inlineStr">
        <is>
          <t>VÄSTERÅS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46309</v>
      </c>
      <c r="F174" t="inlineStr">
        <is>
          <t>VÄSTMANLANDS LÄN</t>
        </is>
      </c>
      <c r="G174" t="inlineStr">
        <is>
          <t>VÄSTERÅS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45019</v>
      </c>
      <c r="E175" s="1" t="n">
        <v>46309</v>
      </c>
      <c r="F175" t="inlineStr">
        <is>
          <t>VÄSTMANLANDS LÄN</t>
        </is>
      </c>
      <c r="G175" t="inlineStr">
        <is>
          <t>VÄSTERÅS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46309</v>
      </c>
      <c r="F176" t="inlineStr">
        <is>
          <t>VÄSTMANLANDS LÄN</t>
        </is>
      </c>
      <c r="G176" t="inlineStr">
        <is>
          <t>VÄSTERÅS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46309</v>
      </c>
      <c r="F177" t="inlineStr">
        <is>
          <t>VÄSTMANLANDS LÄN</t>
        </is>
      </c>
      <c r="G177" t="inlineStr">
        <is>
          <t>VÄSTERÅS</t>
        </is>
      </c>
      <c r="I177" t="n">
        <v>20.3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46309</v>
      </c>
      <c r="F178" t="inlineStr">
        <is>
          <t>VÄSTMANLANDS LÄN</t>
        </is>
      </c>
      <c r="G178" t="inlineStr">
        <is>
          <t>VÄSTERÅS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46309</v>
      </c>
      <c r="F179" t="inlineStr">
        <is>
          <t>VÄSTMANLANDS LÄN</t>
        </is>
      </c>
      <c r="G179" t="inlineStr">
        <is>
          <t>VÄSTERÅS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46309</v>
      </c>
      <c r="F180" t="inlineStr">
        <is>
          <t>VÄSTMANLANDS LÄN</t>
        </is>
      </c>
      <c r="G180" t="inlineStr">
        <is>
          <t>VÄSTERÅS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44840</v>
      </c>
      <c r="E181" s="1" t="n">
        <v>46309</v>
      </c>
      <c r="F181" t="inlineStr">
        <is>
          <t>VÄSTMANLANDS LÄN</t>
        </is>
      </c>
      <c r="G181" t="inlineStr">
        <is>
          <t>VÄSTERÅS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45077</v>
      </c>
      <c r="E182" s="1" t="n">
        <v>46309</v>
      </c>
      <c r="F182" t="inlineStr">
        <is>
          <t>VÄSTMANLANDS LÄN</t>
        </is>
      </c>
      <c r="G182" t="inlineStr">
        <is>
          <t>VÄSTERÅS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46309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46112</v>
      </c>
      <c r="E184" s="1" t="n">
        <v>46309</v>
      </c>
      <c r="F184" t="inlineStr">
        <is>
          <t>VÄSTMANLANDS LÄN</t>
        </is>
      </c>
      <c r="G184" t="inlineStr">
        <is>
          <t>VÄSTERÅS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46112</v>
      </c>
      <c r="E185" s="1" t="n">
        <v>46309</v>
      </c>
      <c r="F185" t="inlineStr">
        <is>
          <t>VÄSTMANLANDS LÄN</t>
        </is>
      </c>
      <c r="G185" t="inlineStr">
        <is>
          <t>VÄSTERÅS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46309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46309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46309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46309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Kommuner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46309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Allmännings- och besparingsskogar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46309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44874</v>
      </c>
      <c r="E192" s="1" t="n">
        <v>46309</v>
      </c>
      <c r="F192" t="inlineStr">
        <is>
          <t>VÄSTMANLANDS LÄN</t>
        </is>
      </c>
      <c r="G192" t="inlineStr">
        <is>
          <t>VÄSTERÅS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45223</v>
      </c>
      <c r="E193" s="1" t="n">
        <v>46309</v>
      </c>
      <c r="F193" t="inlineStr">
        <is>
          <t>VÄSTMANLANDS LÄN</t>
        </is>
      </c>
      <c r="G193" t="inlineStr">
        <is>
          <t>VÄSTERÅS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46309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46309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46309</v>
      </c>
      <c r="F196" t="inlineStr">
        <is>
          <t>VÄSTMANLANDS LÄN</t>
        </is>
      </c>
      <c r="G196" t="inlineStr">
        <is>
          <t>VÄSTERÅS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46309</v>
      </c>
      <c r="F197" t="inlineStr">
        <is>
          <t>VÄSTMANLANDS LÄN</t>
        </is>
      </c>
      <c r="G197" t="inlineStr">
        <is>
          <t>VÄSTERÅS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46309</v>
      </c>
      <c r="F198" t="inlineStr">
        <is>
          <t>VÄSTMANLANDS LÄN</t>
        </is>
      </c>
      <c r="G198" t="inlineStr">
        <is>
          <t>VÄSTERÅS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46309</v>
      </c>
      <c r="F199" t="inlineStr">
        <is>
          <t>VÄSTMANLANDS LÄN</t>
        </is>
      </c>
      <c r="G199" t="inlineStr">
        <is>
          <t>VÄSTERÅS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46309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46309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73601-2021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44552</v>
      </c>
      <c r="E202" s="1" t="n">
        <v>46309</v>
      </c>
      <c r="F202" t="inlineStr">
        <is>
          <t>VÄSTMANLANDS LÄN</t>
        </is>
      </c>
      <c r="G202" t="inlineStr">
        <is>
          <t>VÄSTERÅS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46309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46309</v>
      </c>
      <c r="F204" t="inlineStr">
        <is>
          <t>VÄSTMANLANDS LÄN</t>
        </is>
      </c>
      <c r="G204" t="inlineStr">
        <is>
          <t>VÄSTERÅS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45457</v>
      </c>
      <c r="E205" s="1" t="n">
        <v>46309</v>
      </c>
      <c r="F205" t="inlineStr">
        <is>
          <t>VÄSTMANLANDS LÄN</t>
        </is>
      </c>
      <c r="G205" t="inlineStr">
        <is>
          <t>VÄSTERÅS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46309</v>
      </c>
      <c r="F206" t="inlineStr">
        <is>
          <t>VÄSTMANLANDS LÄN</t>
        </is>
      </c>
      <c r="G206" t="inlineStr">
        <is>
          <t>VÄSTERÅS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74314-2021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44559</v>
      </c>
      <c r="E207" s="1" t="n">
        <v>46309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46309</v>
      </c>
      <c r="F208" t="inlineStr">
        <is>
          <t>VÄSTMANLANDS LÄN</t>
        </is>
      </c>
      <c r="G208" t="inlineStr">
        <is>
          <t>VÄSTERÅS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46309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44637</v>
      </c>
      <c r="E210" s="1" t="n">
        <v>46309</v>
      </c>
      <c r="F210" t="inlineStr">
        <is>
          <t>VÄSTMANLANDS LÄN</t>
        </is>
      </c>
      <c r="G210" t="inlineStr">
        <is>
          <t>VÄSTERÅS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16214-2023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45028</v>
      </c>
      <c r="E211" s="1" t="n">
        <v>46309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46309</v>
      </c>
      <c r="F212" t="inlineStr">
        <is>
          <t>VÄSTMANLANDS LÄN</t>
        </is>
      </c>
      <c r="G212" t="inlineStr">
        <is>
          <t>VÄSTERÅS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44978</v>
      </c>
      <c r="E213" s="1" t="n">
        <v>46309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46309</v>
      </c>
      <c r="F214" t="inlineStr">
        <is>
          <t>VÄSTMANLANDS LÄN</t>
        </is>
      </c>
      <c r="G214" t="inlineStr">
        <is>
          <t>VÄSTERÅS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45125</v>
      </c>
      <c r="E215" s="1" t="n">
        <v>46309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18465-2023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46309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46309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73994-2021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44556</v>
      </c>
      <c r="E218" s="1" t="n">
        <v>46309</v>
      </c>
      <c r="F218" t="inlineStr">
        <is>
          <t>VÄSTMANLANDS LÄN</t>
        </is>
      </c>
      <c r="G218" t="inlineStr">
        <is>
          <t>VÄSTERÅS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22370-2026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46309</v>
      </c>
      <c r="F219" t="inlineStr">
        <is>
          <t>VÄSTMANLANDS LÄN</t>
        </is>
      </c>
      <c r="G219" t="inlineStr">
        <is>
          <t>VÄSTERÅS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46309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73597-2021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44552</v>
      </c>
      <c r="E221" s="1" t="n">
        <v>46309</v>
      </c>
      <c r="F221" t="inlineStr">
        <is>
          <t>VÄSTMANLANDS LÄN</t>
        </is>
      </c>
      <c r="G221" t="inlineStr">
        <is>
          <t>VÄSTERÅS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46309</v>
      </c>
      <c r="F222" t="inlineStr">
        <is>
          <t>VÄSTMANLANDS LÄN</t>
        </is>
      </c>
      <c r="G222" t="inlineStr">
        <is>
          <t>VÄSTERÅS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45506</v>
      </c>
      <c r="E223" s="1" t="n">
        <v>46309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67350-2021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44523</v>
      </c>
      <c r="E224" s="1" t="n">
        <v>46309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Övriga Aktiebolag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44636</v>
      </c>
      <c r="E225" s="1" t="n">
        <v>46309</v>
      </c>
      <c r="F225" t="inlineStr">
        <is>
          <t>VÄSTMANLANDS LÄN</t>
        </is>
      </c>
      <c r="G225" t="inlineStr">
        <is>
          <t>VÄSTERÅS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46309</v>
      </c>
      <c r="F226" t="inlineStr">
        <is>
          <t>VÄSTMANLANDS LÄN</t>
        </is>
      </c>
      <c r="G226" t="inlineStr">
        <is>
          <t>VÄSTERÅS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46309</v>
      </c>
      <c r="F227" t="inlineStr">
        <is>
          <t>VÄSTMANLANDS LÄN</t>
        </is>
      </c>
      <c r="G227" t="inlineStr">
        <is>
          <t>VÄSTERÅS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7378-2022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44606</v>
      </c>
      <c r="E228" s="1" t="n">
        <v>46309</v>
      </c>
      <c r="F228" t="inlineStr">
        <is>
          <t>VÄSTMANLANDS LÄN</t>
        </is>
      </c>
      <c r="G228" t="inlineStr">
        <is>
          <t>VÄSTERÅS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45169</v>
      </c>
      <c r="E229" s="1" t="n">
        <v>46309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44623</v>
      </c>
      <c r="E230" s="1" t="n">
        <v>46309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44658</v>
      </c>
      <c r="E231" s="1" t="n">
        <v>46309</v>
      </c>
      <c r="F231" t="inlineStr">
        <is>
          <t>VÄSTMANLANDS LÄN</t>
        </is>
      </c>
      <c r="G231" t="inlineStr">
        <is>
          <t>VÄSTERÅS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46309</v>
      </c>
      <c r="F232" t="inlineStr">
        <is>
          <t>VÄSTMANLANDS LÄN</t>
        </is>
      </c>
      <c r="G232" t="inlineStr">
        <is>
          <t>VÄSTERÅS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44635</v>
      </c>
      <c r="E233" s="1" t="n">
        <v>46309</v>
      </c>
      <c r="F233" t="inlineStr">
        <is>
          <t>VÄSTMANLANDS LÄN</t>
        </is>
      </c>
      <c r="G233" t="inlineStr">
        <is>
          <t>VÄSTERÅS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44635</v>
      </c>
      <c r="E234" s="1" t="n">
        <v>46309</v>
      </c>
      <c r="F234" t="inlineStr">
        <is>
          <t>VÄSTMANLANDS LÄN</t>
        </is>
      </c>
      <c r="G234" t="inlineStr">
        <is>
          <t>VÄSTERÅS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46309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44635</v>
      </c>
      <c r="E236" s="1" t="n">
        <v>46309</v>
      </c>
      <c r="F236" t="inlineStr">
        <is>
          <t>VÄSTMANLANDS LÄN</t>
        </is>
      </c>
      <c r="G236" t="inlineStr">
        <is>
          <t>VÄSTERÅS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46309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46309</v>
      </c>
      <c r="F238" t="inlineStr">
        <is>
          <t>VÄSTMANLANDS LÄN</t>
        </is>
      </c>
      <c r="G238" t="inlineStr">
        <is>
          <t>VÄSTERÅS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46309</v>
      </c>
      <c r="F239" t="inlineStr">
        <is>
          <t>VÄSTMANLANDS LÄN</t>
        </is>
      </c>
      <c r="G239" t="inlineStr">
        <is>
          <t>VÄSTERÅS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44708</v>
      </c>
      <c r="E240" s="1" t="n">
        <v>46309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46309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46309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46309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46309</v>
      </c>
      <c r="F244" t="inlineStr">
        <is>
          <t>VÄSTMANLANDS LÄN</t>
        </is>
      </c>
      <c r="G244" t="inlineStr">
        <is>
          <t>VÄSTERÅS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46309</v>
      </c>
      <c r="F245" t="inlineStr">
        <is>
          <t>VÄSTMANLANDS LÄN</t>
        </is>
      </c>
      <c r="G245" t="inlineStr">
        <is>
          <t>VÄSTERÅS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44680</v>
      </c>
      <c r="E246" s="1" t="n">
        <v>46309</v>
      </c>
      <c r="F246" t="inlineStr">
        <is>
          <t>VÄSTMANLANDS LÄN</t>
        </is>
      </c>
      <c r="G246" t="inlineStr">
        <is>
          <t>VÄSTERÅS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44743</v>
      </c>
      <c r="E247" s="1" t="n">
        <v>46309</v>
      </c>
      <c r="F247" t="inlineStr">
        <is>
          <t>VÄSTMANLANDS LÄN</t>
        </is>
      </c>
      <c r="G247" t="inlineStr">
        <is>
          <t>VÄSTERÅS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46309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46309</v>
      </c>
      <c r="F249" t="inlineStr">
        <is>
          <t>VÄSTMANLANDS LÄN</t>
        </is>
      </c>
      <c r="G249" t="inlineStr">
        <is>
          <t>VÄSTERÅS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44664</v>
      </c>
      <c r="E250" s="1" t="n">
        <v>46309</v>
      </c>
      <c r="F250" t="inlineStr">
        <is>
          <t>VÄSTMANLANDS LÄN</t>
        </is>
      </c>
      <c r="G250" t="inlineStr">
        <is>
          <t>VÄSTERÅS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46309</v>
      </c>
      <c r="F251" t="inlineStr">
        <is>
          <t>VÄSTMANLANDS LÄN</t>
        </is>
      </c>
      <c r="G251" t="inlineStr">
        <is>
          <t>VÄSTERÅS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46309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46309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46309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Allmännings- och besparingsskogar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45279</v>
      </c>
      <c r="E255" s="1" t="n">
        <v>46309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64793-2023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46309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46309</v>
      </c>
      <c r="F257" t="inlineStr">
        <is>
          <t>VÄSTMANLANDS LÄN</t>
        </is>
      </c>
      <c r="G257" t="inlineStr">
        <is>
          <t>VÄSTERÅS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46309</v>
      </c>
      <c r="F258" t="inlineStr">
        <is>
          <t>VÄSTMANLANDS LÄN</t>
        </is>
      </c>
      <c r="G258" t="inlineStr">
        <is>
          <t>VÄSTERÅS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46309</v>
      </c>
      <c r="F259" t="inlineStr">
        <is>
          <t>VÄSTMANLANDS LÄN</t>
        </is>
      </c>
      <c r="G259" t="inlineStr">
        <is>
          <t>VÄSTERÅS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46309</v>
      </c>
      <c r="F260" t="inlineStr">
        <is>
          <t>VÄSTMANLANDS LÄN</t>
        </is>
      </c>
      <c r="G260" t="inlineStr">
        <is>
          <t>VÄSTERÅS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46309</v>
      </c>
      <c r="F261" t="inlineStr">
        <is>
          <t>VÄSTMANLANDS LÄN</t>
        </is>
      </c>
      <c r="G261" t="inlineStr">
        <is>
          <t>VÄSTERÅS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44847</v>
      </c>
      <c r="E262" s="1" t="n">
        <v>46309</v>
      </c>
      <c r="F262" t="inlineStr">
        <is>
          <t>VÄSTMANLANDS LÄN</t>
        </is>
      </c>
      <c r="G262" t="inlineStr">
        <is>
          <t>VÄSTERÅS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46309</v>
      </c>
      <c r="F263" t="inlineStr">
        <is>
          <t>VÄSTMANLANDS LÄN</t>
        </is>
      </c>
      <c r="G263" t="inlineStr">
        <is>
          <t>VÄSTERÅS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44961</v>
      </c>
      <c r="E264" s="1" t="n">
        <v>46309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28341-2026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46309</v>
      </c>
      <c r="F265" t="inlineStr">
        <is>
          <t>VÄSTMANLANDS LÄN</t>
        </is>
      </c>
      <c r="G265" t="inlineStr">
        <is>
          <t>VÄSTERÅS</t>
        </is>
      </c>
      <c r="I265" t="n">
        <v>14.1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67352-2021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46309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Övriga Aktiebolag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46309</v>
      </c>
      <c r="F267" t="inlineStr">
        <is>
          <t>VÄSTMANLANDS LÄN</t>
        </is>
      </c>
      <c r="G267" t="inlineStr">
        <is>
          <t>VÄSTERÅS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46309</v>
      </c>
      <c r="F268" t="inlineStr">
        <is>
          <t>VÄSTMANLANDS LÄN</t>
        </is>
      </c>
      <c r="G268" t="inlineStr">
        <is>
          <t>VÄSTERÅS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44657</v>
      </c>
      <c r="E269" s="1" t="n">
        <v>46309</v>
      </c>
      <c r="F269" t="inlineStr">
        <is>
          <t>VÄSTMANLANDS LÄN</t>
        </is>
      </c>
      <c r="G269" t="inlineStr">
        <is>
          <t>VÄSTERÅS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44755</v>
      </c>
      <c r="E270" s="1" t="n">
        <v>46309</v>
      </c>
      <c r="F270" t="inlineStr">
        <is>
          <t>VÄSTMANLANDS LÄN</t>
        </is>
      </c>
      <c r="G270" t="inlineStr">
        <is>
          <t>VÄSTERÅS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11137-2023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44987</v>
      </c>
      <c r="E271" s="1" t="n">
        <v>46309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45019</v>
      </c>
      <c r="E272" s="1" t="n">
        <v>46309</v>
      </c>
      <c r="F272" t="inlineStr">
        <is>
          <t>VÄSTMANLANDS LÄN</t>
        </is>
      </c>
      <c r="G272" t="inlineStr">
        <is>
          <t>VÄSTERÅS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46309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46309</v>
      </c>
      <c r="F274" t="inlineStr">
        <is>
          <t>VÄSTMANLANDS LÄN</t>
        </is>
      </c>
      <c r="G274" t="inlineStr">
        <is>
          <t>VÄSTERÅS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45072</v>
      </c>
      <c r="E275" s="1" t="n">
        <v>46309</v>
      </c>
      <c r="F275" t="inlineStr">
        <is>
          <t>VÄSTMANLANDS LÄN</t>
        </is>
      </c>
      <c r="G275" t="inlineStr">
        <is>
          <t>VÄSTERÅS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46309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46309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45553</v>
      </c>
      <c r="E278" s="1" t="n">
        <v>46309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Kyrkan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45579</v>
      </c>
      <c r="E279" s="1" t="n">
        <v>46309</v>
      </c>
      <c r="F279" t="inlineStr">
        <is>
          <t>VÄSTMANLANDS LÄN</t>
        </is>
      </c>
      <c r="G279" t="inlineStr">
        <is>
          <t>VÄSTERÅS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31232-2026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46217</v>
      </c>
      <c r="E280" s="1" t="n">
        <v>46309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46309</v>
      </c>
      <c r="F281" t="inlineStr">
        <is>
          <t>VÄSTMANLANDS LÄN</t>
        </is>
      </c>
      <c r="G281" t="inlineStr">
        <is>
          <t>VÄSTERÅS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46309</v>
      </c>
      <c r="F282" t="inlineStr">
        <is>
          <t>VÄSTMANLANDS LÄN</t>
        </is>
      </c>
      <c r="G282" t="inlineStr">
        <is>
          <t>VÄSTERÅS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46309</v>
      </c>
      <c r="F283" t="inlineStr">
        <is>
          <t>VÄSTMANLANDS LÄN</t>
        </is>
      </c>
      <c r="G283" t="inlineStr">
        <is>
          <t>VÄSTERÅS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46309</v>
      </c>
      <c r="F284" t="inlineStr">
        <is>
          <t>VÄSTMANLANDS LÄN</t>
        </is>
      </c>
      <c r="G284" t="inlineStr">
        <is>
          <t>VÄSTERÅS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46309</v>
      </c>
      <c r="F285" t="inlineStr">
        <is>
          <t>VÄSTMANLANDS LÄN</t>
        </is>
      </c>
      <c r="G285" t="inlineStr">
        <is>
          <t>VÄSTERÅS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61249-2021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46309</v>
      </c>
      <c r="F286" t="inlineStr">
        <is>
          <t>VÄSTMANLANDS LÄN</t>
        </is>
      </c>
      <c r="G286" t="inlineStr">
        <is>
          <t>VÄSTERÅS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8727-2023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44978</v>
      </c>
      <c r="E287" s="1" t="n">
        <v>46309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46309</v>
      </c>
      <c r="F288" t="inlineStr">
        <is>
          <t>VÄSTMANLANDS LÄN</t>
        </is>
      </c>
      <c r="G288" t="inlineStr">
        <is>
          <t>VÄSTERÅS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46274</v>
      </c>
      <c r="E289" s="1" t="n">
        <v>46309</v>
      </c>
      <c r="F289" t="inlineStr">
        <is>
          <t>VÄSTMANLANDS LÄN</t>
        </is>
      </c>
      <c r="G289" t="inlineStr">
        <is>
          <t>VÄSTERÅS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46274</v>
      </c>
      <c r="E290" s="1" t="n">
        <v>46309</v>
      </c>
      <c r="F290" t="inlineStr">
        <is>
          <t>VÄSTMANLANDS LÄN</t>
        </is>
      </c>
      <c r="G290" t="inlineStr">
        <is>
          <t>VÄSTERÅS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46309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45251</v>
      </c>
      <c r="E292" s="1" t="n">
        <v>46309</v>
      </c>
      <c r="F292" t="inlineStr">
        <is>
          <t>VÄSTMANLANDS LÄN</t>
        </is>
      </c>
      <c r="G292" t="inlineStr">
        <is>
          <t>VÄSTERÅS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44659</v>
      </c>
      <c r="E293" s="1" t="n">
        <v>46309</v>
      </c>
      <c r="F293" t="inlineStr">
        <is>
          <t>VÄSTMANLANDS LÄN</t>
        </is>
      </c>
      <c r="G293" t="inlineStr">
        <is>
          <t>VÄSTERÅS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46309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46309</v>
      </c>
      <c r="F295" t="inlineStr">
        <is>
          <t>VÄSTMANLANDS LÄN</t>
        </is>
      </c>
      <c r="G295" t="inlineStr">
        <is>
          <t>VÄSTERÅS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46309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46309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46309</v>
      </c>
      <c r="F298" t="inlineStr">
        <is>
          <t>VÄSTMANLANDS LÄN</t>
        </is>
      </c>
      <c r="G298" t="inlineStr">
        <is>
          <t>VÄSTERÅS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55684-2023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45232</v>
      </c>
      <c r="E299" s="1" t="n">
        <v>46309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Övriga Aktiebolag</t>
        </is>
      </c>
      <c r="I299" t="n">
        <v>29.4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46309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Kyrkan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45019</v>
      </c>
      <c r="E301" s="1" t="n">
        <v>46309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46272</v>
      </c>
      <c r="E302" s="1" t="n">
        <v>46309</v>
      </c>
      <c r="F302" t="inlineStr">
        <is>
          <t>VÄSTMANLANDS LÄN</t>
        </is>
      </c>
      <c r="G302" t="inlineStr">
        <is>
          <t>VÄSTERÅS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18467-2023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45042</v>
      </c>
      <c r="E303" s="1" t="n">
        <v>46309</v>
      </c>
      <c r="F303" t="inlineStr">
        <is>
          <t>VÄSTMANLANDS LÄN</t>
        </is>
      </c>
      <c r="G303" t="inlineStr">
        <is>
          <t>VÄSTERÅS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45033</v>
      </c>
      <c r="E304" s="1" t="n">
        <v>46309</v>
      </c>
      <c r="F304" t="inlineStr">
        <is>
          <t>VÄSTMANLANDS LÄN</t>
        </is>
      </c>
      <c r="G304" t="inlineStr">
        <is>
          <t>VÄSTERÅS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45370</v>
      </c>
      <c r="E305" s="1" t="n">
        <v>46309</v>
      </c>
      <c r="F305" t="inlineStr">
        <is>
          <t>VÄSTMANLANDS LÄN</t>
        </is>
      </c>
      <c r="G305" t="inlineStr">
        <is>
          <t>VÄSTERÅS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46309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46309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46309</v>
      </c>
      <c r="F308" t="inlineStr">
        <is>
          <t>VÄSTMANLANDS LÄN</t>
        </is>
      </c>
      <c r="G308" t="inlineStr">
        <is>
          <t>VÄSTERÅS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46309</v>
      </c>
      <c r="F309" t="inlineStr">
        <is>
          <t>VÄSTMANLANDS LÄN</t>
        </is>
      </c>
      <c r="G309" t="inlineStr">
        <is>
          <t>VÄSTERÅS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46309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45019</v>
      </c>
      <c r="E311" s="1" t="n">
        <v>46309</v>
      </c>
      <c r="F311" t="inlineStr">
        <is>
          <t>VÄSTMANLANDS LÄN</t>
        </is>
      </c>
      <c r="G311" t="inlineStr">
        <is>
          <t>VÄSTERÅS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45713</v>
      </c>
      <c r="E312" s="1" t="n">
        <v>46309</v>
      </c>
      <c r="F312" t="inlineStr">
        <is>
          <t>VÄSTMANLANDS LÄN</t>
        </is>
      </c>
      <c r="G312" t="inlineStr">
        <is>
          <t>VÄSTERÅS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59536-2024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46309</v>
      </c>
      <c r="F313" t="inlineStr">
        <is>
          <t>VÄSTMANLANDS LÄN</t>
        </is>
      </c>
      <c r="G313" t="inlineStr">
        <is>
          <t>VÄSTERÅS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46309</v>
      </c>
      <c r="F314" t="inlineStr">
        <is>
          <t>VÄSTMANLANDS LÄN</t>
        </is>
      </c>
      <c r="G314" t="inlineStr">
        <is>
          <t>VÄSTERÅS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46309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46287</v>
      </c>
      <c r="E316" s="1" t="n">
        <v>46309</v>
      </c>
      <c r="F316" t="inlineStr">
        <is>
          <t>VÄSTMANLANDS LÄN</t>
        </is>
      </c>
      <c r="G316" t="inlineStr">
        <is>
          <t>VÄSTERÅS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46309</v>
      </c>
      <c r="F317" t="inlineStr">
        <is>
          <t>VÄSTMANLANDS LÄN</t>
        </is>
      </c>
      <c r="G317" t="inlineStr">
        <is>
          <t>VÄSTERÅS</t>
        </is>
      </c>
      <c r="I317" t="n">
        <v>15.4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46080</v>
      </c>
      <c r="E318" s="1" t="n">
        <v>46309</v>
      </c>
      <c r="F318" t="inlineStr">
        <is>
          <t>VÄSTMANLANDS LÄN</t>
        </is>
      </c>
      <c r="G318" t="inlineStr">
        <is>
          <t>VÄSTERÅS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46215</v>
      </c>
      <c r="E319" s="1" t="n">
        <v>46309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46309</v>
      </c>
      <c r="F320" t="inlineStr">
        <is>
          <t>VÄSTMANLANDS LÄN</t>
        </is>
      </c>
      <c r="G320" t="inlineStr">
        <is>
          <t>VÄSTERÅS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46303</v>
      </c>
      <c r="E321" s="1" t="n">
        <v>46309</v>
      </c>
      <c r="F321" t="inlineStr">
        <is>
          <t>VÄSTMANLANDS LÄN</t>
        </is>
      </c>
      <c r="G321" t="inlineStr">
        <is>
          <t>VÄSTERÅS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46309</v>
      </c>
      <c r="F322" t="inlineStr">
        <is>
          <t>VÄSTMANLANDS LÄN</t>
        </is>
      </c>
      <c r="G322" t="inlineStr">
        <is>
          <t>VÄSTERÅS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46309</v>
      </c>
      <c r="F323" t="inlineStr">
        <is>
          <t>VÄSTMANLANDS LÄN</t>
        </is>
      </c>
      <c r="G323" t="inlineStr">
        <is>
          <t>VÄSTERÅS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46303</v>
      </c>
      <c r="E324" s="1" t="n">
        <v>46309</v>
      </c>
      <c r="F324" t="inlineStr">
        <is>
          <t>VÄSTMANLANDS LÄN</t>
        </is>
      </c>
      <c r="G324" t="inlineStr">
        <is>
          <t>VÄSTERÅS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46215</v>
      </c>
      <c r="E325" s="1" t="n">
        <v>46309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46309</v>
      </c>
      <c r="F326" t="inlineStr">
        <is>
          <t>VÄSTMANLANDS LÄN</t>
        </is>
      </c>
      <c r="G326" t="inlineStr">
        <is>
          <t>VÄSTERÅS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46215</v>
      </c>
      <c r="E327" s="1" t="n">
        <v>46309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46309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46309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46309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46309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46309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46309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46309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2026-10-14T02:00:50Z</dcterms:created>
  <dcterms:modified xmlns:dcterms="http://purl.org/dc/terms/" xmlns:xsi="http://www.w3.org/2001/XMLSchema-instance" xsi:type="dcterms:W3CDTF">2026-10-14T02:00:50Z</dcterms:modified>
</cp:coreProperties>
</file>