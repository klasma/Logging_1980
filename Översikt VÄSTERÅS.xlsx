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46319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46319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46319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46319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46319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25672-2024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45463</v>
      </c>
      <c r="E18" s="1" t="n">
        <v>46319</v>
      </c>
      <c r="F18" t="inlineStr">
        <is>
          <t>VÄSTMANLANDS LÄN</t>
        </is>
      </c>
      <c r="G18" t="inlineStr">
        <is>
          <t>VÄSTERÅS</t>
        </is>
      </c>
      <c r="I18" t="n">
        <v>11.3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9</v>
      </c>
      <c r="U18" t="n">
        <v>0</v>
      </c>
      <c r="V18" s="2" t="inlineStr">
        <is>
          <t>Backsippa
Flentimotej
Jungfrulin
Solvända</t>
        </is>
      </c>
      <c r="W18">
        <f>HYPERLINK("https://klasma.github.io/Logging_1980/artfynd/A 25672-2024 artfynd.xlsx", "A 25672-2024")</f>
        <v/>
      </c>
      <c r="X18">
        <f>HYPERLINK("https://klasma.github.io/Logging_1980/kartor/A 25672-2024 karta.png", "A 25672-2024")</f>
        <v/>
      </c>
      <c r="Y18">
        <f>HYPERLINK("https://klasma.github.io/Logging_1980/kartor_geotiff/A 25672-2024 georefererad karta.tif", "A 25672-2024")</f>
        <v/>
      </c>
      <c r="AA18">
        <f>HYPERLINK("https://klasma.github.io/Logging_1980/klagomål/A 25672-2024 FSC-klagomål.docx", "A 25672-2024")</f>
        <v/>
      </c>
      <c r="AB18">
        <f>HYPERLINK("https://klasma.github.io/Logging_1980/klagomålsmail/A 25672-2024 FSC-klagomål mail.docx", "A 25672-2024")</f>
        <v/>
      </c>
      <c r="AC18">
        <f>HYPERLINK("https://klasma.github.io/Logging_1980/tillsyn/A 25672-2024 tillsynsbegäran.docx", "A 25672-2024")</f>
        <v/>
      </c>
      <c r="AD18">
        <f>HYPERLINK("https://klasma.github.io/Logging_1980/tillsynsmail/A 25672-2024 tillsynsbegäran mail.docx", "A 25672-2024")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46319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46319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46319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46319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46319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40782-2022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44824</v>
      </c>
      <c r="E24" s="1" t="n">
        <v>46319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8</v>
      </c>
      <c r="U24" t="n">
        <v>0</v>
      </c>
      <c r="V24" s="2" t="inlineStr">
        <is>
          <t>Ask
Tallticka
Scharlakansvårskål agg.
Blåsippa</t>
        </is>
      </c>
      <c r="W24">
        <f>HYPERLINK("https://klasma.github.io/Logging_1980/artfynd/A 40782-2022 artfynd.xlsx", "A 40782-2022")</f>
        <v/>
      </c>
      <c r="X24">
        <f>HYPERLINK("https://klasma.github.io/Logging_1980/kartor/A 40782-2022 karta.png", "A 40782-2022")</f>
        <v/>
      </c>
      <c r="Y24">
        <f>HYPERLINK("https://klasma.github.io/Logging_1980/kartor_geotiff/A 40782-2022 georefererad karta.tif", "A 40782-2022")</f>
        <v/>
      </c>
      <c r="AA24">
        <f>HYPERLINK("https://klasma.github.io/Logging_1980/klagomål/A 40782-2022 FSC-klagomål.docx", "A 40782-2022")</f>
        <v/>
      </c>
      <c r="AB24">
        <f>HYPERLINK("https://klasma.github.io/Logging_1980/klagomålsmail/A 40782-2022 FSC-klagomål mail.docx", "A 40782-2022")</f>
        <v/>
      </c>
      <c r="AC24">
        <f>HYPERLINK("https://klasma.github.io/Logging_1980/tillsyn/A 40782-2022 tillsynsbegäran.docx", "A 40782-2022")</f>
        <v/>
      </c>
      <c r="AD24">
        <f>HYPERLINK("https://klasma.github.io/Logging_1980/tillsynsmail/A 40782-2022 tillsynsbegäran mail.docx", "A 40782-2022")</f>
        <v/>
      </c>
    </row>
    <row r="25" ht="15" customHeight="1">
      <c r="A25" t="inlineStr">
        <is>
          <t>A 47228-2022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44852</v>
      </c>
      <c r="E25" s="1" t="n">
        <v>46319</v>
      </c>
      <c r="F25" t="inlineStr">
        <is>
          <t>VÄSTMANLANDS LÄN</t>
        </is>
      </c>
      <c r="G25" t="inlineStr">
        <is>
          <t>VÄSTERÅS</t>
        </is>
      </c>
      <c r="I25" t="n">
        <v>11.6</v>
      </c>
      <c r="J25" t="n">
        <v>1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2</v>
      </c>
      <c r="V25" s="2" t="inlineStr">
        <is>
          <t>Vithornad barkskinnbagge
Xyletinus ater
Mindre märgborre
Fiskgjuse</t>
        </is>
      </c>
      <c r="W25">
        <f>HYPERLINK("https://klasma.github.io/Logging_1980/artfynd/A 47228-2022 artfynd.xlsx", "A 47228-2022")</f>
        <v/>
      </c>
      <c r="X25">
        <f>HYPERLINK("https://klasma.github.io/Logging_1980/kartor/A 47228-2022 karta.png", "A 47228-2022")</f>
        <v/>
      </c>
      <c r="Y25">
        <f>HYPERLINK("https://klasma.github.io/Logging_1980/kartor_geotiff/A 47228-2022 georefererad karta.tif", "A 47228-2022")</f>
        <v/>
      </c>
      <c r="AA25">
        <f>HYPERLINK("https://klasma.github.io/Logging_1980/klagomål/A 47228-2022 FSC-klagomål.docx", "A 47228-2022")</f>
        <v/>
      </c>
      <c r="AB25">
        <f>HYPERLINK("https://klasma.github.io/Logging_1980/klagomålsmail/A 47228-2022 FSC-klagomål mail.docx", "A 47228-2022")</f>
        <v/>
      </c>
      <c r="AC25">
        <f>HYPERLINK("https://klasma.github.io/Logging_1980/tillsyn/A 47228-2022 tillsynsbegäran.docx", "A 47228-2022")</f>
        <v/>
      </c>
      <c r="AD25">
        <f>HYPERLINK("https://klasma.github.io/Logging_1980/tillsynsmail/A 47228-2022 tillsynsbegäran mail.docx", "A 47228-2022")</f>
        <v/>
      </c>
      <c r="AE25">
        <f>HYPERLINK("https://klasma.github.io/Logging_1980/fåglar/A 47228-2022 prioriterade fågelarter.docx", "A 47228-2022")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46319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46319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46319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46319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39917-2026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46290</v>
      </c>
      <c r="E30" s="1" t="n">
        <v>46319</v>
      </c>
      <c r="F30" t="inlineStr">
        <is>
          <t>VÄSTMANLANDS LÄN</t>
        </is>
      </c>
      <c r="G30" t="inlineStr">
        <is>
          <t>VÄSTERÅS</t>
        </is>
      </c>
      <c r="H30" t="inlineStr">
        <is>
          <t>Sveaskog</t>
        </is>
      </c>
      <c r="I30" t="n">
        <v>6.5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3</v>
      </c>
      <c r="V30" s="2" t="inlineStr">
        <is>
          <t>Motaggsvamp
Blodticka
Revlummer</t>
        </is>
      </c>
      <c r="W30">
        <f>HYPERLINK("https://klasma.github.io/Logging_1980/artfynd/A 39917-2026 artfynd.xlsx", "A 39917-2026")</f>
        <v/>
      </c>
      <c r="X30">
        <f>HYPERLINK("https://klasma.github.io/Logging_1980/kartor/A 39917-2026 karta.png", "A 39917-2026")</f>
        <v/>
      </c>
      <c r="Y30">
        <f>HYPERLINK("https://klasma.github.io/Logging_1980/kartor_geotiff/A 39917-2026 georefererad karta.tif", "A 39917-2026")</f>
        <v/>
      </c>
      <c r="AA30">
        <f>HYPERLINK("https://klasma.github.io/Logging_1980/klagomål/A 39917-2026 FSC-klagomål.docx", "A 39917-2026")</f>
        <v/>
      </c>
      <c r="AB30">
        <f>HYPERLINK("https://klasma.github.io/Logging_1980/klagomålsmail/A 39917-2026 FSC-klagomål mail.docx", "A 39917-2026")</f>
        <v/>
      </c>
      <c r="AC30">
        <f>HYPERLINK("https://klasma.github.io/Logging_1980/tillsyn/A 39917-2026 tillsynsbegäran.docx", "A 39917-2026")</f>
        <v/>
      </c>
      <c r="AD30">
        <f>HYPERLINK("https://klasma.github.io/Logging_1980/tillsynsmail/A 39917-2026 tillsynsbegäran mail.docx", "A 39917-2026")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46319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14265-2025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46319</v>
      </c>
      <c r="F32" t="inlineStr">
        <is>
          <t>VÄSTMANLANDS LÄN</t>
        </is>
      </c>
      <c r="G32" t="inlineStr">
        <is>
          <t>VÄSTERÅS</t>
        </is>
      </c>
      <c r="I32" t="n">
        <v>2.1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9</v>
      </c>
      <c r="U32" t="n">
        <v>0</v>
      </c>
      <c r="V32" s="2" t="inlineStr">
        <is>
          <t>Knärot
Tallticka
Blåsippa</t>
        </is>
      </c>
      <c r="W32">
        <f>HYPERLINK("https://klasma.github.io/Logging_1980/artfynd/A 14265-2025 artfynd.xlsx", "A 14265-2025")</f>
        <v/>
      </c>
      <c r="X32">
        <f>HYPERLINK("https://klasma.github.io/Logging_1980/kartor/A 14265-2025 karta.png", "A 14265-2025")</f>
        <v/>
      </c>
      <c r="Y32">
        <f>HYPERLINK("https://klasma.github.io/Logging_1980/kartor_geotiff/A 14265-2025 georefererad karta.tif", "A 14265-2025")</f>
        <v/>
      </c>
      <c r="Z32">
        <f>HYPERLINK("https://klasma.github.io/Logging_1980/knärot/A 14265-2025 karta knärot.png", "A 14265-2025")</f>
        <v/>
      </c>
      <c r="AA32">
        <f>HYPERLINK("https://klasma.github.io/Logging_1980/klagomål/A 14265-2025 FSC-klagomål.docx", "A 14265-2025")</f>
        <v/>
      </c>
      <c r="AB32">
        <f>HYPERLINK("https://klasma.github.io/Logging_1980/klagomålsmail/A 14265-2025 FSC-klagomål mail.docx", "A 14265-2025")</f>
        <v/>
      </c>
      <c r="AC32">
        <f>HYPERLINK("https://klasma.github.io/Logging_1980/tillsyn/A 14265-2025 tillsynsbegäran.docx", "A 14265-2025")</f>
        <v/>
      </c>
      <c r="AD32">
        <f>HYPERLINK("https://klasma.github.io/Logging_1980/tillsynsmail/A 14265-2025 tillsynsbegäran mail.docx", "A 14265-2025")</f>
        <v/>
      </c>
    </row>
    <row r="33" ht="15" customHeight="1">
      <c r="A33" t="inlineStr">
        <is>
          <t>A 64735-2023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46319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12.5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6</v>
      </c>
      <c r="U33" t="n">
        <v>1</v>
      </c>
      <c r="V33" s="2" t="inlineStr">
        <is>
          <t>Backsippa
Vårstarr
Gullviva</t>
        </is>
      </c>
      <c r="W33">
        <f>HYPERLINK("https://klasma.github.io/Logging_1980/artfynd/A 64735-2023 artfynd.xlsx", "A 64735-2023")</f>
        <v/>
      </c>
      <c r="X33">
        <f>HYPERLINK("https://klasma.github.io/Logging_1980/kartor/A 64735-2023 karta.png", "A 64735-2023")</f>
        <v/>
      </c>
      <c r="Y33">
        <f>HYPERLINK("https://klasma.github.io/Logging_1980/kartor_geotiff/A 64735-2023 georefererad karta.tif", "A 64735-2023")</f>
        <v/>
      </c>
      <c r="AA33">
        <f>HYPERLINK("https://klasma.github.io/Logging_1980/klagomål/A 64735-2023 FSC-klagomål.docx", "A 64735-2023")</f>
        <v/>
      </c>
      <c r="AB33">
        <f>HYPERLINK("https://klasma.github.io/Logging_1980/klagomålsmail/A 64735-2023 FSC-klagomål mail.docx", "A 64735-2023")</f>
        <v/>
      </c>
      <c r="AC33">
        <f>HYPERLINK("https://klasma.github.io/Logging_1980/tillsyn/A 64735-2023 tillsynsbegäran.docx", "A 64735-2023")</f>
        <v/>
      </c>
      <c r="AD33">
        <f>HYPERLINK("https://klasma.github.io/Logging_1980/tillsynsmail/A 64735-2023 tillsynsbegäran mail.docx", "A 64735-2023")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46319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46319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46319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39918-2026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46290</v>
      </c>
      <c r="E37" s="1" t="n">
        <v>46319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Spillkråka
Revlummer</t>
        </is>
      </c>
      <c r="W37">
        <f>HYPERLINK("https://klasma.github.io/Logging_1980/artfynd/A 39918-2026 artfynd.xlsx", "A 39918-2026")</f>
        <v/>
      </c>
      <c r="X37">
        <f>HYPERLINK("https://klasma.github.io/Logging_1980/kartor/A 39918-2026 karta.png", "A 39918-2026")</f>
        <v/>
      </c>
      <c r="Y37">
        <f>HYPERLINK("https://klasma.github.io/Logging_1980/kartor_geotiff/A 39918-2026 georefererad karta.tif", "A 39918-2026")</f>
        <v/>
      </c>
      <c r="AA37">
        <f>HYPERLINK("https://klasma.github.io/Logging_1980/klagomål/A 39918-2026 FSC-klagomål.docx", "A 39918-2026")</f>
        <v/>
      </c>
      <c r="AB37">
        <f>HYPERLINK("https://klasma.github.io/Logging_1980/klagomålsmail/A 39918-2026 FSC-klagomål mail.docx", "A 39918-2026")</f>
        <v/>
      </c>
      <c r="AC37">
        <f>HYPERLINK("https://klasma.github.io/Logging_1980/tillsyn/A 39918-2026 tillsynsbegäran.docx", "A 39918-2026")</f>
        <v/>
      </c>
      <c r="AD37">
        <f>HYPERLINK("https://klasma.github.io/Logging_1980/tillsynsmail/A 39918-2026 tillsynsbegäran mail.docx", "A 39918-2026")</f>
        <v/>
      </c>
      <c r="AE37">
        <f>HYPERLINK("https://klasma.github.io/Logging_1980/fåglar/A 39918-2026 prioriterade fågelarter.docx", "A 39918-2026")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46319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A 41983-2026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46319</v>
      </c>
      <c r="F39" t="inlineStr">
        <is>
          <t>VÄSTMANLANDS LÄN</t>
        </is>
      </c>
      <c r="G39" t="inlineStr">
        <is>
          <t>VÄSTERÅS</t>
        </is>
      </c>
      <c r="I39" t="n">
        <v>4.8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Spillkråka
Gröngöling</t>
        </is>
      </c>
      <c r="W39">
        <f>HYPERLINK("https://klasma.github.io/Logging_1980/artfynd/A 41983-2026 artfynd.xlsx", "A 41983-2026")</f>
        <v/>
      </c>
      <c r="X39">
        <f>HYPERLINK("https://klasma.github.io/Logging_1980/kartor/A 41983-2026 karta.png", "A 41983-2026")</f>
        <v/>
      </c>
      <c r="Y39">
        <f>HYPERLINK("https://klasma.github.io/Logging_1980/kartor_geotiff/A 41983-2026 georefererad karta.tif", "A 41983-2026")</f>
        <v/>
      </c>
      <c r="AA39">
        <f>HYPERLINK("https://klasma.github.io/Logging_1980/klagomål/A 41983-2026 FSC-klagomål.docx", "A 41983-2026")</f>
        <v/>
      </c>
      <c r="AB39">
        <f>HYPERLINK("https://klasma.github.io/Logging_1980/klagomålsmail/A 41983-2026 FSC-klagomål mail.docx", "A 41983-2026")</f>
        <v/>
      </c>
      <c r="AC39">
        <f>HYPERLINK("https://klasma.github.io/Logging_1980/tillsyn/A 41983-2026 tillsynsbegäran.docx", "A 41983-2026")</f>
        <v/>
      </c>
      <c r="AD39">
        <f>HYPERLINK("https://klasma.github.io/Logging_1980/tillsynsmail/A 41983-2026 tillsynsbegäran mail.docx", "A 41983-2026")</f>
        <v/>
      </c>
      <c r="AE39">
        <f>HYPERLINK("https://klasma.github.io/Logging_1980/fåglar/A 41983-2026 prioriterade fågelarter.docx", "A 41983-2026")</f>
        <v/>
      </c>
    </row>
    <row r="40" ht="15" customHeight="1">
      <c r="A40" t="inlineStr">
        <is>
          <t>A 9327-2026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46319</v>
      </c>
      <c r="F40" t="inlineStr">
        <is>
          <t>VÄSTMANLANDS LÄN</t>
        </is>
      </c>
      <c r="G40" t="inlineStr">
        <is>
          <t>VÄSTERÅS</t>
        </is>
      </c>
      <c r="H40" t="inlineStr">
        <is>
          <t>Kommuner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Tibast</t>
        </is>
      </c>
      <c r="W40">
        <f>HYPERLINK("https://klasma.github.io/Logging_1980/artfynd/A 9327-2026 artfynd.xlsx", "A 9327-2026")</f>
        <v/>
      </c>
      <c r="X40">
        <f>HYPERLINK("https://klasma.github.io/Logging_1980/kartor/A 9327-2026 karta.png", "A 9327-2026")</f>
        <v/>
      </c>
      <c r="Y40">
        <f>HYPERLINK("https://klasma.github.io/Logging_1980/kartor_geotiff/A 9327-2026 georefererad karta.tif", "A 9327-2026")</f>
        <v/>
      </c>
      <c r="AA40">
        <f>HYPERLINK("https://klasma.github.io/Logging_1980/klagomål/A 9327-2026 FSC-klagomål.docx", "A 9327-2026")</f>
        <v/>
      </c>
      <c r="AB40">
        <f>HYPERLINK("https://klasma.github.io/Logging_1980/klagomålsmail/A 9327-2026 FSC-klagomål mail.docx", "A 9327-2026")</f>
        <v/>
      </c>
      <c r="AC40">
        <f>HYPERLINK("https://klasma.github.io/Logging_1980/tillsyn/A 9327-2026 tillsynsbegäran.docx", "A 9327-2026")</f>
        <v/>
      </c>
      <c r="AD40">
        <f>HYPERLINK("https://klasma.github.io/Logging_1980/tillsynsmail/A 9327-2026 tillsynsbegäran mail.docx", "A 9327-2026")</f>
        <v/>
      </c>
    </row>
    <row r="41" ht="15" customHeight="1">
      <c r="A41" t="inlineStr">
        <is>
          <t>A 22452-2026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46155</v>
      </c>
      <c r="E41" s="1" t="n">
        <v>46319</v>
      </c>
      <c r="F41" t="inlineStr">
        <is>
          <t>VÄSTMANLANDS LÄN</t>
        </is>
      </c>
      <c r="G41" t="inlineStr">
        <is>
          <t>VÄSTERÅS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Kopparödla</t>
        </is>
      </c>
      <c r="W41">
        <f>HYPERLINK("https://klasma.github.io/Logging_1980/artfynd/A 22452-2026 artfynd.xlsx", "A 22452-2026")</f>
        <v/>
      </c>
      <c r="X41">
        <f>HYPERLINK("https://klasma.github.io/Logging_1980/kartor/A 22452-2026 karta.png", "A 22452-2026")</f>
        <v/>
      </c>
      <c r="Y41">
        <f>HYPERLINK("https://klasma.github.io/Logging_1980/kartor_geotiff/A 22452-2026 georefererad karta.tif", "A 22452-2026")</f>
        <v/>
      </c>
      <c r="AA41">
        <f>HYPERLINK("https://klasma.github.io/Logging_1980/klagomål/A 22452-2026 FSC-klagomål.docx", "A 22452-2026")</f>
        <v/>
      </c>
      <c r="AB41">
        <f>HYPERLINK("https://klasma.github.io/Logging_1980/klagomålsmail/A 22452-2026 FSC-klagomål mail.docx", "A 22452-2026")</f>
        <v/>
      </c>
      <c r="AC41">
        <f>HYPERLINK("https://klasma.github.io/Logging_1980/tillsyn/A 22452-2026 tillsynsbegäran.docx", "A 22452-2026")</f>
        <v/>
      </c>
      <c r="AD41">
        <f>HYPERLINK("https://klasma.github.io/Logging_1980/tillsynsmail/A 22452-2026 tillsynsbegäran mail.docx", "A 22452-2026")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46319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46319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46319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46319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46319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46319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Lönnlav</t>
        </is>
      </c>
      <c r="W47">
        <f>HYPERLINK("https://klasma.github.io/Logging_1980/artfynd/A 16374-2025 artfynd.xlsx", "A 16374-2025")</f>
        <v/>
      </c>
      <c r="X47">
        <f>HYPERLINK("https://klasma.github.io/Logging_1980/kartor/A 16374-2025 karta.png", "A 16374-2025")</f>
        <v/>
      </c>
      <c r="Y47">
        <f>HYPERLINK("https://klasma.github.io/Logging_1980/kartor_geotiff/A 16374-2025 georefererad karta.tif", "A 16374-2025")</f>
        <v/>
      </c>
      <c r="AA47">
        <f>HYPERLINK("https://klasma.github.io/Logging_1980/klagomål/A 16374-2025 FSC-klagomål.docx", "A 16374-2025")</f>
        <v/>
      </c>
      <c r="AB47">
        <f>HYPERLINK("https://klasma.github.io/Logging_1980/klagomålsmail/A 16374-2025 FSC-klagomål mail.docx", "A 16374-2025")</f>
        <v/>
      </c>
      <c r="AC47">
        <f>HYPERLINK("https://klasma.github.io/Logging_1980/tillsyn/A 16374-2025 tillsynsbegäran.docx", "A 16374-2025")</f>
        <v/>
      </c>
      <c r="AD47">
        <f>HYPERLINK("https://klasma.github.io/Logging_1980/tillsynsmail/A 16374-2025 tillsynsbegäran mail.docx", "A 16374-2025")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46319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46319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46319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31976-2026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46232</v>
      </c>
      <c r="E51" s="1" t="n">
        <v>46319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14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Rostfläck</t>
        </is>
      </c>
      <c r="W51">
        <f>HYPERLINK("https://klasma.github.io/Logging_1980/artfynd/A 31976-2026 artfynd.xlsx", "A 31976-2026")</f>
        <v/>
      </c>
      <c r="X51">
        <f>HYPERLINK("https://klasma.github.io/Logging_1980/kartor/A 31976-2026 karta.png", "A 31976-2026")</f>
        <v/>
      </c>
      <c r="Y51">
        <f>HYPERLINK("https://klasma.github.io/Logging_1980/kartor_geotiff/A 31976-2026 georefererad karta.tif", "A 31976-2026")</f>
        <v/>
      </c>
      <c r="AA51">
        <f>HYPERLINK("https://klasma.github.io/Logging_1980/klagomål/A 31976-2026 FSC-klagomål.docx", "A 31976-2026")</f>
        <v/>
      </c>
      <c r="AB51">
        <f>HYPERLINK("https://klasma.github.io/Logging_1980/klagomålsmail/A 31976-2026 FSC-klagomål mail.docx", "A 31976-2026")</f>
        <v/>
      </c>
      <c r="AC51">
        <f>HYPERLINK("https://klasma.github.io/Logging_1980/tillsyn/A 31976-2026 tillsynsbegäran.docx", "A 31976-2026")</f>
        <v/>
      </c>
      <c r="AD51">
        <f>HYPERLINK("https://klasma.github.io/Logging_1980/tillsynsmail/A 31976-2026 tillsynsbegäran mail.docx", "A 31976-2026")</f>
        <v/>
      </c>
    </row>
    <row r="52" ht="15" customHeight="1">
      <c r="A52" t="inlineStr">
        <is>
          <t>A 39915-2026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46290</v>
      </c>
      <c r="E52" s="1" t="n">
        <v>46319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HYPERLINK("https://klasma.github.io/Logging_1980/artfynd/A 39915-2026 artfynd.xlsx", "A 39915-2026")</f>
        <v/>
      </c>
      <c r="X52">
        <f>HYPERLINK("https://klasma.github.io/Logging_1980/kartor/A 39915-2026 karta.png", "A 39915-2026")</f>
        <v/>
      </c>
      <c r="Y52">
        <f>HYPERLINK("https://klasma.github.io/Logging_1980/kartor_geotiff/A 39915-2026 georefererad karta.tif", "A 39915-2026")</f>
        <v/>
      </c>
      <c r="AA52">
        <f>HYPERLINK("https://klasma.github.io/Logging_1980/klagomål/A 39915-2026 FSC-klagomål.docx", "A 39915-2026")</f>
        <v/>
      </c>
      <c r="AB52">
        <f>HYPERLINK("https://klasma.github.io/Logging_1980/klagomålsmail/A 39915-2026 FSC-klagomål mail.docx", "A 39915-2026")</f>
        <v/>
      </c>
      <c r="AC52">
        <f>HYPERLINK("https://klasma.github.io/Logging_1980/tillsyn/A 39915-2026 tillsynsbegäran.docx", "A 39915-2026")</f>
        <v/>
      </c>
      <c r="AD52">
        <f>HYPERLINK("https://klasma.github.io/Logging_1980/tillsynsmail/A 39915-2026 tillsynsbegäran mail.docx", "A 39915-2026")</f>
        <v/>
      </c>
    </row>
    <row r="53" ht="15" customHeight="1">
      <c r="A53" t="inlineStr">
        <is>
          <t>A 39919-2026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46290</v>
      </c>
      <c r="E53" s="1" t="n">
        <v>46319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HYPERLINK("https://klasma.github.io/Logging_1980/artfynd/A 39919-2026 artfynd.xlsx", "A 39919-2026")</f>
        <v/>
      </c>
      <c r="X53">
        <f>HYPERLINK("https://klasma.github.io/Logging_1980/kartor/A 39919-2026 karta.png", "A 39919-2026")</f>
        <v/>
      </c>
      <c r="Y53">
        <f>HYPERLINK("https://klasma.github.io/Logging_1980/kartor_geotiff/A 39919-2026 georefererad karta.tif", "A 39919-2026")</f>
        <v/>
      </c>
      <c r="AA53">
        <f>HYPERLINK("https://klasma.github.io/Logging_1980/klagomål/A 39919-2026 FSC-klagomål.docx", "A 39919-2026")</f>
        <v/>
      </c>
      <c r="AB53">
        <f>HYPERLINK("https://klasma.github.io/Logging_1980/klagomålsmail/A 39919-2026 FSC-klagomål mail.docx", "A 39919-2026")</f>
        <v/>
      </c>
      <c r="AC53">
        <f>HYPERLINK("https://klasma.github.io/Logging_1980/tillsyn/A 39919-2026 tillsynsbegäran.docx", "A 39919-2026")</f>
        <v/>
      </c>
      <c r="AD53">
        <f>HYPERLINK("https://klasma.github.io/Logging_1980/tillsynsmail/A 39919-2026 tillsynsbegäran mail.docx", "A 39919-2026")</f>
        <v/>
      </c>
      <c r="AE53">
        <f>HYPERLINK("https://klasma.github.io/Logging_1980/fåglar/A 39919-2026 prioriterade fågelarter.docx", "A 39919-2026")</f>
        <v/>
      </c>
    </row>
    <row r="54" ht="15" customHeight="1">
      <c r="A54" t="inlineStr">
        <is>
          <t>A 55676-2023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45232</v>
      </c>
      <c r="E54" s="1" t="n">
        <v>46319</v>
      </c>
      <c r="F54" t="inlineStr">
        <is>
          <t>VÄSTMANLANDS LÄN</t>
        </is>
      </c>
      <c r="G54" t="inlineStr">
        <is>
          <t>VÄSTERÅS</t>
        </is>
      </c>
      <c r="H54" t="inlineStr">
        <is>
          <t>Övriga Aktiebolag</t>
        </is>
      </c>
      <c r="I54" t="n">
        <v>37.9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HYPERLINK("https://klasma.github.io/Logging_1980/artfynd/A 55676-2023 artfynd.xlsx", "A 55676-2023")</f>
        <v/>
      </c>
      <c r="X54">
        <f>HYPERLINK("https://klasma.github.io/Logging_1980/kartor/A 55676-2023 karta.png", "A 55676-2023")</f>
        <v/>
      </c>
      <c r="Y54">
        <f>HYPERLINK("https://klasma.github.io/Logging_1980/kartor_geotiff/A 55676-2023 georefererad karta.tif", "A 55676-2023")</f>
        <v/>
      </c>
      <c r="AA54">
        <f>HYPERLINK("https://klasma.github.io/Logging_1980/klagomål/A 55676-2023 FSC-klagomål.docx", "A 55676-2023")</f>
        <v/>
      </c>
      <c r="AB54">
        <f>HYPERLINK("https://klasma.github.io/Logging_1980/klagomålsmail/A 55676-2023 FSC-klagomål mail.docx", "A 55676-2023")</f>
        <v/>
      </c>
      <c r="AC54">
        <f>HYPERLINK("https://klasma.github.io/Logging_1980/tillsyn/A 55676-2023 tillsynsbegäran.docx", "A 55676-2023")</f>
        <v/>
      </c>
      <c r="AD54">
        <f>HYPERLINK("https://klasma.github.io/Logging_1980/tillsynsmail/A 55676-2023 tillsynsbegäran mail.docx", "A 55676-2023")</f>
        <v/>
      </c>
      <c r="AE54">
        <f>HYPERLINK("https://klasma.github.io/Logging_1980/fåglar/A 55676-2023 prioriterade fågelarter.docx", "A 55676-2023")</f>
        <v/>
      </c>
    </row>
    <row r="55" ht="15" customHeight="1">
      <c r="A55" t="inlineStr">
        <is>
          <t>A 12905-2022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46319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23.9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HYPERLINK("https://klasma.github.io/Logging_1980/artfynd/A 12905-2022 artfynd.xlsx", "A 12905-2022")</f>
        <v/>
      </c>
      <c r="X55">
        <f>HYPERLINK("https://klasma.github.io/Logging_1980/kartor/A 12905-2022 karta.png", "A 12905-2022")</f>
        <v/>
      </c>
      <c r="Y55">
        <f>HYPERLINK("https://klasma.github.io/Logging_1980/kartor_geotiff/A 12905-2022 georefererad karta.tif", "A 12905-2022")</f>
        <v/>
      </c>
      <c r="AA55">
        <f>HYPERLINK("https://klasma.github.io/Logging_1980/klagomål/A 12905-2022 FSC-klagomål.docx", "A 12905-2022")</f>
        <v/>
      </c>
      <c r="AB55">
        <f>HYPERLINK("https://klasma.github.io/Logging_1980/klagomålsmail/A 12905-2022 FSC-klagomål mail.docx", "A 12905-2022")</f>
        <v/>
      </c>
      <c r="AC55">
        <f>HYPERLINK("https://klasma.github.io/Logging_1980/tillsyn/A 12905-2022 tillsynsbegäran.docx", "A 12905-2022")</f>
        <v/>
      </c>
      <c r="AD55">
        <f>HYPERLINK("https://klasma.github.io/Logging_1980/tillsynsmail/A 12905-2022 tillsynsbegäran mail.docx", "A 12905-2022")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46319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46319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46319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46319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46319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58395-2022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46319</v>
      </c>
      <c r="F61" t="inlineStr">
        <is>
          <t>VÄSTMANLANDS LÄN</t>
        </is>
      </c>
      <c r="G61" t="inlineStr">
        <is>
          <t>VÄSTERÅS</t>
        </is>
      </c>
      <c r="I61" t="n">
        <v>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HYPERLINK("https://klasma.github.io/Logging_1980/artfynd/A 58395-2022 artfynd.xlsx", "A 58395-2022")</f>
        <v/>
      </c>
      <c r="X61">
        <f>HYPERLINK("https://klasma.github.io/Logging_1980/kartor/A 58395-2022 karta.png", "A 58395-2022")</f>
        <v/>
      </c>
      <c r="Y61">
        <f>HYPERLINK("https://klasma.github.io/Logging_1980/kartor_geotiff/A 58395-2022 georefererad karta.tif", "A 58395-2022")</f>
        <v/>
      </c>
      <c r="AA61">
        <f>HYPERLINK("https://klasma.github.io/Logging_1980/klagomål/A 58395-2022 FSC-klagomål.docx", "A 58395-2022")</f>
        <v/>
      </c>
      <c r="AB61">
        <f>HYPERLINK("https://klasma.github.io/Logging_1980/klagomålsmail/A 58395-2022 FSC-klagomål mail.docx", "A 58395-2022")</f>
        <v/>
      </c>
      <c r="AC61">
        <f>HYPERLINK("https://klasma.github.io/Logging_1980/tillsyn/A 58395-2022 tillsynsbegäran.docx", "A 58395-2022")</f>
        <v/>
      </c>
      <c r="AD61">
        <f>HYPERLINK("https://klasma.github.io/Logging_1980/tillsynsmail/A 58395-2022 tillsynsbegäran mail.docx", "A 58395-2022")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46319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A 46189-2023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45196</v>
      </c>
      <c r="E63" s="1" t="n">
        <v>46319</v>
      </c>
      <c r="F63" t="inlineStr">
        <is>
          <t>VÄSTMANLANDS LÄN</t>
        </is>
      </c>
      <c r="G63" t="inlineStr">
        <is>
          <t>VÄSTERÅS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HYPERLINK("https://klasma.github.io/Logging_1980/artfynd/A 46189-2023 artfynd.xlsx", "A 46189-2023")</f>
        <v/>
      </c>
      <c r="X63">
        <f>HYPERLINK("https://klasma.github.io/Logging_1980/kartor/A 46189-2023 karta.png", "A 46189-2023")</f>
        <v/>
      </c>
      <c r="Y63">
        <f>HYPERLINK("https://klasma.github.io/Logging_1980/kartor_geotiff/A 46189-2023 georefererad karta.tif", "A 46189-2023")</f>
        <v/>
      </c>
      <c r="AA63">
        <f>HYPERLINK("https://klasma.github.io/Logging_1980/klagomål/A 46189-2023 FSC-klagomål.docx", "A 46189-2023")</f>
        <v/>
      </c>
      <c r="AB63">
        <f>HYPERLINK("https://klasma.github.io/Logging_1980/klagomålsmail/A 46189-2023 FSC-klagomål mail.docx", "A 46189-2023")</f>
        <v/>
      </c>
      <c r="AC63">
        <f>HYPERLINK("https://klasma.github.io/Logging_1980/tillsyn/A 46189-2023 tillsynsbegäran.docx", "A 46189-2023")</f>
        <v/>
      </c>
      <c r="AD63">
        <f>HYPERLINK("https://klasma.github.io/Logging_1980/tillsynsmail/A 46189-2023 tillsynsbegäran mail.docx", "A 46189-2023")</f>
        <v/>
      </c>
    </row>
    <row r="64" ht="15" customHeight="1">
      <c r="A64" t="inlineStr">
        <is>
          <t>A 8362-2022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44610</v>
      </c>
      <c r="E64" s="1" t="n">
        <v>46319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Köpingfibbla</t>
        </is>
      </c>
      <c r="W64">
        <f>HYPERLINK("https://klasma.github.io/Logging_1980/artfynd/A 8362-2022 artfynd.xlsx", "A 8362-2022")</f>
        <v/>
      </c>
      <c r="X64">
        <f>HYPERLINK("https://klasma.github.io/Logging_1980/kartor/A 8362-2022 karta.png", "A 8362-2022")</f>
        <v/>
      </c>
      <c r="Y64">
        <f>HYPERLINK("https://klasma.github.io/Logging_1980/kartor_geotiff/A 8362-2022 georefererad karta.tif", "A 8362-2022")</f>
        <v/>
      </c>
      <c r="AA64">
        <f>HYPERLINK("https://klasma.github.io/Logging_1980/klagomål/A 8362-2022 FSC-klagomål.docx", "A 8362-2022")</f>
        <v/>
      </c>
      <c r="AB64">
        <f>HYPERLINK("https://klasma.github.io/Logging_1980/klagomålsmail/A 8362-2022 FSC-klagomål mail.docx", "A 8362-2022")</f>
        <v/>
      </c>
      <c r="AC64">
        <f>HYPERLINK("https://klasma.github.io/Logging_1980/tillsyn/A 8362-2022 tillsynsbegäran.docx", "A 8362-2022")</f>
        <v/>
      </c>
      <c r="AD64">
        <f>HYPERLINK("https://klasma.github.io/Logging_1980/tillsynsmail/A 8362-2022 tillsynsbegäran mail.docx", "A 8362-2022")</f>
        <v/>
      </c>
    </row>
    <row r="65" ht="15" customHeight="1">
      <c r="A65" t="inlineStr">
        <is>
          <t>A 26568-2022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46319</v>
      </c>
      <c r="F65" t="inlineStr">
        <is>
          <t>VÄSTMANLANDS LÄN</t>
        </is>
      </c>
      <c r="G65" t="inlineStr">
        <is>
          <t>VÄSTERÅS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HYPERLINK("https://klasma.github.io/Logging_1980/artfynd/A 26568-2022 artfynd.xlsx", "A 26568-2022")</f>
        <v/>
      </c>
      <c r="X65">
        <f>HYPERLINK("https://klasma.github.io/Logging_1980/kartor/A 26568-2022 karta.png", "A 26568-2022")</f>
        <v/>
      </c>
      <c r="Y65">
        <f>HYPERLINK("https://klasma.github.io/Logging_1980/kartor_geotiff/A 26568-2022 georefererad karta.tif", "A 26568-2022")</f>
        <v/>
      </c>
      <c r="AA65">
        <f>HYPERLINK("https://klasma.github.io/Logging_1980/klagomål/A 26568-2022 FSC-klagomål.docx", "A 26568-2022")</f>
        <v/>
      </c>
      <c r="AB65">
        <f>HYPERLINK("https://klasma.github.io/Logging_1980/klagomålsmail/A 26568-2022 FSC-klagomål mail.docx", "A 26568-2022")</f>
        <v/>
      </c>
      <c r="AC65">
        <f>HYPERLINK("https://klasma.github.io/Logging_1980/tillsyn/A 26568-2022 tillsynsbegäran.docx", "A 26568-2022")</f>
        <v/>
      </c>
      <c r="AD65">
        <f>HYPERLINK("https://klasma.github.io/Logging_1980/tillsynsmail/A 26568-2022 tillsynsbegäran mail.docx", "A 26568-2022")</f>
        <v/>
      </c>
    </row>
    <row r="66" ht="15" customHeight="1">
      <c r="A66" t="inlineStr">
        <is>
          <t>A 51147-2023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46319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Mindre märgborre</t>
        </is>
      </c>
      <c r="W66">
        <f>HYPERLINK("https://klasma.github.io/Logging_1980/artfynd/A 51147-2023 artfynd.xlsx", "A 51147-2023")</f>
        <v/>
      </c>
      <c r="X66">
        <f>HYPERLINK("https://klasma.github.io/Logging_1980/kartor/A 51147-2023 karta.png", "A 51147-2023")</f>
        <v/>
      </c>
      <c r="Y66">
        <f>HYPERLINK("https://klasma.github.io/Logging_1980/kartor_geotiff/A 51147-2023 georefererad karta.tif", "A 51147-2023")</f>
        <v/>
      </c>
      <c r="AA66">
        <f>HYPERLINK("https://klasma.github.io/Logging_1980/klagomål/A 51147-2023 FSC-klagomål.docx", "A 51147-2023")</f>
        <v/>
      </c>
      <c r="AB66">
        <f>HYPERLINK("https://klasma.github.io/Logging_1980/klagomålsmail/A 51147-2023 FSC-klagomål mail.docx", "A 51147-2023")</f>
        <v/>
      </c>
      <c r="AC66">
        <f>HYPERLINK("https://klasma.github.io/Logging_1980/tillsyn/A 51147-2023 tillsynsbegäran.docx", "A 51147-2023")</f>
        <v/>
      </c>
      <c r="AD66">
        <f>HYPERLINK("https://klasma.github.io/Logging_1980/tillsynsmail/A 51147-2023 tillsynsbegäran mail.docx", "A 51147-2023")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46319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46319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46319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46319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46319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46319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46319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46319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46319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46319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46319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46319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46319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46319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46319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46319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46319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46319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46319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46319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46319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46319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46319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46319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46319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46319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46319</v>
      </c>
      <c r="F94" t="inlineStr">
        <is>
          <t>VÄSTMANLANDS LÄN</t>
        </is>
      </c>
      <c r="G94" t="inlineStr">
        <is>
          <t>VÄSTERÅS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46319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46319</v>
      </c>
      <c r="F96" t="inlineStr">
        <is>
          <t>VÄSTMANLANDS LÄN</t>
        </is>
      </c>
      <c r="G96" t="inlineStr">
        <is>
          <t>VÄSTERÅS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46319</v>
      </c>
      <c r="F97" t="inlineStr">
        <is>
          <t>VÄSTMANLANDS LÄN</t>
        </is>
      </c>
      <c r="G97" t="inlineStr">
        <is>
          <t>VÄSTERÅS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46319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46319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45579</v>
      </c>
      <c r="E100" s="1" t="n">
        <v>46319</v>
      </c>
      <c r="F100" t="inlineStr">
        <is>
          <t>VÄSTMANLANDS LÄN</t>
        </is>
      </c>
      <c r="G100" t="inlineStr">
        <is>
          <t>VÄSTERÅS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46319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46319</v>
      </c>
      <c r="F102" t="inlineStr">
        <is>
          <t>VÄSTMANLANDS LÄN</t>
        </is>
      </c>
      <c r="G102" t="inlineStr">
        <is>
          <t>VÄSTERÅS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18457-2023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45042</v>
      </c>
      <c r="E103" s="1" t="n">
        <v>46319</v>
      </c>
      <c r="F103" t="inlineStr">
        <is>
          <t>VÄSTMANLANDS LÄN</t>
        </is>
      </c>
      <c r="G103" t="inlineStr">
        <is>
          <t>VÄSTERÅS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46319</v>
      </c>
      <c r="F104" t="inlineStr">
        <is>
          <t>VÄSTMANLANDS LÄN</t>
        </is>
      </c>
      <c r="G104" t="inlineStr">
        <is>
          <t>VÄSTERÅS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46319</v>
      </c>
      <c r="F105" t="inlineStr">
        <is>
          <t>VÄSTMANLANDS LÄN</t>
        </is>
      </c>
      <c r="G105" t="inlineStr">
        <is>
          <t>VÄSTERÅS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46319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46319</v>
      </c>
      <c r="F107" t="inlineStr">
        <is>
          <t>VÄSTMANLANDS LÄN</t>
        </is>
      </c>
      <c r="G107" t="inlineStr">
        <is>
          <t>VÄSTERÅS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46319</v>
      </c>
      <c r="F108" t="inlineStr">
        <is>
          <t>VÄSTMANLANDS LÄN</t>
        </is>
      </c>
      <c r="G108" t="inlineStr">
        <is>
          <t>VÄSTERÅS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46319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46319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46319</v>
      </c>
      <c r="F111" t="inlineStr">
        <is>
          <t>VÄSTMANLANDS LÄN</t>
        </is>
      </c>
      <c r="G111" t="inlineStr">
        <is>
          <t>VÄSTERÅS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44498</v>
      </c>
      <c r="E112" s="1" t="n">
        <v>46319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46319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46319</v>
      </c>
      <c r="F114" t="inlineStr">
        <is>
          <t>VÄSTMANLANDS LÄN</t>
        </is>
      </c>
      <c r="G114" t="inlineStr">
        <is>
          <t>VÄSTERÅS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46319</v>
      </c>
      <c r="F115" t="inlineStr">
        <is>
          <t>VÄSTMANLANDS LÄN</t>
        </is>
      </c>
      <c r="G115" t="inlineStr">
        <is>
          <t>VÄSTERÅS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8727-2023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44978</v>
      </c>
      <c r="E116" s="1" t="n">
        <v>46319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Kyrkan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46319</v>
      </c>
      <c r="F117" t="inlineStr">
        <is>
          <t>VÄSTMANLANDS LÄN</t>
        </is>
      </c>
      <c r="G117" t="inlineStr">
        <is>
          <t>VÄSTERÅS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46319</v>
      </c>
      <c r="F118" t="inlineStr">
        <is>
          <t>VÄSTMANLANDS LÄN</t>
        </is>
      </c>
      <c r="G118" t="inlineStr">
        <is>
          <t>VÄSTERÅS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46319</v>
      </c>
      <c r="F119" t="inlineStr">
        <is>
          <t>VÄSTMANLANDS LÄN</t>
        </is>
      </c>
      <c r="G119" t="inlineStr">
        <is>
          <t>VÄSTERÅS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46319</v>
      </c>
      <c r="F120" t="inlineStr">
        <is>
          <t>VÄSTMANLANDS LÄN</t>
        </is>
      </c>
      <c r="G120" t="inlineStr">
        <is>
          <t>VÄSTERÅS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46319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46319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46319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46319</v>
      </c>
      <c r="F124" t="inlineStr">
        <is>
          <t>VÄSTMANLANDS LÄN</t>
        </is>
      </c>
      <c r="G124" t="inlineStr">
        <is>
          <t>VÄSTERÅS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46319</v>
      </c>
      <c r="F125" t="inlineStr">
        <is>
          <t>VÄSTMANLANDS LÄN</t>
        </is>
      </c>
      <c r="G125" t="inlineStr">
        <is>
          <t>VÄSTERÅS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46319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46319</v>
      </c>
      <c r="F127" t="inlineStr">
        <is>
          <t>VÄSTMANLANDS LÄN</t>
        </is>
      </c>
      <c r="G127" t="inlineStr">
        <is>
          <t>VÄSTERÅS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46319</v>
      </c>
      <c r="F128" t="inlineStr">
        <is>
          <t>VÄSTMANLANDS LÄN</t>
        </is>
      </c>
      <c r="G128" t="inlineStr">
        <is>
          <t>VÄSTERÅS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46319</v>
      </c>
      <c r="F129" t="inlineStr">
        <is>
          <t>VÄSTMANLANDS LÄN</t>
        </is>
      </c>
      <c r="G129" t="inlineStr">
        <is>
          <t>VÄSTERÅS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46319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46319</v>
      </c>
      <c r="F131" t="inlineStr">
        <is>
          <t>VÄSTMANLANDS LÄN</t>
        </is>
      </c>
      <c r="G131" t="inlineStr">
        <is>
          <t>VÄSTERÅS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45296</v>
      </c>
      <c r="E132" s="1" t="n">
        <v>46319</v>
      </c>
      <c r="F132" t="inlineStr">
        <is>
          <t>VÄSTMANLANDS LÄN</t>
        </is>
      </c>
      <c r="G132" t="inlineStr">
        <is>
          <t>VÄSTERÅS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45223</v>
      </c>
      <c r="E133" s="1" t="n">
        <v>46319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46319</v>
      </c>
      <c r="F134" t="inlineStr">
        <is>
          <t>VÄSTMANLANDS LÄN</t>
        </is>
      </c>
      <c r="G134" t="inlineStr">
        <is>
          <t>VÄSTERÅS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46319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46319</v>
      </c>
      <c r="F136" t="inlineStr">
        <is>
          <t>VÄSTMANLANDS LÄN</t>
        </is>
      </c>
      <c r="G136" t="inlineStr">
        <is>
          <t>VÄSTERÅS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46319</v>
      </c>
      <c r="F137" t="inlineStr">
        <is>
          <t>VÄSTMANLANDS LÄN</t>
        </is>
      </c>
      <c r="G137" t="inlineStr">
        <is>
          <t>VÄSTERÅS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46319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46319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46319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46319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Allmännings- och besparingsskogar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46319</v>
      </c>
      <c r="F142" t="inlineStr">
        <is>
          <t>VÄSTMANLANDS LÄN</t>
        </is>
      </c>
      <c r="G142" t="inlineStr">
        <is>
          <t>VÄSTERÅS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46319</v>
      </c>
      <c r="F143" t="inlineStr">
        <is>
          <t>VÄSTMANLANDS LÄN</t>
        </is>
      </c>
      <c r="G143" t="inlineStr">
        <is>
          <t>VÄSTERÅS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55684-2023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45232</v>
      </c>
      <c r="E144" s="1" t="n">
        <v>46319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29.4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46319</v>
      </c>
      <c r="F145" t="inlineStr">
        <is>
          <t>VÄSTMANLANDS LÄN</t>
        </is>
      </c>
      <c r="G145" t="inlineStr">
        <is>
          <t>VÄSTERÅS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46319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46319</v>
      </c>
      <c r="F147" t="inlineStr">
        <is>
          <t>VÄSTMANLANDS LÄN</t>
        </is>
      </c>
      <c r="G147" t="inlineStr">
        <is>
          <t>VÄSTERÅS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44847</v>
      </c>
      <c r="E148" s="1" t="n">
        <v>46319</v>
      </c>
      <c r="F148" t="inlineStr">
        <is>
          <t>VÄSTMANLANDS LÄN</t>
        </is>
      </c>
      <c r="G148" t="inlineStr">
        <is>
          <t>VÄSTERÅS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46319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46319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46319</v>
      </c>
      <c r="F151" t="inlineStr">
        <is>
          <t>VÄSTMANLANDS LÄN</t>
        </is>
      </c>
      <c r="G151" t="inlineStr">
        <is>
          <t>VÄSTERÅS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45042</v>
      </c>
      <c r="E152" s="1" t="n">
        <v>46319</v>
      </c>
      <c r="F152" t="inlineStr">
        <is>
          <t>VÄSTMANLANDS LÄN</t>
        </is>
      </c>
      <c r="G152" t="inlineStr">
        <is>
          <t>VÄSTERÅS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46319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46319</v>
      </c>
      <c r="F154" t="inlineStr">
        <is>
          <t>VÄSTMANLANDS LÄN</t>
        </is>
      </c>
      <c r="G154" t="inlineStr">
        <is>
          <t>VÄSTERÅS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46319</v>
      </c>
      <c r="F155" t="inlineStr">
        <is>
          <t>VÄSTMANLANDS LÄN</t>
        </is>
      </c>
      <c r="G155" t="inlineStr">
        <is>
          <t>VÄSTERÅS</t>
        </is>
      </c>
      <c r="I155" t="n">
        <v>14.1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46319</v>
      </c>
      <c r="F156" t="inlineStr">
        <is>
          <t>VÄSTMANLANDS LÄN</t>
        </is>
      </c>
      <c r="G156" t="inlineStr">
        <is>
          <t>VÄSTERÅS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46319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46319</v>
      </c>
      <c r="F158" t="inlineStr">
        <is>
          <t>VÄSTMANLANDS LÄN</t>
        </is>
      </c>
      <c r="G158" t="inlineStr">
        <is>
          <t>VÄSTERÅS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46319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46319</v>
      </c>
      <c r="F160" t="inlineStr">
        <is>
          <t>VÄSTMANLANDS LÄN</t>
        </is>
      </c>
      <c r="G160" t="inlineStr">
        <is>
          <t>VÄSTERÅS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46319</v>
      </c>
      <c r="F161" t="inlineStr">
        <is>
          <t>VÄSTMANLANDS LÄN</t>
        </is>
      </c>
      <c r="G161" t="inlineStr">
        <is>
          <t>VÄSTERÅS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46319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46319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46319</v>
      </c>
      <c r="F164" t="inlineStr">
        <is>
          <t>VÄSTMANLANDS LÄN</t>
        </is>
      </c>
      <c r="G164" t="inlineStr">
        <is>
          <t>VÄSTERÅS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46215</v>
      </c>
      <c r="E165" s="1" t="n">
        <v>46319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46215</v>
      </c>
      <c r="E166" s="1" t="n">
        <v>46319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46319</v>
      </c>
      <c r="F167" t="inlineStr">
        <is>
          <t>VÄSTMANLANDS LÄN</t>
        </is>
      </c>
      <c r="G167" t="inlineStr">
        <is>
          <t>VÄSTERÅS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46319</v>
      </c>
      <c r="F168" t="inlineStr">
        <is>
          <t>VÄSTMANLANDS LÄN</t>
        </is>
      </c>
      <c r="G168" t="inlineStr">
        <is>
          <t>VÄSTERÅS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46319</v>
      </c>
      <c r="F169" t="inlineStr">
        <is>
          <t>VÄSTMANLANDS LÄN</t>
        </is>
      </c>
      <c r="G169" t="inlineStr">
        <is>
          <t>VÄSTERÅS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46319</v>
      </c>
      <c r="F170" t="inlineStr">
        <is>
          <t>VÄSTMANLANDS LÄN</t>
        </is>
      </c>
      <c r="G170" t="inlineStr">
        <is>
          <t>VÄSTERÅS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46319</v>
      </c>
      <c r="F171" t="inlineStr">
        <is>
          <t>VÄSTMANLANDS LÄN</t>
        </is>
      </c>
      <c r="G171" t="inlineStr">
        <is>
          <t>VÄSTERÅS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46319</v>
      </c>
      <c r="F172" t="inlineStr">
        <is>
          <t>VÄSTMANLANDS LÄN</t>
        </is>
      </c>
      <c r="G172" t="inlineStr">
        <is>
          <t>VÄSTERÅS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46319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46319</v>
      </c>
      <c r="F174" t="inlineStr">
        <is>
          <t>VÄSTMANLANDS LÄN</t>
        </is>
      </c>
      <c r="G174" t="inlineStr">
        <is>
          <t>VÄSTERÅS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46319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46319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46319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46319</v>
      </c>
      <c r="F178" t="inlineStr">
        <is>
          <t>VÄSTMANLANDS LÄN</t>
        </is>
      </c>
      <c r="G178" t="inlineStr">
        <is>
          <t>VÄSTERÅS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46319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46319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Kommuner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46319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46290</v>
      </c>
      <c r="E182" s="1" t="n">
        <v>46319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46290</v>
      </c>
      <c r="E183" s="1" t="n">
        <v>46319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12.2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46319</v>
      </c>
      <c r="F184" t="inlineStr">
        <is>
          <t>VÄSTMANLANDS LÄN</t>
        </is>
      </c>
      <c r="G184" t="inlineStr">
        <is>
          <t>VÄSTERÅS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46319</v>
      </c>
      <c r="F185" t="inlineStr">
        <is>
          <t>VÄSTMANLANDS LÄN</t>
        </is>
      </c>
      <c r="G185" t="inlineStr">
        <is>
          <t>VÄSTERÅS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45235</v>
      </c>
      <c r="E186" s="1" t="n">
        <v>46319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Aktiebolag</t>
        </is>
      </c>
      <c r="I186" t="n">
        <v>37.8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46319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46319</v>
      </c>
      <c r="F188" t="inlineStr">
        <is>
          <t>VÄSTMANLANDS LÄN</t>
        </is>
      </c>
      <c r="G188" t="inlineStr">
        <is>
          <t>VÄSTERÅS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46319</v>
      </c>
      <c r="F189" t="inlineStr">
        <is>
          <t>VÄSTMANLANDS LÄN</t>
        </is>
      </c>
      <c r="G189" t="inlineStr">
        <is>
          <t>VÄSTERÅS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46319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7797-2026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46062</v>
      </c>
      <c r="E191" s="1" t="n">
        <v>46319</v>
      </c>
      <c r="F191" t="inlineStr">
        <is>
          <t>VÄSTMANLANDS LÄN</t>
        </is>
      </c>
      <c r="G191" t="inlineStr">
        <is>
          <t>VÄSTERÅS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46319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46287</v>
      </c>
      <c r="E193" s="1" t="n">
        <v>46319</v>
      </c>
      <c r="F193" t="inlineStr">
        <is>
          <t>VÄSTMANLANDS LÄN</t>
        </is>
      </c>
      <c r="G193" t="inlineStr">
        <is>
          <t>VÄSTERÅS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52027-2025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45952</v>
      </c>
      <c r="E194" s="1" t="n">
        <v>46319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Övriga statliga verk och myndigheter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46319</v>
      </c>
      <c r="F195" t="inlineStr">
        <is>
          <t>VÄSTMANLANDS LÄN</t>
        </is>
      </c>
      <c r="G195" t="inlineStr">
        <is>
          <t>VÄSTERÅS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46319</v>
      </c>
      <c r="F196" t="inlineStr">
        <is>
          <t>VÄSTMANLANDS LÄN</t>
        </is>
      </c>
      <c r="G196" t="inlineStr">
        <is>
          <t>VÄSTERÅS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46319</v>
      </c>
      <c r="F197" t="inlineStr">
        <is>
          <t>VÄSTMANLANDS LÄN</t>
        </is>
      </c>
      <c r="G197" t="inlineStr">
        <is>
          <t>VÄSTERÅS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46319</v>
      </c>
      <c r="F198" t="inlineStr">
        <is>
          <t>VÄSTMANLANDS LÄN</t>
        </is>
      </c>
      <c r="G198" t="inlineStr">
        <is>
          <t>VÄSTERÅS</t>
        </is>
      </c>
      <c r="I198" t="n">
        <v>20.3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46319</v>
      </c>
      <c r="F199" t="inlineStr">
        <is>
          <t>VÄSTMANLANDS LÄN</t>
        </is>
      </c>
      <c r="G199" t="inlineStr">
        <is>
          <t>VÄSTERÅS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18482-2023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45042</v>
      </c>
      <c r="E200" s="1" t="n">
        <v>46319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46319</v>
      </c>
      <c r="F201" t="inlineStr">
        <is>
          <t>VÄSTMANLANDS LÄN</t>
        </is>
      </c>
      <c r="G201" t="inlineStr">
        <is>
          <t>VÄSTERÅS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46319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46215</v>
      </c>
      <c r="E203" s="1" t="n">
        <v>46319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46080</v>
      </c>
      <c r="E204" s="1" t="n">
        <v>46319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46319</v>
      </c>
      <c r="F205" t="inlineStr">
        <is>
          <t>VÄSTMANLANDS LÄN</t>
        </is>
      </c>
      <c r="G205" t="inlineStr">
        <is>
          <t>VÄSTERÅS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46319</v>
      </c>
      <c r="F206" t="inlineStr">
        <is>
          <t>VÄSTMANLANDS LÄN</t>
        </is>
      </c>
      <c r="G206" t="inlineStr">
        <is>
          <t>VÄSTERÅS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46319</v>
      </c>
      <c r="F207" t="inlineStr">
        <is>
          <t>VÄSTMANLANDS LÄN</t>
        </is>
      </c>
      <c r="G207" t="inlineStr">
        <is>
          <t>VÄSTERÅS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46319</v>
      </c>
      <c r="F208" t="inlineStr">
        <is>
          <t>VÄSTMANLANDS LÄN</t>
        </is>
      </c>
      <c r="G208" t="inlineStr">
        <is>
          <t>VÄSTERÅS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46319</v>
      </c>
      <c r="F209" t="inlineStr">
        <is>
          <t>VÄSTMANLANDS LÄN</t>
        </is>
      </c>
      <c r="G209" t="inlineStr">
        <is>
          <t>VÄSTERÅS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46319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46319</v>
      </c>
      <c r="F211" t="inlineStr">
        <is>
          <t>VÄSTMANLANDS LÄN</t>
        </is>
      </c>
      <c r="G211" t="inlineStr">
        <is>
          <t>VÄSTERÅS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70642-2021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46319</v>
      </c>
      <c r="F212" t="inlineStr">
        <is>
          <t>VÄSTMANLANDS LÄN</t>
        </is>
      </c>
      <c r="G212" t="inlineStr">
        <is>
          <t>VÄSTERÅS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46319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46319</v>
      </c>
      <c r="F214" t="inlineStr">
        <is>
          <t>VÄSTMANLANDS LÄN</t>
        </is>
      </c>
      <c r="G214" t="inlineStr">
        <is>
          <t>VÄSTERÅS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46319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46319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46319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46303</v>
      </c>
      <c r="E218" s="1" t="n">
        <v>46319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46303</v>
      </c>
      <c r="E219" s="1" t="n">
        <v>46319</v>
      </c>
      <c r="F219" t="inlineStr">
        <is>
          <t>VÄSTMANLANDS LÄN</t>
        </is>
      </c>
      <c r="G219" t="inlineStr">
        <is>
          <t>VÄSTERÅS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46303</v>
      </c>
      <c r="E220" s="1" t="n">
        <v>46319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46319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46319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Allmännings- och besparingsskogar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46303</v>
      </c>
      <c r="E223" s="1" t="n">
        <v>46319</v>
      </c>
      <c r="F223" t="inlineStr">
        <is>
          <t>VÄSTMANLANDS LÄN</t>
        </is>
      </c>
      <c r="G223" t="inlineStr">
        <is>
          <t>VÄSTERÅS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46215</v>
      </c>
      <c r="E224" s="1" t="n">
        <v>46319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46319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46319</v>
      </c>
      <c r="F226" t="inlineStr">
        <is>
          <t>VÄSTMANLANDS LÄN</t>
        </is>
      </c>
      <c r="G226" t="inlineStr">
        <is>
          <t>VÄSTERÅS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46319</v>
      </c>
      <c r="F227" t="inlineStr">
        <is>
          <t>VÄSTMANLANDS LÄN</t>
        </is>
      </c>
      <c r="G227" t="inlineStr">
        <is>
          <t>VÄSTERÅS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44899</v>
      </c>
      <c r="E228" s="1" t="n">
        <v>46319</v>
      </c>
      <c r="F228" t="inlineStr">
        <is>
          <t>VÄSTMANLANDS LÄN</t>
        </is>
      </c>
      <c r="G228" t="inlineStr">
        <is>
          <t>VÄSTERÅS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46319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46319</v>
      </c>
      <c r="F230" t="inlineStr">
        <is>
          <t>VÄSTMANLANDS LÄN</t>
        </is>
      </c>
      <c r="G230" t="inlineStr">
        <is>
          <t>VÄSTERÅS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46319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46319</v>
      </c>
      <c r="F232" t="inlineStr">
        <is>
          <t>VÄSTMANLANDS LÄN</t>
        </is>
      </c>
      <c r="G232" t="inlineStr">
        <is>
          <t>VÄSTERÅS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46319</v>
      </c>
      <c r="F233" t="inlineStr">
        <is>
          <t>VÄSTMANLANDS LÄN</t>
        </is>
      </c>
      <c r="G233" t="inlineStr">
        <is>
          <t>VÄSTERÅS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46319</v>
      </c>
      <c r="F234" t="inlineStr">
        <is>
          <t>VÄSTMANLANDS LÄN</t>
        </is>
      </c>
      <c r="G234" t="inlineStr">
        <is>
          <t>VÄSTERÅS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46319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46319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Kommuner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46272</v>
      </c>
      <c r="E237" s="1" t="n">
        <v>46319</v>
      </c>
      <c r="F237" t="inlineStr">
        <is>
          <t>VÄSTMANLANDS LÄN</t>
        </is>
      </c>
      <c r="G237" t="inlineStr">
        <is>
          <t>VÄSTERÅS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46274</v>
      </c>
      <c r="E238" s="1" t="n">
        <v>46319</v>
      </c>
      <c r="F238" t="inlineStr">
        <is>
          <t>VÄSTMANLANDS LÄN</t>
        </is>
      </c>
      <c r="G238" t="inlineStr">
        <is>
          <t>VÄSTERÅS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46319</v>
      </c>
      <c r="F239" t="inlineStr">
        <is>
          <t>VÄSTMANLANDS LÄN</t>
        </is>
      </c>
      <c r="G239" t="inlineStr">
        <is>
          <t>VÄSTERÅS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17808-2023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45037</v>
      </c>
      <c r="E240" s="1" t="n">
        <v>46319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46319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44977</v>
      </c>
      <c r="E242" s="1" t="n">
        <v>46319</v>
      </c>
      <c r="F242" t="inlineStr">
        <is>
          <t>VÄSTMANLANDS LÄN</t>
        </is>
      </c>
      <c r="G242" t="inlineStr">
        <is>
          <t>VÄSTERÅS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44717</v>
      </c>
      <c r="E243" s="1" t="n">
        <v>46319</v>
      </c>
      <c r="F243" t="inlineStr">
        <is>
          <t>VÄSTMANLANDS LÄN</t>
        </is>
      </c>
      <c r="G243" t="inlineStr">
        <is>
          <t>VÄSTERÅS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44662</v>
      </c>
      <c r="E244" s="1" t="n">
        <v>46319</v>
      </c>
      <c r="F244" t="inlineStr">
        <is>
          <t>VÄSTMANLANDS LÄN</t>
        </is>
      </c>
      <c r="G244" t="inlineStr">
        <is>
          <t>VÄSTERÅS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46319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46319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63851-2021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44509</v>
      </c>
      <c r="E247" s="1" t="n">
        <v>46319</v>
      </c>
      <c r="F247" t="inlineStr">
        <is>
          <t>VÄSTMANLANDS LÄN</t>
        </is>
      </c>
      <c r="G247" t="inlineStr">
        <is>
          <t>VÄSTERÅS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45639</v>
      </c>
      <c r="E248" s="1" t="n">
        <v>46319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46319</v>
      </c>
      <c r="F249" t="inlineStr">
        <is>
          <t>VÄSTMANLANDS LÄN</t>
        </is>
      </c>
      <c r="G249" t="inlineStr">
        <is>
          <t>VÄSTERÅS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46319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46319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45027</v>
      </c>
      <c r="E252" s="1" t="n">
        <v>46319</v>
      </c>
      <c r="F252" t="inlineStr">
        <is>
          <t>VÄSTMANLANDS LÄN</t>
        </is>
      </c>
      <c r="G252" t="inlineStr">
        <is>
          <t>VÄSTERÅS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46319</v>
      </c>
      <c r="F253" t="inlineStr">
        <is>
          <t>VÄSTMANLANDS LÄN</t>
        </is>
      </c>
      <c r="G253" t="inlineStr">
        <is>
          <t>VÄSTERÅS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46319</v>
      </c>
      <c r="F254" t="inlineStr">
        <is>
          <t>VÄSTMANLANDS LÄN</t>
        </is>
      </c>
      <c r="G254" t="inlineStr">
        <is>
          <t>VÄSTERÅS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45607</v>
      </c>
      <c r="E255" s="1" t="n">
        <v>46319</v>
      </c>
      <c r="F255" t="inlineStr">
        <is>
          <t>VÄSTMANLANDS LÄN</t>
        </is>
      </c>
      <c r="G255" t="inlineStr">
        <is>
          <t>VÄSTERÅS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44582</v>
      </c>
      <c r="E256" s="1" t="n">
        <v>46319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46319</v>
      </c>
      <c r="F257" t="inlineStr">
        <is>
          <t>VÄSTMANLANDS LÄN</t>
        </is>
      </c>
      <c r="G257" t="inlineStr">
        <is>
          <t>VÄSTERÅS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45705</v>
      </c>
      <c r="E258" s="1" t="n">
        <v>46319</v>
      </c>
      <c r="F258" t="inlineStr">
        <is>
          <t>VÄSTMANLANDS LÄN</t>
        </is>
      </c>
      <c r="G258" t="inlineStr">
        <is>
          <t>VÄSTERÅS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46319</v>
      </c>
      <c r="F259" t="inlineStr">
        <is>
          <t>VÄSTMANLANDS LÄN</t>
        </is>
      </c>
      <c r="G259" t="inlineStr">
        <is>
          <t>VÄSTERÅS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46319</v>
      </c>
      <c r="F260" t="inlineStr">
        <is>
          <t>VÄSTMANLANDS LÄN</t>
        </is>
      </c>
      <c r="G260" t="inlineStr">
        <is>
          <t>VÄSTERÅS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46319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46319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44874</v>
      </c>
      <c r="E263" s="1" t="n">
        <v>46319</v>
      </c>
      <c r="F263" t="inlineStr">
        <is>
          <t>VÄSTMANLANDS LÄN</t>
        </is>
      </c>
      <c r="G263" t="inlineStr">
        <is>
          <t>VÄSTERÅS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45223</v>
      </c>
      <c r="E264" s="1" t="n">
        <v>46319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46319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46319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46319</v>
      </c>
      <c r="F267" t="inlineStr">
        <is>
          <t>VÄSTMANLANDS LÄN</t>
        </is>
      </c>
      <c r="G267" t="inlineStr">
        <is>
          <t>VÄSTERÅS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46319</v>
      </c>
      <c r="F268" t="inlineStr">
        <is>
          <t>VÄSTMANLANDS LÄN</t>
        </is>
      </c>
      <c r="G268" t="inlineStr">
        <is>
          <t>VÄSTERÅS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46319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46319</v>
      </c>
      <c r="F270" t="inlineStr">
        <is>
          <t>VÄSTMANLANDS LÄN</t>
        </is>
      </c>
      <c r="G270" t="inlineStr">
        <is>
          <t>VÄSTERÅS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73601-2021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44552</v>
      </c>
      <c r="E271" s="1" t="n">
        <v>46319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46319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46319</v>
      </c>
      <c r="F273" t="inlineStr">
        <is>
          <t>VÄSTMANLANDS LÄN</t>
        </is>
      </c>
      <c r="G273" t="inlineStr">
        <is>
          <t>VÄSTERÅS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46319</v>
      </c>
      <c r="F274" t="inlineStr">
        <is>
          <t>VÄSTMANLANDS LÄN</t>
        </is>
      </c>
      <c r="G274" t="inlineStr">
        <is>
          <t>VÄSTERÅS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46319</v>
      </c>
      <c r="F275" t="inlineStr">
        <is>
          <t>VÄSTMANLANDS LÄN</t>
        </is>
      </c>
      <c r="G275" t="inlineStr">
        <is>
          <t>VÄSTERÅS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74314-2021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44559</v>
      </c>
      <c r="E276" s="1" t="n">
        <v>46319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46319</v>
      </c>
      <c r="F277" t="inlineStr">
        <is>
          <t>VÄSTMANLANDS LÄN</t>
        </is>
      </c>
      <c r="G277" t="inlineStr">
        <is>
          <t>VÄSTERÅS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46319</v>
      </c>
      <c r="F278" t="inlineStr">
        <is>
          <t>VÄSTMANLANDS LÄN</t>
        </is>
      </c>
      <c r="G278" t="inlineStr">
        <is>
          <t>VÄSTERÅS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44637</v>
      </c>
      <c r="E279" s="1" t="n">
        <v>46319</v>
      </c>
      <c r="F279" t="inlineStr">
        <is>
          <t>VÄSTMANLANDS LÄN</t>
        </is>
      </c>
      <c r="G279" t="inlineStr">
        <is>
          <t>VÄSTERÅS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16214-2023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45028</v>
      </c>
      <c r="E280" s="1" t="n">
        <v>46319</v>
      </c>
      <c r="F280" t="inlineStr">
        <is>
          <t>VÄSTMANLANDS LÄN</t>
        </is>
      </c>
      <c r="G280" t="inlineStr">
        <is>
          <t>VÄSTERÅS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46319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46319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45174</v>
      </c>
      <c r="E283" s="1" t="n">
        <v>46319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45125</v>
      </c>
      <c r="E284" s="1" t="n">
        <v>46319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18465-2023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45042</v>
      </c>
      <c r="E285" s="1" t="n">
        <v>46319</v>
      </c>
      <c r="F285" t="inlineStr">
        <is>
          <t>VÄSTMANLANDS LÄN</t>
        </is>
      </c>
      <c r="G285" t="inlineStr">
        <is>
          <t>VÄSTERÅS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46319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46319</v>
      </c>
      <c r="F287" t="inlineStr">
        <is>
          <t>VÄSTMANLANDS LÄN</t>
        </is>
      </c>
      <c r="G287" t="inlineStr">
        <is>
          <t>VÄSTERÅS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73597-2021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44552</v>
      </c>
      <c r="E288" s="1" t="n">
        <v>46319</v>
      </c>
      <c r="F288" t="inlineStr">
        <is>
          <t>VÄSTMANLANDS LÄN</t>
        </is>
      </c>
      <c r="G288" t="inlineStr">
        <is>
          <t>VÄSTERÅS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44645</v>
      </c>
      <c r="E289" s="1" t="n">
        <v>46319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45506</v>
      </c>
      <c r="E290" s="1" t="n">
        <v>46319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Kommuner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67350-2021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44523</v>
      </c>
      <c r="E291" s="1" t="n">
        <v>46319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46319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46319</v>
      </c>
      <c r="F293" t="inlineStr">
        <is>
          <t>VÄSTMANLANDS LÄN</t>
        </is>
      </c>
      <c r="G293" t="inlineStr">
        <is>
          <t>VÄSTERÅS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46319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44623</v>
      </c>
      <c r="E295" s="1" t="n">
        <v>46319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44658</v>
      </c>
      <c r="E296" s="1" t="n">
        <v>46319</v>
      </c>
      <c r="F296" t="inlineStr">
        <is>
          <t>VÄSTMANLANDS LÄN</t>
        </is>
      </c>
      <c r="G296" t="inlineStr">
        <is>
          <t>VÄSTERÅS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44635</v>
      </c>
      <c r="E297" s="1" t="n">
        <v>46319</v>
      </c>
      <c r="F297" t="inlineStr">
        <is>
          <t>VÄSTMANLANDS LÄN</t>
        </is>
      </c>
      <c r="G297" t="inlineStr">
        <is>
          <t>VÄSTERÅS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44635</v>
      </c>
      <c r="E298" s="1" t="n">
        <v>46319</v>
      </c>
      <c r="F298" t="inlineStr">
        <is>
          <t>VÄSTMANLANDS LÄN</t>
        </is>
      </c>
      <c r="G298" t="inlineStr">
        <is>
          <t>VÄSTERÅS</t>
        </is>
      </c>
      <c r="I298" t="n">
        <v>12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46319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44635</v>
      </c>
      <c r="E300" s="1" t="n">
        <v>46319</v>
      </c>
      <c r="F300" t="inlineStr">
        <is>
          <t>VÄSTMANLANDS LÄN</t>
        </is>
      </c>
      <c r="G300" t="inlineStr">
        <is>
          <t>VÄSTERÅS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21761-2022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44708</v>
      </c>
      <c r="E301" s="1" t="n">
        <v>46319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45705</v>
      </c>
      <c r="E302" s="1" t="n">
        <v>46319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46319</v>
      </c>
      <c r="F303" t="inlineStr">
        <is>
          <t>VÄSTMANLANDS LÄN</t>
        </is>
      </c>
      <c r="G303" t="inlineStr">
        <is>
          <t>VÄSTERÅS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44680</v>
      </c>
      <c r="E304" s="1" t="n">
        <v>46319</v>
      </c>
      <c r="F304" t="inlineStr">
        <is>
          <t>VÄSTMANLANDS LÄN</t>
        </is>
      </c>
      <c r="G304" t="inlineStr">
        <is>
          <t>VÄSTERÅS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44743</v>
      </c>
      <c r="E305" s="1" t="n">
        <v>46319</v>
      </c>
      <c r="F305" t="inlineStr">
        <is>
          <t>VÄSTMANLANDS LÄN</t>
        </is>
      </c>
      <c r="G305" t="inlineStr">
        <is>
          <t>VÄSTERÅS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46319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46319</v>
      </c>
      <c r="F307" t="inlineStr">
        <is>
          <t>VÄSTMANLANDS LÄN</t>
        </is>
      </c>
      <c r="G307" t="inlineStr">
        <is>
          <t>VÄSTERÅS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44664</v>
      </c>
      <c r="E308" s="1" t="n">
        <v>46319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46319</v>
      </c>
      <c r="F309" t="inlineStr">
        <is>
          <t>VÄSTMANLANDS LÄN</t>
        </is>
      </c>
      <c r="G309" t="inlineStr">
        <is>
          <t>VÄSTERÅS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46319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44739</v>
      </c>
      <c r="E311" s="1" t="n">
        <v>46319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46319</v>
      </c>
      <c r="F312" t="inlineStr">
        <is>
          <t>VÄSTMANLANDS LÄN</t>
        </is>
      </c>
      <c r="G312" t="inlineStr">
        <is>
          <t>VÄSTERÅS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46319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46319</v>
      </c>
      <c r="F314" t="inlineStr">
        <is>
          <t>VÄSTMANLANDS LÄN</t>
        </is>
      </c>
      <c r="G314" t="inlineStr">
        <is>
          <t>VÄSTERÅS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46319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44847</v>
      </c>
      <c r="E316" s="1" t="n">
        <v>46319</v>
      </c>
      <c r="F316" t="inlineStr">
        <is>
          <t>VÄSTMANLANDS LÄN</t>
        </is>
      </c>
      <c r="G316" t="inlineStr">
        <is>
          <t>VÄSTERÅS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44961</v>
      </c>
      <c r="E317" s="1" t="n">
        <v>46319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67352-2021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44523</v>
      </c>
      <c r="E318" s="1" t="n">
        <v>46319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44671</v>
      </c>
      <c r="E319" s="1" t="n">
        <v>46319</v>
      </c>
      <c r="F319" t="inlineStr">
        <is>
          <t>VÄSTMANLANDS LÄN</t>
        </is>
      </c>
      <c r="G319" t="inlineStr">
        <is>
          <t>VÄSTERÅS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45448</v>
      </c>
      <c r="E320" s="1" t="n">
        <v>46319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44657</v>
      </c>
      <c r="E321" s="1" t="n">
        <v>46319</v>
      </c>
      <c r="F321" t="inlineStr">
        <is>
          <t>VÄSTMANLANDS LÄN</t>
        </is>
      </c>
      <c r="G321" t="inlineStr">
        <is>
          <t>VÄSTERÅS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44755</v>
      </c>
      <c r="E322" s="1" t="n">
        <v>46319</v>
      </c>
      <c r="F322" t="inlineStr">
        <is>
          <t>VÄSTMANLANDS LÄN</t>
        </is>
      </c>
      <c r="G322" t="inlineStr">
        <is>
          <t>VÄSTERÅS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11137-2023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44987</v>
      </c>
      <c r="E323" s="1" t="n">
        <v>46319</v>
      </c>
      <c r="F323" t="inlineStr">
        <is>
          <t>VÄSTMANLANDS LÄN</t>
        </is>
      </c>
      <c r="G323" t="inlineStr">
        <is>
          <t>VÄSTERÅS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46319</v>
      </c>
      <c r="F324" t="inlineStr">
        <is>
          <t>VÄSTMANLANDS LÄN</t>
        </is>
      </c>
      <c r="G324" t="inlineStr">
        <is>
          <t>VÄSTERÅS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44610</v>
      </c>
      <c r="E325" s="1" t="n">
        <v>46319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45443</v>
      </c>
      <c r="E326" s="1" t="n">
        <v>46319</v>
      </c>
      <c r="F326" t="inlineStr">
        <is>
          <t>VÄSTMANLANDS LÄN</t>
        </is>
      </c>
      <c r="G326" t="inlineStr">
        <is>
          <t>VÄSTERÅS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46319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46319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1415-2022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44634</v>
      </c>
      <c r="E329" s="1" t="n">
        <v>46319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46319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46319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46319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46319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2026-10-24T01:58:05Z</dcterms:created>
  <dcterms:modified xmlns:dcterms="http://purl.org/dc/terms/" xmlns:xsi="http://www.w3.org/2001/XMLSchema-instance" xsi:type="dcterms:W3CDTF">2026-10-24T01:58:05Z</dcterms:modified>
</cp:coreProperties>
</file>