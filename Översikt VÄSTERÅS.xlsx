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46220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s="2" t="inlineStr">
        <is>
          <t>Raggtaggsvamp
Knärot
Dropptaggsvamp
Orange taggsvamp
Tallticka
Ullticka
Blodticka
Blåmossa
Bronshjon
Grovticka
Grönpyrola
Smal svampklubba
Trådticka
Vedticka
Spillkråka</t>
        </is>
      </c>
      <c r="V6">
        <f>HYPERLINK("https://klasma.github.io/Logging_1980/artfynd/A 52775-2022 artfynd.xlsx", "A 52775-2022")</f>
        <v/>
      </c>
      <c r="W6">
        <f>HYPERLINK("https://klasma.github.io/Logging_1980/kartor/A 52775-2022 karta.png", "A 52775-2022")</f>
        <v/>
      </c>
      <c r="X6">
        <f>HYPERLINK("https://klasma.github.io/Logging_1980/knärot/A 52775-2022 karta knärot.png", "A 52775-2022")</f>
        <v/>
      </c>
      <c r="Y6">
        <f>HYPERLINK("https://klasma.github.io/Logging_1980/klagomål/A 52775-2022 FSC-klagomål.docx", "A 52775-2022")</f>
        <v/>
      </c>
      <c r="Z6">
        <f>HYPERLINK("https://klasma.github.io/Logging_1980/klagomålsmail/A 52775-2022 FSC-klagomål mail.docx", "A 52775-2022")</f>
        <v/>
      </c>
      <c r="AA6">
        <f>HYPERLINK("https://klasma.github.io/Logging_1980/tillsyn/A 52775-2022 tillsynsbegäran.docx", "A 52775-2022")</f>
        <v/>
      </c>
      <c r="AB6">
        <f>HYPERLINK("https://klasma.github.io/Logging_1980/tillsynsmail/A 52775-2022 tillsynsbegäran mail.docx", "A 52775-2022")</f>
        <v/>
      </c>
      <c r="AC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46220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7">
        <f>HYPERLINK("https://klasma.github.io/Logging_1980/artfynd/A 67268-2021 artfynd.xlsx", "A 67268-2021")</f>
        <v/>
      </c>
      <c r="W7">
        <f>HYPERLINK("https://klasma.github.io/Logging_1980/kartor/A 67268-2021 karta.png", "A 67268-2021")</f>
        <v/>
      </c>
      <c r="X7">
        <f>HYPERLINK("https://klasma.github.io/Logging_1980/knärot/A 67268-2021 karta knärot.png", "A 67268-2021")</f>
        <v/>
      </c>
      <c r="Y7">
        <f>HYPERLINK("https://klasma.github.io/Logging_1980/klagomål/A 67268-2021 FSC-klagomål.docx", "A 67268-2021")</f>
        <v/>
      </c>
      <c r="Z7">
        <f>HYPERLINK("https://klasma.github.io/Logging_1980/klagomålsmail/A 67268-2021 FSC-klagomål mail.docx", "A 67268-2021")</f>
        <v/>
      </c>
      <c r="AA7">
        <f>HYPERLINK("https://klasma.github.io/Logging_1980/tillsyn/A 67268-2021 tillsynsbegäran.docx", "A 67268-2021")</f>
        <v/>
      </c>
      <c r="AB7">
        <f>HYPERLINK("https://klasma.github.io/Logging_1980/tillsynsmail/A 67268-2021 tillsynsbegäran mail.docx", "A 67268-2021")</f>
        <v/>
      </c>
      <c r="AC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46220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s="2" t="inlineStr">
        <is>
          <t>Knärot
Blåmossa
Vedticka
Mattlummer
Revlummer</t>
        </is>
      </c>
      <c r="V13">
        <f>HYPERLINK("https://klasma.github.io/Logging_1980/artfynd/A 26563-2026 artfynd.xlsx", "A 26563-2026")</f>
        <v/>
      </c>
      <c r="W13">
        <f>HYPERLINK("https://klasma.github.io/Logging_1980/kartor/A 26563-2026 karta.png", "A 26563-2026")</f>
        <v/>
      </c>
      <c r="X13">
        <f>HYPERLINK("https://klasma.github.io/Logging_1980/knärot/A 26563-2026 karta knärot.png", "A 26563-2026")</f>
        <v/>
      </c>
      <c r="Y13">
        <f>HYPERLINK("https://klasma.github.io/Logging_1980/klagomål/A 26563-2026 FSC-klagomål.docx", "A 26563-2026")</f>
        <v/>
      </c>
      <c r="Z13">
        <f>HYPERLINK("https://klasma.github.io/Logging_1980/klagomålsmail/A 26563-2026 FSC-klagomål mail.docx", "A 26563-2026")</f>
        <v/>
      </c>
      <c r="AA13">
        <f>HYPERLINK("https://klasma.github.io/Logging_1980/tillsyn/A 26563-2026 tillsynsbegäran.docx", "A 26563-2026")</f>
        <v/>
      </c>
      <c r="AB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46220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s="2" t="inlineStr">
        <is>
          <t>Nordfladdermus
Blåsippa
Dvärgpipistrell
Större brunfladdermus
Vattenfladdermus</t>
        </is>
      </c>
      <c r="V14">
        <f>HYPERLINK("https://klasma.github.io/Logging_1980/artfynd/A 22453-2026 artfynd.xlsx", "A 22453-2026")</f>
        <v/>
      </c>
      <c r="W14">
        <f>HYPERLINK("https://klasma.github.io/Logging_1980/kartor/A 22453-2026 karta.png", "A 22453-2026")</f>
        <v/>
      </c>
      <c r="Y14">
        <f>HYPERLINK("https://klasma.github.io/Logging_1980/klagomål/A 22453-2026 FSC-klagomål.docx", "A 22453-2026")</f>
        <v/>
      </c>
      <c r="Z14">
        <f>HYPERLINK("https://klasma.github.io/Logging_1980/klagomålsmail/A 22453-2026 FSC-klagomål mail.docx", "A 22453-2026")</f>
        <v/>
      </c>
      <c r="AA14">
        <f>HYPERLINK("https://klasma.github.io/Logging_1980/tillsyn/A 22453-2026 tillsynsbegäran.docx", "A 22453-2026")</f>
        <v/>
      </c>
      <c r="AB14">
        <f>HYPERLINK("https://klasma.github.io/Logging_1980/tillsynsmail/A 22453-2026 tillsynsbegäran mail.docx", "A 22453-2026")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46220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s="2" t="inlineStr">
        <is>
          <t>Sexfläckig bastardsvärmare
Jungfrulin
Ängsskära
Blåsippa
Gullviva</t>
        </is>
      </c>
      <c r="V15">
        <f>HYPERLINK("https://klasma.github.io/Logging_1980/artfynd/A 6603-2022 artfynd.xlsx", "A 6603-2022")</f>
        <v/>
      </c>
      <c r="W15">
        <f>HYPERLINK("https://klasma.github.io/Logging_1980/kartor/A 6603-2022 karta.png", "A 6603-2022")</f>
        <v/>
      </c>
      <c r="Y15">
        <f>HYPERLINK("https://klasma.github.io/Logging_1980/klagomål/A 6603-2022 FSC-klagomål.docx", "A 6603-2022")</f>
        <v/>
      </c>
      <c r="Z15">
        <f>HYPERLINK("https://klasma.github.io/Logging_1980/klagomålsmail/A 6603-2022 FSC-klagomål mail.docx", "A 6603-2022")</f>
        <v/>
      </c>
      <c r="AA15">
        <f>HYPERLINK("https://klasma.github.io/Logging_1980/tillsyn/A 6603-2022 tillsynsbegäran.docx", "A 6603-2022")</f>
        <v/>
      </c>
      <c r="AB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Y17">
        <f>HYPERLINK("https://klasma.github.io/Logging_1980/klagomål/A 41262-2023 FSC-klagomål.docx", "A 41262-2023")</f>
        <v/>
      </c>
      <c r="Z17">
        <f>HYPERLINK("https://klasma.github.io/Logging_1980/klagomålsmail/A 41262-2023 FSC-klagomål mail.docx", "A 41262-2023")</f>
        <v/>
      </c>
      <c r="AA17">
        <f>HYPERLINK("https://klasma.github.io/Logging_1980/tillsyn/A 41262-2023 tillsynsbegäran.docx", "A 41262-2023")</f>
        <v/>
      </c>
      <c r="AB17">
        <f>HYPERLINK("https://klasma.github.io/Logging_1980/tillsynsmail/A 41262-2023 tillsynsbegäran mail.docx", "A 41262-2023")</f>
        <v/>
      </c>
      <c r="AC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46220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s="2" t="inlineStr">
        <is>
          <t>Knärot
Motaggsvamp
Blomkålssvamp
Grönpyrola</t>
        </is>
      </c>
      <c r="V18">
        <f>HYPERLINK("https://klasma.github.io/Logging_1980/artfynd/A 16686-2026 artfynd.xlsx", "A 16686-2026")</f>
        <v/>
      </c>
      <c r="W18">
        <f>HYPERLINK("https://klasma.github.io/Logging_1980/kartor/A 16686-2026 karta.png", "A 16686-2026")</f>
        <v/>
      </c>
      <c r="X18">
        <f>HYPERLINK("https://klasma.github.io/Logging_1980/knärot/A 16686-2026 karta knärot.png", "A 16686-2026")</f>
        <v/>
      </c>
      <c r="Y18">
        <f>HYPERLINK("https://klasma.github.io/Logging_1980/klagomål/A 16686-2026 FSC-klagomål.docx", "A 16686-2026")</f>
        <v/>
      </c>
      <c r="Z18">
        <f>HYPERLINK("https://klasma.github.io/Logging_1980/klagomålsmail/A 16686-2026 FSC-klagomål mail.docx", "A 16686-2026")</f>
        <v/>
      </c>
      <c r="AA18">
        <f>HYPERLINK("https://klasma.github.io/Logging_1980/tillsyn/A 16686-2026 tillsynsbegäran.docx", "A 16686-2026")</f>
        <v/>
      </c>
      <c r="AB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46220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s="2" t="inlineStr">
        <is>
          <t>Grönpyrola
Spillkråka
Tjäder
Revlummer</t>
        </is>
      </c>
      <c r="V19">
        <f>HYPERLINK("https://klasma.github.io/Logging_1980/artfynd/A 16581-2026 artfynd.xlsx", "A 16581-2026")</f>
        <v/>
      </c>
      <c r="W19">
        <f>HYPERLINK("https://klasma.github.io/Logging_1980/kartor/A 16581-2026 karta.png", "A 16581-2026")</f>
        <v/>
      </c>
      <c r="Y19">
        <f>HYPERLINK("https://klasma.github.io/Logging_1980/klagomål/A 16581-2026 FSC-klagomål.docx", "A 16581-2026")</f>
        <v/>
      </c>
      <c r="Z19">
        <f>HYPERLINK("https://klasma.github.io/Logging_1980/klagomålsmail/A 16581-2026 FSC-klagomål mail.docx", "A 16581-2026")</f>
        <v/>
      </c>
      <c r="AA19">
        <f>HYPERLINK("https://klasma.github.io/Logging_1980/tillsyn/A 16581-2026 tillsynsbegäran.docx", "A 16581-2026")</f>
        <v/>
      </c>
      <c r="AB19">
        <f>HYPERLINK("https://klasma.github.io/Logging_1980/tillsynsmail/A 16581-2026 tillsynsbegäran mail.docx", "A 16581-2026")</f>
        <v/>
      </c>
      <c r="AC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s="2" t="inlineStr">
        <is>
          <t>Ask
Tallticka
Scharlakansvårskål agg.
Blåsippa</t>
        </is>
      </c>
      <c r="V20">
        <f>HYPERLINK("https://klasma.github.io/Logging_1980/artfynd/A 40782-2022 artfynd.xlsx", "A 40782-2022")</f>
        <v/>
      </c>
      <c r="W20">
        <f>HYPERLINK("https://klasma.github.io/Logging_1980/kartor/A 40782-2022 karta.png", "A 40782-2022")</f>
        <v/>
      </c>
      <c r="Y20">
        <f>HYPERLINK("https://klasma.github.io/Logging_1980/klagomål/A 40782-2022 FSC-klagomål.docx", "A 40782-2022")</f>
        <v/>
      </c>
      <c r="Z20">
        <f>HYPERLINK("https://klasma.github.io/Logging_1980/klagomålsmail/A 40782-2022 FSC-klagomål mail.docx", "A 40782-2022")</f>
        <v/>
      </c>
      <c r="AA20">
        <f>HYPERLINK("https://klasma.github.io/Logging_1980/tillsyn/A 40782-2022 tillsynsbegäran.docx", "A 40782-2022")</f>
        <v/>
      </c>
      <c r="AB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46220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Gullklöver
Svinrot
Hasselticka
Kopparödla</t>
        </is>
      </c>
      <c r="V21">
        <f>HYPERLINK("https://klasma.github.io/Logging_1980/artfynd/A 47695-2023 artfynd.xlsx", "A 47695-2023")</f>
        <v/>
      </c>
      <c r="W21">
        <f>HYPERLINK("https://klasma.github.io/Logging_1980/kartor/A 47695-2023 karta.png", "A 47695-2023")</f>
        <v/>
      </c>
      <c r="Y21">
        <f>HYPERLINK("https://klasma.github.io/Logging_1980/klagomål/A 47695-2023 FSC-klagomål.docx", "A 47695-2023")</f>
        <v/>
      </c>
      <c r="Z21">
        <f>HYPERLINK("https://klasma.github.io/Logging_1980/klagomålsmail/A 47695-2023 FSC-klagomål mail.docx", "A 47695-2023")</f>
        <v/>
      </c>
      <c r="AA21">
        <f>HYPERLINK("https://klasma.github.io/Logging_1980/tillsyn/A 47695-2023 tillsynsbegäran.docx", "A 47695-2023")</f>
        <v/>
      </c>
      <c r="AB21">
        <f>HYPERLINK("https://klasma.github.io/Logging_1980/tillsynsmail/A 47695-2023 tillsynsbegäran mail.docx", "A 47695-2023")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46220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Vithornad barkskinnbagge
Xyletinus ater
Mindre märgborre
Fiskgjuse</t>
        </is>
      </c>
      <c r="V22">
        <f>HYPERLINK("https://klasma.github.io/Logging_1980/artfynd/A 47228-2022 artfynd.xlsx", "A 47228-2022")</f>
        <v/>
      </c>
      <c r="W22">
        <f>HYPERLINK("https://klasma.github.io/Logging_1980/kartor/A 47228-2022 karta.png", "A 47228-2022")</f>
        <v/>
      </c>
      <c r="Y22">
        <f>HYPERLINK("https://klasma.github.io/Logging_1980/klagomål/A 47228-2022 FSC-klagomål.docx", "A 47228-2022")</f>
        <v/>
      </c>
      <c r="Z22">
        <f>HYPERLINK("https://klasma.github.io/Logging_1980/klagomålsmail/A 47228-2022 FSC-klagomål mail.docx", "A 47228-2022")</f>
        <v/>
      </c>
      <c r="AA22">
        <f>HYPERLINK("https://klasma.github.io/Logging_1980/tillsyn/A 47228-2022 tillsynsbegäran.docx", "A 47228-2022")</f>
        <v/>
      </c>
      <c r="AB22">
        <f>HYPERLINK("https://klasma.github.io/Logging_1980/tillsynsmail/A 47228-2022 tillsynsbegäran mail.docx", "A 47228-2022")</f>
        <v/>
      </c>
      <c r="AC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46220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s="2" t="inlineStr">
        <is>
          <t>Nordfladdermus
Gråskimlig fladdermus
Större brunfladdermus
Vattenfladdermus</t>
        </is>
      </c>
      <c r="V23">
        <f>HYPERLINK("https://klasma.github.io/Logging_1980/artfynd/A 22449-2026 artfynd.xlsx", "A 22449-2026")</f>
        <v/>
      </c>
      <c r="W23">
        <f>HYPERLINK("https://klasma.github.io/Logging_1980/kartor/A 22449-2026 karta.png", "A 22449-2026")</f>
        <v/>
      </c>
      <c r="Y23">
        <f>HYPERLINK("https://klasma.github.io/Logging_1980/klagomål/A 22449-2026 FSC-klagomål.docx", "A 22449-2026")</f>
        <v/>
      </c>
      <c r="Z23">
        <f>HYPERLINK("https://klasma.github.io/Logging_1980/klagomålsmail/A 22449-2026 FSC-klagomål mail.docx", "A 22449-2026")</f>
        <v/>
      </c>
      <c r="AA23">
        <f>HYPERLINK("https://klasma.github.io/Logging_1980/tillsyn/A 22449-2026 tillsynsbegäran.docx", "A 22449-2026")</f>
        <v/>
      </c>
      <c r="AB23">
        <f>HYPERLINK("https://klasma.github.io/Logging_1980/tillsynsmail/A 22449-2026 tillsynsbegäran mail.docx", "A 22449-2026")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Y24">
        <f>HYPERLINK("https://klasma.github.io/Logging_1980/klagomål/A 25672-2024 FSC-klagomål.docx", "A 25672-2024")</f>
        <v/>
      </c>
      <c r="Z24">
        <f>HYPERLINK("https://klasma.github.io/Logging_1980/klagomålsmail/A 25672-2024 FSC-klagomål mail.docx", "A 25672-2024")</f>
        <v/>
      </c>
      <c r="AA24">
        <f>HYPERLINK("https://klasma.github.io/Logging_1980/tillsyn/A 25672-2024 tillsynsbegäran.docx", "A 25672-2024")</f>
        <v/>
      </c>
      <c r="AB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Källpraktmossa
Stubbspretmossa
Vanlig rörsvepemossa</t>
        </is>
      </c>
      <c r="V25">
        <f>HYPERLINK("https://klasma.github.io/Logging_1980/artfynd/A 64201-2023 artfynd.xlsx", "A 64201-2023")</f>
        <v/>
      </c>
      <c r="W25">
        <f>HYPERLINK("https://klasma.github.io/Logging_1980/kartor/A 64201-2023 karta.png", "A 64201-2023")</f>
        <v/>
      </c>
      <c r="Y25">
        <f>HYPERLINK("https://klasma.github.io/Logging_1980/klagomål/A 64201-2023 FSC-klagomål.docx", "A 64201-2023")</f>
        <v/>
      </c>
      <c r="Z25">
        <f>HYPERLINK("https://klasma.github.io/Logging_1980/klagomålsmail/A 64201-2023 FSC-klagomål mail.docx", "A 64201-2023")</f>
        <v/>
      </c>
      <c r="AA25">
        <f>HYPERLINK("https://klasma.github.io/Logging_1980/tillsyn/A 64201-2023 tillsynsbegäran.docx", "A 64201-2023")</f>
        <v/>
      </c>
      <c r="AB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46220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s="2" t="inlineStr">
        <is>
          <t>Backsippa
Vårstarr
Gullviva</t>
        </is>
      </c>
      <c r="V26">
        <f>HYPERLINK("https://klasma.github.io/Logging_1980/artfynd/A 64735-2023 artfynd.xlsx", "A 64735-2023")</f>
        <v/>
      </c>
      <c r="W26">
        <f>HYPERLINK("https://klasma.github.io/Logging_1980/kartor/A 64735-2023 karta.png", "A 64735-2023")</f>
        <v/>
      </c>
      <c r="Y26">
        <f>HYPERLINK("https://klasma.github.io/Logging_1980/klagomål/A 64735-2023 FSC-klagomål.docx", "A 64735-2023")</f>
        <v/>
      </c>
      <c r="Z26">
        <f>HYPERLINK("https://klasma.github.io/Logging_1980/klagomålsmail/A 64735-2023 FSC-klagomål mail.docx", "A 64735-2023")</f>
        <v/>
      </c>
      <c r="AA26">
        <f>HYPERLINK("https://klasma.github.io/Logging_1980/tillsyn/A 64735-2023 tillsynsbegäran.docx", "A 64735-2023")</f>
        <v/>
      </c>
      <c r="AB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46220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s="2" t="inlineStr">
        <is>
          <t>Knärot
Motaggsvamp
Ullticka</t>
        </is>
      </c>
      <c r="V27">
        <f>HYPERLINK("https://klasma.github.io/Logging_1980/artfynd/A 16684-2026 artfynd.xlsx", "A 16684-2026")</f>
        <v/>
      </c>
      <c r="W27">
        <f>HYPERLINK("https://klasma.github.io/Logging_1980/kartor/A 16684-2026 karta.png", "A 16684-2026")</f>
        <v/>
      </c>
      <c r="X27">
        <f>HYPERLINK("https://klasma.github.io/Logging_1980/knärot/A 16684-2026 karta knärot.png", "A 16684-2026")</f>
        <v/>
      </c>
      <c r="Y27">
        <f>HYPERLINK("https://klasma.github.io/Logging_1980/klagomål/A 16684-2026 FSC-klagomål.docx", "A 16684-2026")</f>
        <v/>
      </c>
      <c r="Z27">
        <f>HYPERLINK("https://klasma.github.io/Logging_1980/klagomålsmail/A 16684-2026 FSC-klagomål mail.docx", "A 16684-2026")</f>
        <v/>
      </c>
      <c r="AA27">
        <f>HYPERLINK("https://klasma.github.io/Logging_1980/tillsyn/A 16684-2026 tillsynsbegäran.docx", "A 16684-2026")</f>
        <v/>
      </c>
      <c r="AB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46220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s="2" t="inlineStr">
        <is>
          <t>Knärot
Tallticka
Blåsippa</t>
        </is>
      </c>
      <c r="V28">
        <f>HYPERLINK("https://klasma.github.io/Logging_1980/artfynd/A 14265-2025 artfynd.xlsx", "A 14265-2025")</f>
        <v/>
      </c>
      <c r="W28">
        <f>HYPERLINK("https://klasma.github.io/Logging_1980/kartor/A 14265-2025 karta.png", "A 14265-2025")</f>
        <v/>
      </c>
      <c r="X28">
        <f>HYPERLINK("https://klasma.github.io/Logging_1980/knärot/A 14265-2025 karta knärot.png", "A 14265-2025")</f>
        <v/>
      </c>
      <c r="Y28">
        <f>HYPERLINK("https://klasma.github.io/Logging_1980/klagomål/A 14265-2025 FSC-klagomål.docx", "A 14265-2025")</f>
        <v/>
      </c>
      <c r="Z28">
        <f>HYPERLINK("https://klasma.github.io/Logging_1980/klagomålsmail/A 14265-2025 FSC-klagomål mail.docx", "A 14265-2025")</f>
        <v/>
      </c>
      <c r="AA28">
        <f>HYPERLINK("https://klasma.github.io/Logging_1980/tillsyn/A 14265-2025 tillsynsbegäran.docx", "A 14265-2025")</f>
        <v/>
      </c>
      <c r="AB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46220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Ask
Svart trolldruva
Nattviol</t>
        </is>
      </c>
      <c r="V29">
        <f>HYPERLINK("https://klasma.github.io/Logging_1980/artfynd/A 11804-2022 artfynd.xlsx", "A 11804-2022")</f>
        <v/>
      </c>
      <c r="W29">
        <f>HYPERLINK("https://klasma.github.io/Logging_1980/kartor/A 11804-2022 karta.png", "A 11804-2022")</f>
        <v/>
      </c>
      <c r="Y29">
        <f>HYPERLINK("https://klasma.github.io/Logging_1980/klagomål/A 11804-2022 FSC-klagomål.docx", "A 11804-2022")</f>
        <v/>
      </c>
      <c r="Z29">
        <f>HYPERLINK("https://klasma.github.io/Logging_1980/klagomålsmail/A 11804-2022 FSC-klagomål mail.docx", "A 11804-2022")</f>
        <v/>
      </c>
      <c r="AA29">
        <f>HYPERLINK("https://klasma.github.io/Logging_1980/tillsyn/A 11804-2022 tillsynsbegäran.docx", "A 11804-2022")</f>
        <v/>
      </c>
      <c r="AB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46220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Grönfink
Blåsippa
Kungsfågel</t>
        </is>
      </c>
      <c r="V30">
        <f>HYPERLINK("https://klasma.github.io/Logging_1980/artfynd/A 6249-2024 artfynd.xlsx", "A 6249-2024")</f>
        <v/>
      </c>
      <c r="W30">
        <f>HYPERLINK("https://klasma.github.io/Logging_1980/kartor/A 6249-2024 karta.png", "A 6249-2024")</f>
        <v/>
      </c>
      <c r="Y30">
        <f>HYPERLINK("https://klasma.github.io/Logging_1980/klagomål/A 6249-2024 FSC-klagomål.docx", "A 6249-2024")</f>
        <v/>
      </c>
      <c r="Z30">
        <f>HYPERLINK("https://klasma.github.io/Logging_1980/klagomålsmail/A 6249-2024 FSC-klagomål mail.docx", "A 6249-2024")</f>
        <v/>
      </c>
      <c r="AA30">
        <f>HYPERLINK("https://klasma.github.io/Logging_1980/tillsyn/A 6249-2024 tillsynsbegäran.docx", "A 6249-2024")</f>
        <v/>
      </c>
      <c r="AB30">
        <f>HYPERLINK("https://klasma.github.io/Logging_1980/tillsynsmail/A 6249-2024 tillsynsbegäran mail.docx", "A 6249-2024")</f>
        <v/>
      </c>
      <c r="AC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s="2" t="inlineStr">
        <is>
          <t>Gullklöver
Blåsippa</t>
        </is>
      </c>
      <c r="V33">
        <f>HYPERLINK("https://klasma.github.io/Logging_1980/artfynd/A 30759-2022 artfynd.xlsx", "A 30759-2022")</f>
        <v/>
      </c>
      <c r="W33">
        <f>HYPERLINK("https://klasma.github.io/Logging_1980/kartor/A 30759-2022 karta.png", "A 30759-2022")</f>
        <v/>
      </c>
      <c r="Y33">
        <f>HYPERLINK("https://klasma.github.io/Logging_1980/klagomål/A 30759-2022 FSC-klagomål.docx", "A 30759-2022")</f>
        <v/>
      </c>
      <c r="Z33">
        <f>HYPERLINK("https://klasma.github.io/Logging_1980/klagomålsmail/A 30759-2022 FSC-klagomål mail.docx", "A 30759-2022")</f>
        <v/>
      </c>
      <c r="AA33">
        <f>HYPERLINK("https://klasma.github.io/Logging_1980/tillsyn/A 30759-2022 tillsynsbegäran.docx", "A 30759-2022")</f>
        <v/>
      </c>
      <c r="AB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46220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s="2" t="inlineStr">
        <is>
          <t>Jungfrulin
Svinrot</t>
        </is>
      </c>
      <c r="V34">
        <f>HYPERLINK("https://klasma.github.io/Logging_1980/artfynd/A 54536-2024 artfynd.xlsx", "A 54536-2024")</f>
        <v/>
      </c>
      <c r="W34">
        <f>HYPERLINK("https://klasma.github.io/Logging_1980/kartor/A 54536-2024 karta.png", "A 54536-2024")</f>
        <v/>
      </c>
      <c r="Y34">
        <f>HYPERLINK("https://klasma.github.io/Logging_1980/klagomål/A 54536-2024 FSC-klagomål.docx", "A 54536-2024")</f>
        <v/>
      </c>
      <c r="Z34">
        <f>HYPERLINK("https://klasma.github.io/Logging_1980/klagomålsmail/A 54536-2024 FSC-klagomål mail.docx", "A 54536-2024")</f>
        <v/>
      </c>
      <c r="AA34">
        <f>HYPERLINK("https://klasma.github.io/Logging_1980/tillsyn/A 54536-2024 tillsynsbegäran.docx", "A 54536-2024")</f>
        <v/>
      </c>
      <c r="AB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s="2" t="inlineStr">
        <is>
          <t>Grönpyrola
Fiskgjuse</t>
        </is>
      </c>
      <c r="V35">
        <f>HYPERLINK("https://klasma.github.io/Logging_1980/artfynd/A 59143-2025 artfynd.xlsx", "A 59143-2025")</f>
        <v/>
      </c>
      <c r="W35">
        <f>HYPERLINK("https://klasma.github.io/Logging_1980/kartor/A 59143-2025 karta.png", "A 59143-2025")</f>
        <v/>
      </c>
      <c r="Y35">
        <f>HYPERLINK("https://klasma.github.io/Logging_1980/klagomål/A 59143-2025 FSC-klagomål.docx", "A 59143-2025")</f>
        <v/>
      </c>
      <c r="Z35">
        <f>HYPERLINK("https://klasma.github.io/Logging_1980/klagomålsmail/A 59143-2025 FSC-klagomål mail.docx", "A 59143-2025")</f>
        <v/>
      </c>
      <c r="AA35">
        <f>HYPERLINK("https://klasma.github.io/Logging_1980/tillsyn/A 59143-2025 tillsynsbegäran.docx", "A 59143-2025")</f>
        <v/>
      </c>
      <c r="AB35">
        <f>HYPERLINK("https://klasma.github.io/Logging_1980/tillsynsmail/A 59143-2025 tillsynsbegäran mail.docx", "A 59143-2025")</f>
        <v/>
      </c>
      <c r="AC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46220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Tibast</t>
        </is>
      </c>
      <c r="V36">
        <f>HYPERLINK("https://klasma.github.io/Logging_1980/artfynd/A 9327-2026 artfynd.xlsx", "A 9327-2026")</f>
        <v/>
      </c>
      <c r="W36">
        <f>HYPERLINK("https://klasma.github.io/Logging_1980/kartor/A 9327-2026 karta.png", "A 9327-2026")</f>
        <v/>
      </c>
      <c r="Y36">
        <f>HYPERLINK("https://klasma.github.io/Logging_1980/klagomål/A 9327-2026 FSC-klagomål.docx", "A 9327-2026")</f>
        <v/>
      </c>
      <c r="Z36">
        <f>HYPERLINK("https://klasma.github.io/Logging_1980/klagomålsmail/A 9327-2026 FSC-klagomål mail.docx", "A 9327-2026")</f>
        <v/>
      </c>
      <c r="AA36">
        <f>HYPERLINK("https://klasma.github.io/Logging_1980/tillsyn/A 9327-2026 tillsynsbegäran.docx", "A 9327-2026")</f>
        <v/>
      </c>
      <c r="AB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46220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Blåmossa
Kopparödla</t>
        </is>
      </c>
      <c r="V37">
        <f>HYPERLINK("https://klasma.github.io/Logging_1980/artfynd/A 22452-2026 artfynd.xlsx", "A 22452-2026")</f>
        <v/>
      </c>
      <c r="W37">
        <f>HYPERLINK("https://klasma.github.io/Logging_1980/kartor/A 22452-2026 karta.png", "A 22452-2026")</f>
        <v/>
      </c>
      <c r="Y37">
        <f>HYPERLINK("https://klasma.github.io/Logging_1980/klagomål/A 22452-2026 FSC-klagomål.docx", "A 22452-2026")</f>
        <v/>
      </c>
      <c r="Z37">
        <f>HYPERLINK("https://klasma.github.io/Logging_1980/klagomålsmail/A 22452-2026 FSC-klagomål mail.docx", "A 22452-2026")</f>
        <v/>
      </c>
      <c r="AA37">
        <f>HYPERLINK("https://klasma.github.io/Logging_1980/tillsyn/A 22452-2026 tillsynsbegäran.docx", "A 22452-2026")</f>
        <v/>
      </c>
      <c r="AB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46220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Y38">
        <f>HYPERLINK("https://klasma.github.io/Logging_1980/klagomål/A 59566-2021 FSC-klagomål.docx", "A 59566-2021")</f>
        <v/>
      </c>
      <c r="Z38">
        <f>HYPERLINK("https://klasma.github.io/Logging_1980/klagomålsmail/A 59566-2021 FSC-klagomål mail.docx", "A 59566-2021")</f>
        <v/>
      </c>
      <c r="AA38">
        <f>HYPERLINK("https://klasma.github.io/Logging_1980/tillsyn/A 59566-2021 tillsynsbegäran.docx", "A 59566-2021")</f>
        <v/>
      </c>
      <c r="AB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46220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46220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Y41">
        <f>HYPERLINK("https://klasma.github.io/Logging_1980/klagomål/A 30761-2022 FSC-klagomål.docx", "A 30761-2022")</f>
        <v/>
      </c>
      <c r="Z41">
        <f>HYPERLINK("https://klasma.github.io/Logging_1980/klagomålsmail/A 30761-2022 FSC-klagomål mail.docx", "A 30761-2022")</f>
        <v/>
      </c>
      <c r="AA41">
        <f>HYPERLINK("https://klasma.github.io/Logging_1980/tillsyn/A 30761-2022 tillsynsbegäran.docx", "A 30761-2022")</f>
        <v/>
      </c>
      <c r="AB41">
        <f>HYPERLINK("https://klasma.github.io/Logging_1980/tillsynsmail/A 30761-2022 tillsynsbegäran mail.docx", "A 30761-2022")</f>
        <v/>
      </c>
      <c r="AC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46220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Y42">
        <f>HYPERLINK("https://klasma.github.io/Logging_1980/klagomål/A 7534-2022 FSC-klagomål.docx", "A 7534-2022")</f>
        <v/>
      </c>
      <c r="Z42">
        <f>HYPERLINK("https://klasma.github.io/Logging_1980/klagomålsmail/A 7534-2022 FSC-klagomål mail.docx", "A 7534-2022")</f>
        <v/>
      </c>
      <c r="AA42">
        <f>HYPERLINK("https://klasma.github.io/Logging_1980/tillsyn/A 7534-2022 tillsynsbegäran.docx", "A 7534-2022")</f>
        <v/>
      </c>
      <c r="AB42">
        <f>HYPERLINK("https://klasma.github.io/Logging_1980/tillsynsmail/A 7534-2022 tillsynsbegäran mail.docx", "A 7534-2022")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46220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HYPERLINK("https://klasma.github.io/Logging_1980/artfynd/A 50193-2022 artfynd.xlsx", "A 50193-2022")</f>
        <v/>
      </c>
      <c r="W43">
        <f>HYPERLINK("https://klasma.github.io/Logging_1980/kartor/A 50193-2022 karta.png", "A 50193-2022")</f>
        <v/>
      </c>
      <c r="Y43">
        <f>HYPERLINK("https://klasma.github.io/Logging_1980/klagomål/A 50193-2022 FSC-klagomål.docx", "A 50193-2022")</f>
        <v/>
      </c>
      <c r="Z43">
        <f>HYPERLINK("https://klasma.github.io/Logging_1980/klagomålsmail/A 50193-2022 FSC-klagomål mail.docx", "A 50193-2022")</f>
        <v/>
      </c>
      <c r="AA43">
        <f>HYPERLINK("https://klasma.github.io/Logging_1980/tillsyn/A 50193-2022 tillsynsbegäran.docx", "A 50193-2022")</f>
        <v/>
      </c>
      <c r="AB43">
        <f>HYPERLINK("https://klasma.github.io/Logging_1980/tillsynsmail/A 50193-2022 tillsynsbegäran mail.docx", "A 50193-2022")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46220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Mistel</t>
        </is>
      </c>
      <c r="V44">
        <f>HYPERLINK("https://klasma.github.io/Logging_1980/artfynd/A 26568-2022 artfynd.xlsx", "A 26568-2022")</f>
        <v/>
      </c>
      <c r="W44">
        <f>HYPERLINK("https://klasma.github.io/Logging_1980/kartor/A 26568-2022 karta.png", "A 26568-2022")</f>
        <v/>
      </c>
      <c r="Y44">
        <f>HYPERLINK("https://klasma.github.io/Logging_1980/klagomål/A 26568-2022 FSC-klagomål.docx", "A 26568-2022")</f>
        <v/>
      </c>
      <c r="Z44">
        <f>HYPERLINK("https://klasma.github.io/Logging_1980/klagomålsmail/A 26568-2022 FSC-klagomål mail.docx", "A 26568-2022")</f>
        <v/>
      </c>
      <c r="AA44">
        <f>HYPERLINK("https://klasma.github.io/Logging_1980/tillsyn/A 26568-2022 tillsynsbegäran.docx", "A 26568-2022")</f>
        <v/>
      </c>
      <c r="AB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46220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HYPERLINK("https://klasma.github.io/Logging_1980/artfynd/A 12905-2022 artfynd.xlsx", "A 12905-2022")</f>
        <v/>
      </c>
      <c r="W45">
        <f>HYPERLINK("https://klasma.github.io/Logging_1980/kartor/A 12905-2022 karta.png", "A 12905-2022")</f>
        <v/>
      </c>
      <c r="Y45">
        <f>HYPERLINK("https://klasma.github.io/Logging_1980/klagomål/A 12905-2022 FSC-klagomål.docx", "A 12905-2022")</f>
        <v/>
      </c>
      <c r="Z45">
        <f>HYPERLINK("https://klasma.github.io/Logging_1980/klagomålsmail/A 12905-2022 FSC-klagomål mail.docx", "A 12905-2022")</f>
        <v/>
      </c>
      <c r="AA45">
        <f>HYPERLINK("https://klasma.github.io/Logging_1980/tillsyn/A 12905-2022 tillsynsbegäran.docx", "A 12905-2022")</f>
        <v/>
      </c>
      <c r="AB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46220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Köpingfibbla</t>
        </is>
      </c>
      <c r="V46">
        <f>HYPERLINK("https://klasma.github.io/Logging_1980/artfynd/A 8362-2022 artfynd.xlsx", "A 8362-2022")</f>
        <v/>
      </c>
      <c r="W46">
        <f>HYPERLINK("https://klasma.github.io/Logging_1980/kartor/A 8362-2022 karta.png", "A 8362-2022")</f>
        <v/>
      </c>
      <c r="Y46">
        <f>HYPERLINK("https://klasma.github.io/Logging_1980/klagomål/A 8362-2022 FSC-klagomål.docx", "A 8362-2022")</f>
        <v/>
      </c>
      <c r="Z46">
        <f>HYPERLINK("https://klasma.github.io/Logging_1980/klagomålsmail/A 8362-2022 FSC-klagomål mail.docx", "A 8362-2022")</f>
        <v/>
      </c>
      <c r="AA46">
        <f>HYPERLINK("https://klasma.github.io/Logging_1980/tillsyn/A 8362-2022 tillsynsbegäran.docx", "A 8362-2022")</f>
        <v/>
      </c>
      <c r="AB46">
        <f>HYPERLINK("https://klasma.github.io/Logging_1980/tillsynsmail/A 8362-2022 tillsynsbegäran mail.docx", "A 8362-2022")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46220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Mindre märgborre</t>
        </is>
      </c>
      <c r="V47">
        <f>HYPERLINK("https://klasma.github.io/Logging_1980/artfynd/A 51147-2023 artfynd.xlsx", "A 51147-2023")</f>
        <v/>
      </c>
      <c r="W47">
        <f>HYPERLINK("https://klasma.github.io/Logging_1980/kartor/A 51147-2023 karta.png", "A 51147-2023")</f>
        <v/>
      </c>
      <c r="Y47">
        <f>HYPERLINK("https://klasma.github.io/Logging_1980/klagomål/A 51147-2023 FSC-klagomål.docx", "A 51147-2023")</f>
        <v/>
      </c>
      <c r="Z47">
        <f>HYPERLINK("https://klasma.github.io/Logging_1980/klagomålsmail/A 51147-2023 FSC-klagomål mail.docx", "A 51147-2023")</f>
        <v/>
      </c>
      <c r="AA47">
        <f>HYPERLINK("https://klasma.github.io/Logging_1980/tillsyn/A 51147-2023 tillsynsbegäran.docx", "A 51147-2023")</f>
        <v/>
      </c>
      <c r="AB47">
        <f>HYPERLINK("https://klasma.github.io/Logging_1980/tillsynsmail/A 51147-2023 tillsynsbegäran mail.docx", "A 51147-2023")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46220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Grönpyrola</t>
        </is>
      </c>
      <c r="V48">
        <f>HYPERLINK("https://klasma.github.io/Logging_1980/artfynd/A 40886-2025 artfynd.xlsx", "A 40886-2025")</f>
        <v/>
      </c>
      <c r="W48">
        <f>HYPERLINK("https://klasma.github.io/Logging_1980/kartor/A 40886-2025 karta.png", "A 40886-2025")</f>
        <v/>
      </c>
      <c r="Y48">
        <f>HYPERLINK("https://klasma.github.io/Logging_1980/klagomål/A 40886-2025 FSC-klagomål.docx", "A 40886-2025")</f>
        <v/>
      </c>
      <c r="Z48">
        <f>HYPERLINK("https://klasma.github.io/Logging_1980/klagomålsmail/A 40886-2025 FSC-klagomål mail.docx", "A 40886-2025")</f>
        <v/>
      </c>
      <c r="AA48">
        <f>HYPERLINK("https://klasma.github.io/Logging_1980/tillsyn/A 40886-2025 tillsynsbegäran.docx", "A 40886-2025")</f>
        <v/>
      </c>
      <c r="AB48">
        <f>HYPERLINK("https://klasma.github.io/Logging_1980/tillsynsmail/A 40886-2025 tillsynsbegäran mail.docx", "A 40886-2025")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46220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Lönnlav</t>
        </is>
      </c>
      <c r="V49">
        <f>HYPERLINK("https://klasma.github.io/Logging_1980/artfynd/A 16374-2025 artfynd.xlsx", "A 16374-2025")</f>
        <v/>
      </c>
      <c r="W49">
        <f>HYPERLINK("https://klasma.github.io/Logging_1980/kartor/A 16374-2025 karta.png", "A 16374-2025")</f>
        <v/>
      </c>
      <c r="Y49">
        <f>HYPERLINK("https://klasma.github.io/Logging_1980/klagomål/A 16374-2025 FSC-klagomål.docx", "A 16374-2025")</f>
        <v/>
      </c>
      <c r="Z49">
        <f>HYPERLINK("https://klasma.github.io/Logging_1980/klagomålsmail/A 16374-2025 FSC-klagomål mail.docx", "A 16374-2025")</f>
        <v/>
      </c>
      <c r="AA49">
        <f>HYPERLINK("https://klasma.github.io/Logging_1980/tillsyn/A 16374-2025 tillsynsbegäran.docx", "A 16374-2025")</f>
        <v/>
      </c>
      <c r="AB49">
        <f>HYPERLINK("https://klasma.github.io/Logging_1980/tillsynsmail/A 16374-2025 tillsynsbegäran mail.docx", "A 16374-2025")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46220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HYPERLINK("https://klasma.github.io/Logging_1980/artfynd/A 12950-2023 artfynd.xlsx", "A 12950-2023")</f>
        <v/>
      </c>
      <c r="W50">
        <f>HYPERLINK("https://klasma.github.io/Logging_1980/kartor/A 12950-2023 karta.png", "A 12950-2023")</f>
        <v/>
      </c>
      <c r="Y50">
        <f>HYPERLINK("https://klasma.github.io/Logging_1980/klagomål/A 12950-2023 FSC-klagomål.docx", "A 12950-2023")</f>
        <v/>
      </c>
      <c r="Z50">
        <f>HYPERLINK("https://klasma.github.io/Logging_1980/klagomålsmail/A 12950-2023 FSC-klagomål mail.docx", "A 12950-2023")</f>
        <v/>
      </c>
      <c r="AA50">
        <f>HYPERLINK("https://klasma.github.io/Logging_1980/tillsyn/A 12950-2023 tillsynsbegäran.docx", "A 12950-2023")</f>
        <v/>
      </c>
      <c r="AB50">
        <f>HYPERLINK("https://klasma.github.io/Logging_1980/tillsynsmail/A 12950-2023 tillsynsbegäran mail.docx", "A 12950-2023")</f>
        <v/>
      </c>
    </row>
    <row r="51" ht="15" customHeight="1">
      <c r="A51" t="inlineStr">
        <is>
          <t>A 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46220</v>
      </c>
      <c r="F51" t="inlineStr">
        <is>
          <t>VÄSTMANLANDS LÄN</t>
        </is>
      </c>
      <c r="G51" t="inlineStr">
        <is>
          <t>VÄSTERÅS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Brunklöver</t>
        </is>
      </c>
      <c r="V51">
        <f>HYPERLINK("https://klasma.github.io/Logging_1980/artfynd/A 5363-2025 artfynd.xlsx", "A 5363-2025")</f>
        <v/>
      </c>
      <c r="W51">
        <f>HYPERLINK("https://klasma.github.io/Logging_1980/kartor/A 5363-2025 karta.png", "A 5363-2025")</f>
        <v/>
      </c>
      <c r="Y51">
        <f>HYPERLINK("https://klasma.github.io/Logging_1980/klagomål/A 5363-2025 FSC-klagomål.docx", "A 5363-2025")</f>
        <v/>
      </c>
      <c r="Z51">
        <f>HYPERLINK("https://klasma.github.io/Logging_1980/klagomålsmail/A 5363-2025 FSC-klagomål mail.docx", "A 5363-2025")</f>
        <v/>
      </c>
      <c r="AA51">
        <f>HYPERLINK("https://klasma.github.io/Logging_1980/tillsyn/A 5363-2025 tillsynsbegäran.docx", "A 5363-2025")</f>
        <v/>
      </c>
      <c r="AB51">
        <f>HYPERLINK("https://klasma.github.io/Logging_1980/tillsynsmail/A 5363-2025 tillsynsbegäran mail.docx", "A 5363-2025")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46220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Bandad skulderbock</t>
        </is>
      </c>
      <c r="V52">
        <f>HYPERLINK("https://klasma.github.io/Logging_1980/artfynd/A 61059-2024 artfynd.xlsx", "A 61059-2024")</f>
        <v/>
      </c>
      <c r="W52">
        <f>HYPERLINK("https://klasma.github.io/Logging_1980/kartor/A 61059-2024 karta.png", "A 61059-2024")</f>
        <v/>
      </c>
      <c r="Y52">
        <f>HYPERLINK("https://klasma.github.io/Logging_1980/klagomål/A 61059-2024 FSC-klagomål.docx", "A 61059-2024")</f>
        <v/>
      </c>
      <c r="Z52">
        <f>HYPERLINK("https://klasma.github.io/Logging_1980/klagomålsmail/A 61059-2024 FSC-klagomål mail.docx", "A 61059-2024")</f>
        <v/>
      </c>
      <c r="AA52">
        <f>HYPERLINK("https://klasma.github.io/Logging_1980/tillsyn/A 61059-2024 tillsynsbegäran.docx", "A 61059-2024")</f>
        <v/>
      </c>
      <c r="AB52">
        <f>HYPERLINK("https://klasma.github.io/Logging_1980/tillsynsmail/A 61059-2024 tillsynsbegäran mail.docx", "A 61059-2024")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46220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Fiskgjuse</t>
        </is>
      </c>
      <c r="V53">
        <f>HYPERLINK("https://klasma.github.io/Logging_1980/artfynd/A 59140-2025 artfynd.xlsx", "A 59140-2025")</f>
        <v/>
      </c>
      <c r="W53">
        <f>HYPERLINK("https://klasma.github.io/Logging_1980/kartor/A 59140-2025 karta.png", "A 59140-2025")</f>
        <v/>
      </c>
      <c r="Y53">
        <f>HYPERLINK("https://klasma.github.io/Logging_1980/klagomål/A 59140-2025 FSC-klagomål.docx", "A 59140-2025")</f>
        <v/>
      </c>
      <c r="Z53">
        <f>HYPERLINK("https://klasma.github.io/Logging_1980/klagomålsmail/A 59140-2025 FSC-klagomål mail.docx", "A 59140-2025")</f>
        <v/>
      </c>
      <c r="AA53">
        <f>HYPERLINK("https://klasma.github.io/Logging_1980/tillsyn/A 59140-2025 tillsynsbegäran.docx", "A 59140-2025")</f>
        <v/>
      </c>
      <c r="AB53">
        <f>HYPERLINK("https://klasma.github.io/Logging_1980/tillsynsmail/A 59140-2025 tillsynsbegäran mail.docx", "A 59140-2025")</f>
        <v/>
      </c>
      <c r="AC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46220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HYPERLINK("https://klasma.github.io/Logging_1980/artfynd/A 59144-2025 artfynd.xlsx", "A 59144-2025")</f>
        <v/>
      </c>
      <c r="W54">
        <f>HYPERLINK("https://klasma.github.io/Logging_1980/kartor/A 59144-2025 karta.png", "A 59144-2025")</f>
        <v/>
      </c>
      <c r="Y54">
        <f>HYPERLINK("https://klasma.github.io/Logging_1980/klagomål/A 59144-2025 FSC-klagomål.docx", "A 59144-2025")</f>
        <v/>
      </c>
      <c r="Z54">
        <f>HYPERLINK("https://klasma.github.io/Logging_1980/klagomålsmail/A 59144-2025 FSC-klagomål mail.docx", "A 59144-2025")</f>
        <v/>
      </c>
      <c r="AA54">
        <f>HYPERLINK("https://klasma.github.io/Logging_1980/tillsyn/A 59144-2025 tillsynsbegäran.docx", "A 59144-2025")</f>
        <v/>
      </c>
      <c r="AB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46220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Kopparödla</t>
        </is>
      </c>
      <c r="V55">
        <f>HYPERLINK("https://klasma.github.io/Logging_1980/artfynd/A 29787-2023 artfynd.xlsx", "A 29787-2023")</f>
        <v/>
      </c>
      <c r="W55">
        <f>HYPERLINK("https://klasma.github.io/Logging_1980/kartor/A 29787-2023 karta.png", "A 29787-2023")</f>
        <v/>
      </c>
      <c r="Y55">
        <f>HYPERLINK("https://klasma.github.io/Logging_1980/klagomål/A 29787-2023 FSC-klagomål.docx", "A 29787-2023")</f>
        <v/>
      </c>
      <c r="Z55">
        <f>HYPERLINK("https://klasma.github.io/Logging_1980/klagomålsmail/A 29787-2023 FSC-klagomål mail.docx", "A 29787-2023")</f>
        <v/>
      </c>
      <c r="AA55">
        <f>HYPERLINK("https://klasma.github.io/Logging_1980/tillsyn/A 29787-2023 tillsynsbegäran.docx", "A 29787-2023")</f>
        <v/>
      </c>
      <c r="AB55">
        <f>HYPERLINK("https://klasma.github.io/Logging_1980/tillsynsmail/A 29787-2023 tillsynsbegäran mail.docx", "A 29787-2023")</f>
        <v/>
      </c>
    </row>
    <row r="56" ht="15" customHeight="1">
      <c r="A56" t="inlineStr">
        <is>
          <t>A 12058-2026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46220</v>
      </c>
      <c r="F56" t="inlineStr">
        <is>
          <t>VÄSTMANLANDS LÄN</t>
        </is>
      </c>
      <c r="G56" t="inlineStr">
        <is>
          <t>VÄSTERÅS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Törnskata</t>
        </is>
      </c>
      <c r="V56">
        <f>HYPERLINK("https://klasma.github.io/Logging_1980/artfynd/A 12058-2026 artfynd.xlsx", "A 12058-2026")</f>
        <v/>
      </c>
      <c r="W56">
        <f>HYPERLINK("https://klasma.github.io/Logging_1980/kartor/A 12058-2026 karta.png", "A 12058-2026")</f>
        <v/>
      </c>
      <c r="Y56">
        <f>HYPERLINK("https://klasma.github.io/Logging_1980/klagomål/A 12058-2026 FSC-klagomål.docx", "A 12058-2026")</f>
        <v/>
      </c>
      <c r="Z56">
        <f>HYPERLINK("https://klasma.github.io/Logging_1980/klagomålsmail/A 12058-2026 FSC-klagomål mail.docx", "A 12058-2026")</f>
        <v/>
      </c>
      <c r="AA56">
        <f>HYPERLINK("https://klasma.github.io/Logging_1980/tillsyn/A 12058-2026 tillsynsbegäran.docx", "A 12058-2026")</f>
        <v/>
      </c>
      <c r="AB56">
        <f>HYPERLINK("https://klasma.github.io/Logging_1980/tillsynsmail/A 12058-2026 tillsynsbegäran mail.docx", "A 12058-2026")</f>
        <v/>
      </c>
      <c r="AC56">
        <f>HYPERLINK("https://klasma.github.io/Logging_1980/fåglar/A 12058-2026 prioriterade fågelarter.docx", "A 12058-2026")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46220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Korskovall</t>
        </is>
      </c>
      <c r="V57">
        <f>HYPERLINK("https://klasma.github.io/Logging_1980/artfynd/A 58395-2022 artfynd.xlsx", "A 58395-2022")</f>
        <v/>
      </c>
      <c r="W57">
        <f>HYPERLINK("https://klasma.github.io/Logging_1980/kartor/A 58395-2022 karta.png", "A 58395-2022")</f>
        <v/>
      </c>
      <c r="Y57">
        <f>HYPERLINK("https://klasma.github.io/Logging_1980/klagomål/A 58395-2022 FSC-klagomål.docx", "A 58395-2022")</f>
        <v/>
      </c>
      <c r="Z57">
        <f>HYPERLINK("https://klasma.github.io/Logging_1980/klagomålsmail/A 58395-2022 FSC-klagomål mail.docx", "A 58395-2022")</f>
        <v/>
      </c>
      <c r="AA57">
        <f>HYPERLINK("https://klasma.github.io/Logging_1980/tillsyn/A 58395-2022 tillsynsbegäran.docx", "A 58395-2022")</f>
        <v/>
      </c>
      <c r="AB57">
        <f>HYPERLINK("https://klasma.github.io/Logging_1980/tillsynsmail/A 58395-2022 tillsynsbegäran mail.docx", "A 58395-2022")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46220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Sparvuggla</t>
        </is>
      </c>
      <c r="V58">
        <f>HYPERLINK("https://klasma.github.io/Logging_1980/artfynd/A 1594-2023 artfynd.xlsx", "A 1594-2023")</f>
        <v/>
      </c>
      <c r="W58">
        <f>HYPERLINK("https://klasma.github.io/Logging_1980/kartor/A 1594-2023 karta.png", "A 1594-2023")</f>
        <v/>
      </c>
      <c r="Y58">
        <f>HYPERLINK("https://klasma.github.io/Logging_1980/klagomål/A 1594-2023 FSC-klagomål.docx", "A 1594-2023")</f>
        <v/>
      </c>
      <c r="Z58">
        <f>HYPERLINK("https://klasma.github.io/Logging_1980/klagomålsmail/A 1594-2023 FSC-klagomål mail.docx", "A 1594-2023")</f>
        <v/>
      </c>
      <c r="AA58">
        <f>HYPERLINK("https://klasma.github.io/Logging_1980/tillsyn/A 1594-2023 tillsynsbegäran.docx", "A 1594-2023")</f>
        <v/>
      </c>
      <c r="AB58">
        <f>HYPERLINK("https://klasma.github.io/Logging_1980/tillsynsmail/A 1594-2023 tillsynsbegäran mail.docx", "A 1594-2023")</f>
        <v/>
      </c>
      <c r="AC58">
        <f>HYPERLINK("https://klasma.github.io/Logging_1980/fåglar/A 1594-2023 prioriterade fågelarter.docx", "A 1594-2023")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46220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HYPERLINK("https://klasma.github.io/Logging_1980/artfynd/A 22378-2026 artfynd.xlsx", "A 22378-2026")</f>
        <v/>
      </c>
      <c r="W59">
        <f>HYPERLINK("https://klasma.github.io/Logging_1980/kartor/A 22378-2026 karta.png", "A 22378-2026")</f>
        <v/>
      </c>
      <c r="Y59">
        <f>HYPERLINK("https://klasma.github.io/Logging_1980/klagomål/A 22378-2026 FSC-klagomål.docx", "A 22378-2026")</f>
        <v/>
      </c>
      <c r="Z59">
        <f>HYPERLINK("https://klasma.github.io/Logging_1980/klagomålsmail/A 22378-2026 FSC-klagomål mail.docx", "A 22378-2026")</f>
        <v/>
      </c>
      <c r="AA59">
        <f>HYPERLINK("https://klasma.github.io/Logging_1980/tillsyn/A 22378-2026 tillsynsbegäran.docx", "A 22378-2026")</f>
        <v/>
      </c>
      <c r="AB59">
        <f>HYPERLINK("https://klasma.github.io/Logging_1980/tillsynsmail/A 22378-2026 tillsynsbegäran mail.docx", "A 22378-2026")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46220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Gullviva</t>
        </is>
      </c>
      <c r="V60">
        <f>HYPERLINK("https://klasma.github.io/Logging_1980/artfynd/A 46189-2023 artfynd.xlsx", "A 46189-2023")</f>
        <v/>
      </c>
      <c r="W60">
        <f>HYPERLINK("https://klasma.github.io/Logging_1980/kartor/A 46189-2023 karta.png", "A 46189-2023")</f>
        <v/>
      </c>
      <c r="Y60">
        <f>HYPERLINK("https://klasma.github.io/Logging_1980/klagomål/A 46189-2023 FSC-klagomål.docx", "A 46189-2023")</f>
        <v/>
      </c>
      <c r="Z60">
        <f>HYPERLINK("https://klasma.github.io/Logging_1980/klagomålsmail/A 46189-2023 FSC-klagomål mail.docx", "A 46189-2023")</f>
        <v/>
      </c>
      <c r="AA60">
        <f>HYPERLINK("https://klasma.github.io/Logging_1980/tillsyn/A 46189-2023 tillsynsbegäran.docx", "A 46189-2023")</f>
        <v/>
      </c>
      <c r="AB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46220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Mistel</t>
        </is>
      </c>
      <c r="V61">
        <f>HYPERLINK("https://klasma.github.io/Logging_1980/artfynd/A 61254-2023 artfynd.xlsx", "A 61254-2023")</f>
        <v/>
      </c>
      <c r="W61">
        <f>HYPERLINK("https://klasma.github.io/Logging_1980/kartor/A 61254-2023 karta.png", "A 61254-2023")</f>
        <v/>
      </c>
      <c r="Y61">
        <f>HYPERLINK("https://klasma.github.io/Logging_1980/klagomål/A 61254-2023 FSC-klagomål.docx", "A 61254-2023")</f>
        <v/>
      </c>
      <c r="Z61">
        <f>HYPERLINK("https://klasma.github.io/Logging_1980/klagomålsmail/A 61254-2023 FSC-klagomål mail.docx", "A 61254-2023")</f>
        <v/>
      </c>
      <c r="AA61">
        <f>HYPERLINK("https://klasma.github.io/Logging_1980/tillsyn/A 61254-2023 tillsynsbegäran.docx", "A 61254-2023")</f>
        <v/>
      </c>
      <c r="AB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46220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Brunklöver</t>
        </is>
      </c>
      <c r="V62">
        <f>HYPERLINK("https://klasma.github.io/Logging_1980/artfynd/A 59520-2024 artfynd.xlsx", "A 59520-2024")</f>
        <v/>
      </c>
      <c r="W62">
        <f>HYPERLINK("https://klasma.github.io/Logging_1980/kartor/A 59520-2024 karta.png", "A 59520-2024")</f>
        <v/>
      </c>
      <c r="Y62">
        <f>HYPERLINK("https://klasma.github.io/Logging_1980/klagomål/A 59520-2024 FSC-klagomål.docx", "A 59520-2024")</f>
        <v/>
      </c>
      <c r="Z62">
        <f>HYPERLINK("https://klasma.github.io/Logging_1980/klagomålsmail/A 59520-2024 FSC-klagomål mail.docx", "A 59520-2024")</f>
        <v/>
      </c>
      <c r="AA62">
        <f>HYPERLINK("https://klasma.github.io/Logging_1980/tillsyn/A 59520-2024 tillsynsbegäran.docx", "A 59520-2024")</f>
        <v/>
      </c>
      <c r="AB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46220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46220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46220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46220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46220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46220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46220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46220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46220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46220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46220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46220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46220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46220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46220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46220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46220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46220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46220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46220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46220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46220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46220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46220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46220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46220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46220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46220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46220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46220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46220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46220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46220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46220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46220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46220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55676-2023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46220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37.9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73601-2021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46220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46220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46220</v>
      </c>
      <c r="F102" t="inlineStr">
        <is>
          <t>VÄSTMANLANDS LÄN</t>
        </is>
      </c>
      <c r="G102" t="inlineStr">
        <is>
          <t>VÄSTERÅS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55684-2023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45232</v>
      </c>
      <c r="E103" s="1" t="n">
        <v>46220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Övriga Aktiebolag</t>
        </is>
      </c>
      <c r="I103" t="n">
        <v>29.4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46220</v>
      </c>
      <c r="F104" t="inlineStr">
        <is>
          <t>VÄSTMANLANDS LÄN</t>
        </is>
      </c>
      <c r="G104" t="inlineStr">
        <is>
          <t>VÄSTERÅS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26556-2022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46220</v>
      </c>
      <c r="F105" t="inlineStr">
        <is>
          <t>VÄSTMANLANDS LÄN</t>
        </is>
      </c>
      <c r="G105" t="inlineStr">
        <is>
          <t>VÄSTERÅS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30096-2023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46220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74314-2021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46220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46220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44610</v>
      </c>
      <c r="E109" s="1" t="n">
        <v>46220</v>
      </c>
      <c r="F109" t="inlineStr">
        <is>
          <t>VÄSTMANLANDS LÄN</t>
        </is>
      </c>
      <c r="G109" t="inlineStr">
        <is>
          <t>VÄSTERÅS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59740-2024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46220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15355-2023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45019</v>
      </c>
      <c r="E111" s="1" t="n">
        <v>46220</v>
      </c>
      <c r="F111" t="inlineStr">
        <is>
          <t>VÄSTMANLANDS LÄN</t>
        </is>
      </c>
      <c r="G111" t="inlineStr">
        <is>
          <t>VÄSTERÅS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46220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42659-2021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44428</v>
      </c>
      <c r="E113" s="1" t="n">
        <v>46220</v>
      </c>
      <c r="F113" t="inlineStr">
        <is>
          <t>VÄSTMANLANDS LÄN</t>
        </is>
      </c>
      <c r="G113" t="inlineStr">
        <is>
          <t>VÄSTERÅS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15622-2022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46220</v>
      </c>
      <c r="F114" t="inlineStr">
        <is>
          <t>VÄSTMANLANDS LÄN</t>
        </is>
      </c>
      <c r="G114" t="inlineStr">
        <is>
          <t>VÄSTERÅS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31623-2024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46220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Kommuner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46220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38345-2024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46220</v>
      </c>
      <c r="F117" t="inlineStr">
        <is>
          <t>VÄSTMANLANDS LÄN</t>
        </is>
      </c>
      <c r="G117" t="inlineStr">
        <is>
          <t>VÄSTERÅS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45705</v>
      </c>
      <c r="E118" s="1" t="n">
        <v>46220</v>
      </c>
      <c r="F118" t="inlineStr">
        <is>
          <t>VÄSTMANLANDS LÄN</t>
        </is>
      </c>
      <c r="G118" t="inlineStr">
        <is>
          <t>VÄSTERÅS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45370</v>
      </c>
      <c r="E119" s="1" t="n">
        <v>46220</v>
      </c>
      <c r="F119" t="inlineStr">
        <is>
          <t>VÄSTMANLANDS LÄN</t>
        </is>
      </c>
      <c r="G119" t="inlineStr">
        <is>
          <t>VÄSTERÅS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46220</v>
      </c>
      <c r="F120" t="inlineStr">
        <is>
          <t>VÄSTMANLANDS LÄN</t>
        </is>
      </c>
      <c r="G120" t="inlineStr">
        <is>
          <t>VÄSTERÅS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38538-2023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46220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24546-2025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46220</v>
      </c>
      <c r="F122" t="inlineStr">
        <is>
          <t>VÄSTMANLANDS LÄN</t>
        </is>
      </c>
      <c r="G122" t="inlineStr">
        <is>
          <t>VÄSTERÅS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15329-2023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45019</v>
      </c>
      <c r="E123" s="1" t="n">
        <v>46220</v>
      </c>
      <c r="F123" t="inlineStr">
        <is>
          <t>VÄSTMANLANDS LÄN</t>
        </is>
      </c>
      <c r="G123" t="inlineStr">
        <is>
          <t>VÄSTERÅS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982-2026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46220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Allmännings- och besparingsskogar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51951-2023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46220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56945-2024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46220</v>
      </c>
      <c r="F126" t="inlineStr">
        <is>
          <t>VÄSTMANLANDS LÄN</t>
        </is>
      </c>
      <c r="G126" t="inlineStr">
        <is>
          <t>VÄSTERÅS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46220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46220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59536-2024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46220</v>
      </c>
      <c r="F129" t="inlineStr">
        <is>
          <t>VÄSTMANLANDS LÄN</t>
        </is>
      </c>
      <c r="G129" t="inlineStr">
        <is>
          <t>VÄSTERÅS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23455-2024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46220</v>
      </c>
      <c r="F130" t="inlineStr">
        <is>
          <t>VÄSTMANLANDS LÄN</t>
        </is>
      </c>
      <c r="G130" t="inlineStr">
        <is>
          <t>VÄSTERÅS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31618-2024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46220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52764-2022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46220</v>
      </c>
      <c r="F132" t="inlineStr">
        <is>
          <t>VÄSTMANLANDS LÄN</t>
        </is>
      </c>
      <c r="G132" t="inlineStr">
        <is>
          <t>VÄSTERÅS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46220</v>
      </c>
      <c r="F133" t="inlineStr">
        <is>
          <t>VÄSTMANLANDS LÄN</t>
        </is>
      </c>
      <c r="G133" t="inlineStr">
        <is>
          <t>VÄSTERÅS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56076-2023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45235</v>
      </c>
      <c r="E134" s="1" t="n">
        <v>46220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Övriga Aktiebolag</t>
        </is>
      </c>
      <c r="I134" t="n">
        <v>37.8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50996-2024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45603</v>
      </c>
      <c r="E135" s="1" t="n">
        <v>46220</v>
      </c>
      <c r="F135" t="inlineStr">
        <is>
          <t>VÄSTMANLANDS LÄN</t>
        </is>
      </c>
      <c r="G135" t="inlineStr">
        <is>
          <t>VÄSTERÅS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46220</v>
      </c>
      <c r="F136" t="inlineStr">
        <is>
          <t>VÄSTMANLANDS LÄN</t>
        </is>
      </c>
      <c r="G136" t="inlineStr">
        <is>
          <t>VÄSTERÅS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54537-2024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46220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11137-2023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46220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46220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42899-2025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46220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42898-2025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46220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46220</v>
      </c>
      <c r="F142" t="inlineStr">
        <is>
          <t>VÄSTMANLANDS LÄN</t>
        </is>
      </c>
      <c r="G142" t="inlineStr">
        <is>
          <t>VÄSTERÅS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12612-2023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46220</v>
      </c>
      <c r="F143" t="inlineStr">
        <is>
          <t>VÄSTMANLANDS LÄN</t>
        </is>
      </c>
      <c r="G143" t="inlineStr">
        <is>
          <t>VÄSTERÅS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64207-2023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46220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24121-2024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46220</v>
      </c>
      <c r="F145" t="inlineStr">
        <is>
          <t>VÄSTMANLANDS LÄN</t>
        </is>
      </c>
      <c r="G145" t="inlineStr">
        <is>
          <t>VÄSTERÅS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11950-2022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46220</v>
      </c>
      <c r="F146" t="inlineStr">
        <is>
          <t>VÄSTMANLANDS LÄN</t>
        </is>
      </c>
      <c r="G146" t="inlineStr">
        <is>
          <t>VÄSTERÅS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32851-2024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45516</v>
      </c>
      <c r="E147" s="1" t="n">
        <v>46220</v>
      </c>
      <c r="F147" t="inlineStr">
        <is>
          <t>VÄSTMANLANDS LÄN</t>
        </is>
      </c>
      <c r="G147" t="inlineStr">
        <is>
          <t>VÄSTERÅS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58577-2023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46220</v>
      </c>
      <c r="F148" t="inlineStr">
        <is>
          <t>VÄSTMANLANDS LÄN</t>
        </is>
      </c>
      <c r="G148" t="inlineStr">
        <is>
          <t>VÄSTERÅS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53836-2022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44880</v>
      </c>
      <c r="E149" s="1" t="n">
        <v>46220</v>
      </c>
      <c r="F149" t="inlineStr">
        <is>
          <t>VÄSTMANLANDS LÄN</t>
        </is>
      </c>
      <c r="G149" t="inlineStr">
        <is>
          <t>VÄSTERÅS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46220</v>
      </c>
      <c r="F150" t="inlineStr">
        <is>
          <t>VÄSTMANLANDS LÄN</t>
        </is>
      </c>
      <c r="G150" t="inlineStr">
        <is>
          <t>VÄSTERÅS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31361-2025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46220</v>
      </c>
      <c r="F151" t="inlineStr">
        <is>
          <t>VÄSTMANLANDS LÄN</t>
        </is>
      </c>
      <c r="G151" t="inlineStr">
        <is>
          <t>VÄSTERÅS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46220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31578-2025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46220</v>
      </c>
      <c r="F153" t="inlineStr">
        <is>
          <t>VÄSTMANLANDS LÄN</t>
        </is>
      </c>
      <c r="G153" t="inlineStr">
        <is>
          <t>VÄSTERÅS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32998-2023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45125</v>
      </c>
      <c r="E154" s="1" t="n">
        <v>46220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27722-2022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46220</v>
      </c>
      <c r="F155" t="inlineStr">
        <is>
          <t>VÄSTMANLANDS LÄN</t>
        </is>
      </c>
      <c r="G155" t="inlineStr">
        <is>
          <t>VÄSTERÅS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64208-2023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45279</v>
      </c>
      <c r="E156" s="1" t="n">
        <v>46220</v>
      </c>
      <c r="F156" t="inlineStr">
        <is>
          <t>VÄSTMANLANDS LÄN</t>
        </is>
      </c>
      <c r="G156" t="inlineStr">
        <is>
          <t>VÄSTERÅS</t>
        </is>
      </c>
      <c r="I156" t="n">
        <v>13.9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49240-2025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46220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39127-2022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44816</v>
      </c>
      <c r="E158" s="1" t="n">
        <v>46220</v>
      </c>
      <c r="F158" t="inlineStr">
        <is>
          <t>VÄSTMANLANDS LÄN</t>
        </is>
      </c>
      <c r="G158" t="inlineStr">
        <is>
          <t>VÄSTERÅS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50565-2025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46220</v>
      </c>
      <c r="F159" t="inlineStr">
        <is>
          <t>VÄSTMANLANDS LÄN</t>
        </is>
      </c>
      <c r="G159" t="inlineStr">
        <is>
          <t>VÄSTERÅS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46220</v>
      </c>
      <c r="F160" t="inlineStr">
        <is>
          <t>VÄSTMANLANDS LÄN</t>
        </is>
      </c>
      <c r="G160" t="inlineStr">
        <is>
          <t>VÄSTERÅS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46220</v>
      </c>
      <c r="F161" t="inlineStr">
        <is>
          <t>VÄSTMANLANDS LÄN</t>
        </is>
      </c>
      <c r="G161" t="inlineStr">
        <is>
          <t>VÄSTERÅS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32053-2023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46220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51200-2025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46220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statliga verk och myndigheter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13376-2022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44645</v>
      </c>
      <c r="E164" s="1" t="n">
        <v>46220</v>
      </c>
      <c r="F164" t="inlineStr">
        <is>
          <t>VÄSTMANLANDS LÄN</t>
        </is>
      </c>
      <c r="G164" t="inlineStr">
        <is>
          <t>VÄSTERÅS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46220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13614-2022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44648</v>
      </c>
      <c r="E166" s="1" t="n">
        <v>46220</v>
      </c>
      <c r="F166" t="inlineStr">
        <is>
          <t>VÄSTMANLANDS LÄN</t>
        </is>
      </c>
      <c r="G166" t="inlineStr">
        <is>
          <t>VÄSTERÅS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51223-2023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46220</v>
      </c>
      <c r="F167" t="inlineStr">
        <is>
          <t>VÄSTMANLANDS LÄN</t>
        </is>
      </c>
      <c r="G167" t="inlineStr">
        <is>
          <t>VÄSTERÅS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46220</v>
      </c>
      <c r="F168" t="inlineStr">
        <is>
          <t>VÄSTMANLANDS LÄN</t>
        </is>
      </c>
      <c r="G168" t="inlineStr">
        <is>
          <t>VÄSTERÅS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46220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52272-2025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46220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11983-2022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44635</v>
      </c>
      <c r="E171" s="1" t="n">
        <v>46220</v>
      </c>
      <c r="F171" t="inlineStr">
        <is>
          <t>VÄSTMANLANDS LÄN</t>
        </is>
      </c>
      <c r="G171" t="inlineStr">
        <is>
          <t>VÄSTERÅS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46220</v>
      </c>
      <c r="F172" t="inlineStr">
        <is>
          <t>VÄSTMANLANDS LÄN</t>
        </is>
      </c>
      <c r="G172" t="inlineStr">
        <is>
          <t>VÄSTERÅS</t>
        </is>
      </c>
      <c r="I172" t="n">
        <v>12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56016-2025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46220</v>
      </c>
      <c r="F173" t="inlineStr">
        <is>
          <t>VÄSTMANLANDS LÄN</t>
        </is>
      </c>
      <c r="G173" t="inlineStr">
        <is>
          <t>VÄSTERÅS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46220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7701-2026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46220</v>
      </c>
      <c r="F175" t="inlineStr">
        <is>
          <t>VÄSTMANLANDS LÄN</t>
        </is>
      </c>
      <c r="G175" t="inlineStr">
        <is>
          <t>VÄSTERÅS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59765-2023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46220</v>
      </c>
      <c r="F176" t="inlineStr">
        <is>
          <t>VÄSTMANLANDS LÄN</t>
        </is>
      </c>
      <c r="G176" t="inlineStr">
        <is>
          <t>VÄSTERÅS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46220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57114-2025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46220</v>
      </c>
      <c r="F178" t="inlineStr">
        <is>
          <t>VÄSTMANLANDS LÄN</t>
        </is>
      </c>
      <c r="G178" t="inlineStr">
        <is>
          <t>VÄSTERÅS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7797-2026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46062</v>
      </c>
      <c r="E179" s="1" t="n">
        <v>46220</v>
      </c>
      <c r="F179" t="inlineStr">
        <is>
          <t>VÄSTMANLANDS LÄN</t>
        </is>
      </c>
      <c r="G179" t="inlineStr">
        <is>
          <t>VÄSTERÅS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61069-2022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46220</v>
      </c>
      <c r="F180" t="inlineStr">
        <is>
          <t>VÄSTMANLANDS LÄN</t>
        </is>
      </c>
      <c r="G180" t="inlineStr">
        <is>
          <t>VÄSTERÅS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41344-2023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45174</v>
      </c>
      <c r="E181" s="1" t="n">
        <v>46220</v>
      </c>
      <c r="F181" t="inlineStr">
        <is>
          <t>VÄSTMANLANDS LÄN</t>
        </is>
      </c>
      <c r="G181" t="inlineStr">
        <is>
          <t>VÄSTERÅS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46220</v>
      </c>
      <c r="F182" t="inlineStr">
        <is>
          <t>VÄSTMANLANDS LÄN</t>
        </is>
      </c>
      <c r="G182" t="inlineStr">
        <is>
          <t>VÄSTERÅS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16037-2023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45027</v>
      </c>
      <c r="E183" s="1" t="n">
        <v>46220</v>
      </c>
      <c r="F183" t="inlineStr">
        <is>
          <t>VÄSTMANLANDS LÄN</t>
        </is>
      </c>
      <c r="G183" t="inlineStr">
        <is>
          <t>VÄSTERÅS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46220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41114-2022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46220</v>
      </c>
      <c r="F185" t="inlineStr">
        <is>
          <t>VÄSTMANLANDS LÄN</t>
        </is>
      </c>
      <c r="G185" t="inlineStr">
        <is>
          <t>VÄSTERÅS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52015-2024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45607</v>
      </c>
      <c r="E186" s="1" t="n">
        <v>46220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12649-2023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46220</v>
      </c>
      <c r="F187" t="inlineStr">
        <is>
          <t>VÄSTMANLANDS LÄN</t>
        </is>
      </c>
      <c r="G187" t="inlineStr">
        <is>
          <t>VÄSTERÅS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46220</v>
      </c>
      <c r="F188" t="inlineStr">
        <is>
          <t>VÄSTMANLANDS LÄN</t>
        </is>
      </c>
      <c r="G188" t="inlineStr">
        <is>
          <t>VÄSTERÅS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46220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46220</v>
      </c>
      <c r="F190" t="inlineStr">
        <is>
          <t>VÄSTMANLANDS LÄN</t>
        </is>
      </c>
      <c r="G190" t="inlineStr">
        <is>
          <t>VÄSTERÅS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18126-2025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46220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44958</v>
      </c>
      <c r="E192" s="1" t="n">
        <v>46220</v>
      </c>
      <c r="F192" t="inlineStr">
        <is>
          <t>VÄSTMANLANDS LÄN</t>
        </is>
      </c>
      <c r="G192" t="inlineStr">
        <is>
          <t>VÄSTERÅS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3118-2022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44582</v>
      </c>
      <c r="E193" s="1" t="n">
        <v>46220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Övriga Aktiebolag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38381-2022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46220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46220</v>
      </c>
      <c r="F195" t="inlineStr">
        <is>
          <t>VÄSTMANLANDS LÄN</t>
        </is>
      </c>
      <c r="G195" t="inlineStr">
        <is>
          <t>VÄSTERÅS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52027-2025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45952</v>
      </c>
      <c r="E196" s="1" t="n">
        <v>46220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statliga verk och myndigheter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11072-2026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46220</v>
      </c>
      <c r="F197" t="inlineStr">
        <is>
          <t>VÄSTMANLANDS LÄN</t>
        </is>
      </c>
      <c r="G197" t="inlineStr">
        <is>
          <t>VÄSTERÅS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17258-2024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46220</v>
      </c>
      <c r="F198" t="inlineStr">
        <is>
          <t>VÄSTMANLANDS LÄN</t>
        </is>
      </c>
      <c r="G198" t="inlineStr">
        <is>
          <t>VÄSTERÅS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11745-2026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46220</v>
      </c>
      <c r="F199" t="inlineStr">
        <is>
          <t>VÄSTMANLANDS LÄN</t>
        </is>
      </c>
      <c r="G199" t="inlineStr">
        <is>
          <t>VÄSTERÅS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18465-2023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45042</v>
      </c>
      <c r="E200" s="1" t="n">
        <v>46220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5208-2022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44594</v>
      </c>
      <c r="E201" s="1" t="n">
        <v>46220</v>
      </c>
      <c r="F201" t="inlineStr">
        <is>
          <t>VÄSTMANLANDS LÄN</t>
        </is>
      </c>
      <c r="G201" t="inlineStr">
        <is>
          <t>VÄSTERÅS</t>
        </is>
      </c>
      <c r="I201" t="n">
        <v>20.3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11739-2026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46220</v>
      </c>
      <c r="F202" t="inlineStr">
        <is>
          <t>VÄSTMANLANDS LÄN</t>
        </is>
      </c>
      <c r="G202" t="inlineStr">
        <is>
          <t>VÄSTERÅS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46220</v>
      </c>
      <c r="F203" t="inlineStr">
        <is>
          <t>VÄSTMANLANDS LÄN</t>
        </is>
      </c>
      <c r="G203" t="inlineStr">
        <is>
          <t>VÄSTERÅS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64202-2023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46220</v>
      </c>
      <c r="F204" t="inlineStr">
        <is>
          <t>VÄSTMANLANDS LÄN</t>
        </is>
      </c>
      <c r="G204" t="inlineStr">
        <is>
          <t>VÄSTERÅS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46220</v>
      </c>
      <c r="F205" t="inlineStr">
        <is>
          <t>VÄSTMANLANDS LÄN</t>
        </is>
      </c>
      <c r="G205" t="inlineStr">
        <is>
          <t>VÄSTERÅS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46220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Kyrkan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46220</v>
      </c>
      <c r="F207" t="inlineStr">
        <is>
          <t>VÄSTMANLANDS LÄN</t>
        </is>
      </c>
      <c r="G207" t="inlineStr">
        <is>
          <t>VÄSTERÅS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12625-2026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46220</v>
      </c>
      <c r="F208" t="inlineStr">
        <is>
          <t>VÄSTMANLANDS LÄN</t>
        </is>
      </c>
      <c r="G208" t="inlineStr">
        <is>
          <t>VÄSTERÅS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38436-2023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46220</v>
      </c>
      <c r="F209" t="inlineStr">
        <is>
          <t>VÄSTMANLANDS LÄN</t>
        </is>
      </c>
      <c r="G209" t="inlineStr">
        <is>
          <t>VÄSTERÅS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15316-2022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46220</v>
      </c>
      <c r="F210" t="inlineStr">
        <is>
          <t>VÄSTMANLANDS LÄN</t>
        </is>
      </c>
      <c r="G210" t="inlineStr">
        <is>
          <t>VÄSTERÅS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46220</v>
      </c>
      <c r="F211" t="inlineStr">
        <is>
          <t>VÄSTMANLANDS LÄN</t>
        </is>
      </c>
      <c r="G211" t="inlineStr">
        <is>
          <t>VÄSTERÅS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46220</v>
      </c>
      <c r="F212" t="inlineStr">
        <is>
          <t>VÄSTMANLANDS LÄN</t>
        </is>
      </c>
      <c r="G212" t="inlineStr">
        <is>
          <t>VÄSTERÅS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11324-2026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46220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11325-2026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46220</v>
      </c>
      <c r="F214" t="inlineStr">
        <is>
          <t>VÄSTMANLANDS LÄN</t>
        </is>
      </c>
      <c r="G214" t="inlineStr">
        <is>
          <t>VÄSTERÅS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46220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46220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46220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46220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16671-2026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46220</v>
      </c>
      <c r="F219" t="inlineStr">
        <is>
          <t>VÄSTMANLANDS LÄN</t>
        </is>
      </c>
      <c r="G219" t="inlineStr">
        <is>
          <t>VÄSTERÅS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46120</v>
      </c>
      <c r="E220" s="1" t="n">
        <v>46220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Allmännings- och besparingsskogar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17657-2026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46220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63851-2021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44509</v>
      </c>
      <c r="E222" s="1" t="n">
        <v>46220</v>
      </c>
      <c r="F222" t="inlineStr">
        <is>
          <t>VÄSTMANLANDS LÄN</t>
        </is>
      </c>
      <c r="G222" t="inlineStr">
        <is>
          <t>VÄSTERÅS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23641-2023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46220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60797-2022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46220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18457-2023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45042</v>
      </c>
      <c r="E225" s="1" t="n">
        <v>46220</v>
      </c>
      <c r="F225" t="inlineStr">
        <is>
          <t>VÄSTMANLANDS LÄN</t>
        </is>
      </c>
      <c r="G225" t="inlineStr">
        <is>
          <t>VÄSTERÅS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22978-2022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44717</v>
      </c>
      <c r="E226" s="1" t="n">
        <v>46220</v>
      </c>
      <c r="F226" t="inlineStr">
        <is>
          <t>VÄSTMANLANDS LÄN</t>
        </is>
      </c>
      <c r="G226" t="inlineStr">
        <is>
          <t>VÄSTERÅS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19791-2026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46135</v>
      </c>
      <c r="E227" s="1" t="n">
        <v>46220</v>
      </c>
      <c r="F227" t="inlineStr">
        <is>
          <t>VÄSTMANLANDS LÄN</t>
        </is>
      </c>
      <c r="G227" t="inlineStr">
        <is>
          <t>VÄSTERÅS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51219-2023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46220</v>
      </c>
      <c r="F228" t="inlineStr">
        <is>
          <t>VÄSTMANLANDS LÄN</t>
        </is>
      </c>
      <c r="G228" t="inlineStr">
        <is>
          <t>VÄSTERÅS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17725-2022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44680</v>
      </c>
      <c r="E229" s="1" t="n">
        <v>46220</v>
      </c>
      <c r="F229" t="inlineStr">
        <is>
          <t>VÄSTMANLANDS LÄN</t>
        </is>
      </c>
      <c r="G229" t="inlineStr">
        <is>
          <t>VÄSTERÅS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45560</v>
      </c>
      <c r="E230" s="1" t="n">
        <v>46220</v>
      </c>
      <c r="F230" t="inlineStr">
        <is>
          <t>VÄSTMANLANDS LÄN</t>
        </is>
      </c>
      <c r="G230" t="inlineStr">
        <is>
          <t>VÄSTERÅS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32350-2023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46220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12131-2022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44636</v>
      </c>
      <c r="E232" s="1" t="n">
        <v>46220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56902-2024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45628</v>
      </c>
      <c r="E233" s="1" t="n">
        <v>46220</v>
      </c>
      <c r="F233" t="inlineStr">
        <is>
          <t>VÄSTMANLANDS LÄN</t>
        </is>
      </c>
      <c r="G233" t="inlineStr">
        <is>
          <t>VÄSTERÅS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45443</v>
      </c>
      <c r="E234" s="1" t="n">
        <v>46220</v>
      </c>
      <c r="F234" t="inlineStr">
        <is>
          <t>VÄSTMANLANDS LÄN</t>
        </is>
      </c>
      <c r="G234" t="inlineStr">
        <is>
          <t>VÄSTERÅS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10225-2023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46220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57873-2022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44899</v>
      </c>
      <c r="E236" s="1" t="n">
        <v>46220</v>
      </c>
      <c r="F236" t="inlineStr">
        <is>
          <t>VÄSTMANLANDS LÄN</t>
        </is>
      </c>
      <c r="G236" t="inlineStr">
        <is>
          <t>VÄSTERÅS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46220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38329-2021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44405</v>
      </c>
      <c r="E238" s="1" t="n">
        <v>46220</v>
      </c>
      <c r="F238" t="inlineStr">
        <is>
          <t>VÄSTMANLANDS LÄN</t>
        </is>
      </c>
      <c r="G238" t="inlineStr">
        <is>
          <t>VÄSTERÅS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15350-2023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46220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12143-2022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46220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12148-2022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46220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Kommuner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44695-2022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44840</v>
      </c>
      <c r="E242" s="1" t="n">
        <v>46220</v>
      </c>
      <c r="F242" t="inlineStr">
        <is>
          <t>VÄSTMANLANDS LÄN</t>
        </is>
      </c>
      <c r="G242" t="inlineStr">
        <is>
          <t>VÄSTERÅS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44574</v>
      </c>
      <c r="E243" s="1" t="n">
        <v>46220</v>
      </c>
      <c r="F243" t="inlineStr">
        <is>
          <t>VÄSTMANLANDS LÄN</t>
        </is>
      </c>
      <c r="G243" t="inlineStr">
        <is>
          <t>VÄSTERÅS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56532-2022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44893</v>
      </c>
      <c r="E244" s="1" t="n">
        <v>46220</v>
      </c>
      <c r="F244" t="inlineStr">
        <is>
          <t>VÄSTMANLANDS LÄN</t>
        </is>
      </c>
      <c r="G244" t="inlineStr">
        <is>
          <t>VÄSTERÅS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15889-2022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44664</v>
      </c>
      <c r="E245" s="1" t="n">
        <v>46220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19927-2026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46220</v>
      </c>
      <c r="F246" t="inlineStr">
        <is>
          <t>VÄSTMANLANDS LÄN</t>
        </is>
      </c>
      <c r="G246" t="inlineStr">
        <is>
          <t>VÄSTERÅS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32341-2023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45110</v>
      </c>
      <c r="E247" s="1" t="n">
        <v>46220</v>
      </c>
      <c r="F247" t="inlineStr">
        <is>
          <t>VÄSTMANLANDS LÄN</t>
        </is>
      </c>
      <c r="G247" t="inlineStr">
        <is>
          <t>VÄSTERÅS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46220</v>
      </c>
      <c r="F248" t="inlineStr">
        <is>
          <t>VÄSTMANLANDS LÄN</t>
        </is>
      </c>
      <c r="G248" t="inlineStr">
        <is>
          <t>VÄSTERÅS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15348-2023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45019</v>
      </c>
      <c r="E249" s="1" t="n">
        <v>46220</v>
      </c>
      <c r="F249" t="inlineStr">
        <is>
          <t>VÄSTMANLANDS LÄN</t>
        </is>
      </c>
      <c r="G249" t="inlineStr">
        <is>
          <t>VÄSTERÅS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18482-2023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45042</v>
      </c>
      <c r="E250" s="1" t="n">
        <v>46220</v>
      </c>
      <c r="F250" t="inlineStr">
        <is>
          <t>VÄSTMANLANDS LÄN</t>
        </is>
      </c>
      <c r="G250" t="inlineStr">
        <is>
          <t>VÄSTERÅS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58085-2022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46220</v>
      </c>
      <c r="F251" t="inlineStr">
        <is>
          <t>VÄSTMANLANDS LÄN</t>
        </is>
      </c>
      <c r="G251" t="inlineStr">
        <is>
          <t>VÄSTERÅS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18131-2025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46220</v>
      </c>
      <c r="F252" t="inlineStr">
        <is>
          <t>VÄSTMANLANDS LÄN</t>
        </is>
      </c>
      <c r="G252" t="inlineStr">
        <is>
          <t>VÄSTERÅS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46220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Allmännings- och besparingsskogar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45083</v>
      </c>
      <c r="E254" s="1" t="n">
        <v>46220</v>
      </c>
      <c r="F254" t="inlineStr">
        <is>
          <t>VÄSTMANLANDS LÄN</t>
        </is>
      </c>
      <c r="G254" t="inlineStr">
        <is>
          <t>VÄSTERÅS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15273-2024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45400</v>
      </c>
      <c r="E255" s="1" t="n">
        <v>46220</v>
      </c>
      <c r="F255" t="inlineStr">
        <is>
          <t>VÄSTMANLANDS LÄN</t>
        </is>
      </c>
      <c r="G255" t="inlineStr">
        <is>
          <t>VÄSTERÅS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7378-2022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44606</v>
      </c>
      <c r="E256" s="1" t="n">
        <v>46220</v>
      </c>
      <c r="F256" t="inlineStr">
        <is>
          <t>VÄSTMANLANDS LÄN</t>
        </is>
      </c>
      <c r="G256" t="inlineStr">
        <is>
          <t>VÄSTERÅS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26751-2026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46220</v>
      </c>
      <c r="F257" t="inlineStr">
        <is>
          <t>VÄSTMANLANDS LÄN</t>
        </is>
      </c>
      <c r="G257" t="inlineStr">
        <is>
          <t>VÄSTERÅS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46220</v>
      </c>
      <c r="F258" t="inlineStr">
        <is>
          <t>VÄSTMANLANDS LÄN</t>
        </is>
      </c>
      <c r="G258" t="inlineStr">
        <is>
          <t>VÄSTERÅS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26745-2026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46220</v>
      </c>
      <c r="F259" t="inlineStr">
        <is>
          <t>VÄSTMANLANDS LÄN</t>
        </is>
      </c>
      <c r="G259" t="inlineStr">
        <is>
          <t>VÄSTERÅS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13388-2025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46220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27301-2026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46220</v>
      </c>
      <c r="F261" t="inlineStr">
        <is>
          <t>VÄSTMANLANDS LÄN</t>
        </is>
      </c>
      <c r="G261" t="inlineStr">
        <is>
          <t>VÄSTERÅS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44978</v>
      </c>
      <c r="E262" s="1" t="n">
        <v>46220</v>
      </c>
      <c r="F262" t="inlineStr">
        <is>
          <t>VÄSTMANLANDS LÄN</t>
        </is>
      </c>
      <c r="G262" t="inlineStr">
        <is>
          <t>VÄSTERÅS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67352-2021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46220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Aktiebolag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35700-2024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46220</v>
      </c>
      <c r="F264" t="inlineStr">
        <is>
          <t>VÄSTMANLANDS LÄN</t>
        </is>
      </c>
      <c r="G264" t="inlineStr">
        <is>
          <t>VÄSTERÅS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45804-2024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46220</v>
      </c>
      <c r="F265" t="inlineStr">
        <is>
          <t>VÄSTMANLANDS LÄN</t>
        </is>
      </c>
      <c r="G265" t="inlineStr">
        <is>
          <t>VÄSTERÅS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46220</v>
      </c>
      <c r="F266" t="inlineStr">
        <is>
          <t>VÄSTMANLANDS LÄN</t>
        </is>
      </c>
      <c r="G266" t="inlineStr">
        <is>
          <t>VÄSTERÅS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58231-2022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44901</v>
      </c>
      <c r="E267" s="1" t="n">
        <v>46220</v>
      </c>
      <c r="F267" t="inlineStr">
        <is>
          <t>VÄSTMANLANDS LÄN</t>
        </is>
      </c>
      <c r="G267" t="inlineStr">
        <is>
          <t>VÄSTERÅS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50948-2023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46220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61258-2023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46220</v>
      </c>
      <c r="F269" t="inlineStr">
        <is>
          <t>VÄSTMANLANDS LÄN</t>
        </is>
      </c>
      <c r="G269" t="inlineStr">
        <is>
          <t>VÄSTERÅS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27551-2026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46220</v>
      </c>
      <c r="F270" t="inlineStr">
        <is>
          <t>VÄSTMANLANDS LÄN</t>
        </is>
      </c>
      <c r="G270" t="inlineStr">
        <is>
          <t>VÄSTERÅS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18467-2023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45042</v>
      </c>
      <c r="E271" s="1" t="n">
        <v>46220</v>
      </c>
      <c r="F271" t="inlineStr">
        <is>
          <t>VÄSTMANLANDS LÄN</t>
        </is>
      </c>
      <c r="G271" t="inlineStr">
        <is>
          <t>VÄSTERÅS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46220</v>
      </c>
      <c r="F272" t="inlineStr">
        <is>
          <t>VÄSTMANLANDS LÄN</t>
        </is>
      </c>
      <c r="G272" t="inlineStr">
        <is>
          <t>VÄSTERÅS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24402-2024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46220</v>
      </c>
      <c r="F273" t="inlineStr">
        <is>
          <t>VÄSTMANLANDS LÄN</t>
        </is>
      </c>
      <c r="G273" t="inlineStr">
        <is>
          <t>VÄSTERÅS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28126-2026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46220</v>
      </c>
      <c r="F274" t="inlineStr">
        <is>
          <t>VÄSTMANLANDS LÄN</t>
        </is>
      </c>
      <c r="G274" t="inlineStr">
        <is>
          <t>VÄSTERÅS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39817-2024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46220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Kyrkan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46220</v>
      </c>
      <c r="F276" t="inlineStr">
        <is>
          <t>VÄSTMANLANDS LÄN</t>
        </is>
      </c>
      <c r="G276" t="inlineStr">
        <is>
          <t>VÄSTERÅS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22287-2026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46220</v>
      </c>
      <c r="F277" t="inlineStr">
        <is>
          <t>VÄSTMANLANDS LÄN</t>
        </is>
      </c>
      <c r="G277" t="inlineStr">
        <is>
          <t>VÄSTERÅS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22291-2026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46220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22294-2026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46220</v>
      </c>
      <c r="F279" t="inlineStr">
        <is>
          <t>VÄSTMANLANDS LÄN</t>
        </is>
      </c>
      <c r="G279" t="inlineStr">
        <is>
          <t>VÄSTERÅS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28341-2026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46220</v>
      </c>
      <c r="F280" t="inlineStr">
        <is>
          <t>VÄSTMANLANDS LÄN</t>
        </is>
      </c>
      <c r="G280" t="inlineStr">
        <is>
          <t>VÄSTERÅS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27271-2026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46220</v>
      </c>
      <c r="F281" t="inlineStr">
        <is>
          <t>VÄSTMANLANDS LÄN</t>
        </is>
      </c>
      <c r="G281" t="inlineStr">
        <is>
          <t>VÄSTERÅS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22293-2026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46220</v>
      </c>
      <c r="F282" t="inlineStr">
        <is>
          <t>VÄSTMANLANDS LÄN</t>
        </is>
      </c>
      <c r="G282" t="inlineStr">
        <is>
          <t>VÄSTERÅS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67350-2021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44523</v>
      </c>
      <c r="E283" s="1" t="n">
        <v>46220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Övriga Aktiebolag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10496-2022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44623</v>
      </c>
      <c r="E284" s="1" t="n">
        <v>46220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16844-2023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45033</v>
      </c>
      <c r="E285" s="1" t="n">
        <v>46220</v>
      </c>
      <c r="F285" t="inlineStr">
        <is>
          <t>VÄSTMANLANDS LÄN</t>
        </is>
      </c>
      <c r="G285" t="inlineStr">
        <is>
          <t>VÄSTERÅS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46220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61249-2021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46220</v>
      </c>
      <c r="F287" t="inlineStr">
        <is>
          <t>VÄSTMANLANDS LÄN</t>
        </is>
      </c>
      <c r="G287" t="inlineStr">
        <is>
          <t>VÄSTERÅS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50987-2024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46220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18119-2025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45761</v>
      </c>
      <c r="E289" s="1" t="n">
        <v>46220</v>
      </c>
      <c r="F289" t="inlineStr">
        <is>
          <t>VÄSTMANLANDS LÄN</t>
        </is>
      </c>
      <c r="G289" t="inlineStr">
        <is>
          <t>VÄSTERÅS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44792</v>
      </c>
      <c r="E290" s="1" t="n">
        <v>46220</v>
      </c>
      <c r="F290" t="inlineStr">
        <is>
          <t>VÄSTMANLANDS LÄN</t>
        </is>
      </c>
      <c r="G290" t="inlineStr">
        <is>
          <t>VÄSTERÅS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51572-2023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46220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52569-2022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44874</v>
      </c>
      <c r="E292" s="1" t="n">
        <v>46220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21761-2022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44708</v>
      </c>
      <c r="E293" s="1" t="n">
        <v>46220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29746-2022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44755</v>
      </c>
      <c r="E294" s="1" t="n">
        <v>46220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23347-2026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46220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67353-2021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44523</v>
      </c>
      <c r="E296" s="1" t="n">
        <v>46220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Övriga Aktiebolag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40304-2023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46220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23497-2026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46220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56980-2021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44482</v>
      </c>
      <c r="E299" s="1" t="n">
        <v>46220</v>
      </c>
      <c r="F299" t="inlineStr">
        <is>
          <t>VÄSTMANLANDS LÄN</t>
        </is>
      </c>
      <c r="G299" t="inlineStr">
        <is>
          <t>VÄSTERÅS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46220</v>
      </c>
      <c r="F300" t="inlineStr">
        <is>
          <t>VÄSTMANLANDS LÄN</t>
        </is>
      </c>
      <c r="G300" t="inlineStr">
        <is>
          <t>VÄSTERÅS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46220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15201-2022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44658</v>
      </c>
      <c r="E302" s="1" t="n">
        <v>46220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58960-2022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44903</v>
      </c>
      <c r="E303" s="1" t="n">
        <v>46220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46220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46220</v>
      </c>
      <c r="F305" t="inlineStr">
        <is>
          <t>VÄSTMANLANDS LÄN</t>
        </is>
      </c>
      <c r="G305" t="inlineStr">
        <is>
          <t>VÄSTERÅS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24262-2026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46169</v>
      </c>
      <c r="E306" s="1" t="n">
        <v>46220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24317-2026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46220</v>
      </c>
      <c r="F307" t="inlineStr">
        <is>
          <t>VÄSTMANLANDS LÄN</t>
        </is>
      </c>
      <c r="G307" t="inlineStr">
        <is>
          <t>VÄSTERÅS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8727-2023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44978</v>
      </c>
      <c r="E308" s="1" t="n">
        <v>46220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16214-2023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45028</v>
      </c>
      <c r="E309" s="1" t="n">
        <v>46220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63483-2023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46220</v>
      </c>
      <c r="F310" t="inlineStr">
        <is>
          <t>VÄSTMANLANDS LÄN</t>
        </is>
      </c>
      <c r="G310" t="inlineStr">
        <is>
          <t>VÄSTERÅS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24321-2026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46169</v>
      </c>
      <c r="E311" s="1" t="n">
        <v>46220</v>
      </c>
      <c r="F311" t="inlineStr">
        <is>
          <t>VÄSTMANLANDS LÄN</t>
        </is>
      </c>
      <c r="G311" t="inlineStr">
        <is>
          <t>VÄSTERÅS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14851-2024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45398</v>
      </c>
      <c r="E312" s="1" t="n">
        <v>46220</v>
      </c>
      <c r="F312" t="inlineStr">
        <is>
          <t>VÄSTMANLANDS LÄN</t>
        </is>
      </c>
      <c r="G312" t="inlineStr">
        <is>
          <t>VÄSTERÅS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24540-2026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46220</v>
      </c>
      <c r="F313" t="inlineStr">
        <is>
          <t>VÄSTMANLANDS LÄN</t>
        </is>
      </c>
      <c r="G313" t="inlineStr">
        <is>
          <t>VÄSTERÅS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46220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46220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30970-2026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46213</v>
      </c>
      <c r="E316" s="1" t="n">
        <v>46220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11691-2023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46220</v>
      </c>
      <c r="F317" t="inlineStr">
        <is>
          <t>VÄSTMANLANDS LÄN</t>
        </is>
      </c>
      <c r="G317" t="inlineStr">
        <is>
          <t>VÄSTERÅS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70642-2021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44537</v>
      </c>
      <c r="E318" s="1" t="n">
        <v>46220</v>
      </c>
      <c r="F318" t="inlineStr">
        <is>
          <t>VÄSTMANLANDS LÄN</t>
        </is>
      </c>
      <c r="G318" t="inlineStr">
        <is>
          <t>VÄSTERÅS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46220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31052-2026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46215</v>
      </c>
      <c r="E320" s="1" t="n">
        <v>46220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31054-2026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46215</v>
      </c>
      <c r="E321" s="1" t="n">
        <v>46220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46215</v>
      </c>
      <c r="E322" s="1" t="n">
        <v>46220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46217</v>
      </c>
      <c r="E323" s="1" t="n">
        <v>46220</v>
      </c>
      <c r="F323" t="inlineStr">
        <is>
          <t>VÄSTMANLANDS LÄN</t>
        </is>
      </c>
      <c r="G323" t="inlineStr">
        <is>
          <t>VÄSTERÅS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31057-2026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46215</v>
      </c>
      <c r="E324" s="1" t="n">
        <v>46220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31062-2026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46215</v>
      </c>
      <c r="E325" s="1" t="n">
        <v>46220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64793-2023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46220</v>
      </c>
      <c r="F326" t="inlineStr">
        <is>
          <t>VÄSTMANLANDS LÄN</t>
        </is>
      </c>
      <c r="G326" t="inlineStr">
        <is>
          <t>VÄSTERÅS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46220</v>
      </c>
      <c r="F327" t="inlineStr">
        <is>
          <t>VÄSTMANLANDS LÄN</t>
        </is>
      </c>
      <c r="G327" t="inlineStr">
        <is>
          <t>VÄSTERÅS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17808-2023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45037</v>
      </c>
      <c r="E328" s="1" t="n">
        <v>46220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31055-2026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46215</v>
      </c>
      <c r="E329" s="1" t="n">
        <v>46220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51933-2023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46220</v>
      </c>
      <c r="F330" t="inlineStr">
        <is>
          <t>VÄSTMANLANDS LÄN</t>
        </is>
      </c>
      <c r="G330" t="inlineStr">
        <is>
          <t>VÄSTERÅS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73597-2021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44552</v>
      </c>
      <c r="E331" s="1" t="n">
        <v>46220</v>
      </c>
      <c r="F331" t="inlineStr">
        <is>
          <t>VÄSTMANLANDS LÄN</t>
        </is>
      </c>
      <c r="G331" t="inlineStr">
        <is>
          <t>VÄSTERÅS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36641-2023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45153</v>
      </c>
      <c r="E332" s="1" t="n">
        <v>46220</v>
      </c>
      <c r="F332" t="inlineStr">
        <is>
          <t>VÄSTMANLANDS LÄN</t>
        </is>
      </c>
      <c r="G332" t="inlineStr">
        <is>
          <t>VÄSTERÅS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22700-2024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45448</v>
      </c>
      <c r="E333" s="1" t="n">
        <v>46220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14926-2022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44657</v>
      </c>
      <c r="E334" s="1" t="n">
        <v>46220</v>
      </c>
      <c r="F334" t="inlineStr">
        <is>
          <t>VÄSTMANLANDS LÄN</t>
        </is>
      </c>
      <c r="G334" t="inlineStr">
        <is>
          <t>VÄSTERÅS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12289-2024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45378</v>
      </c>
      <c r="E335" s="1" t="n">
        <v>46220</v>
      </c>
      <c r="F335" t="inlineStr">
        <is>
          <t>VÄSTMANLANDS LÄN</t>
        </is>
      </c>
      <c r="G335" t="inlineStr">
        <is>
          <t>VÄSTERÅS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46220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46220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953-2023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45005</v>
      </c>
      <c r="E338" s="1" t="n">
        <v>46220</v>
      </c>
      <c r="F338" t="inlineStr">
        <is>
          <t>VÄSTMANLANDS LÄN</t>
        </is>
      </c>
      <c r="G338" t="inlineStr">
        <is>
          <t>VÄSTERÅS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1415-2022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44634</v>
      </c>
      <c r="E339" s="1" t="n">
        <v>46220</v>
      </c>
      <c r="F339" t="inlineStr">
        <is>
          <t>VÄSTMANLANDS LÄN</t>
        </is>
      </c>
      <c r="G339" t="inlineStr">
        <is>
          <t>VÄSTERÅS</t>
        </is>
      </c>
      <c r="H339" t="inlineStr">
        <is>
          <t>Kyrkan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46220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46220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46220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2026-07-17T01:42:06Z</dcterms:created>
  <dcterms:modified xmlns:dcterms="http://purl.org/dc/terms/" xmlns:xsi="http://www.w3.org/2001/XMLSchema-instance" xsi:type="dcterms:W3CDTF">2026-07-17T01:42:06Z</dcterms:modified>
</cp:coreProperties>
</file>