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46260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46260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46260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46260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46260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46260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46260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22449-2026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46260</v>
      </c>
      <c r="F19" t="inlineStr">
        <is>
          <t>VÄSTMANLANDS LÄN</t>
        </is>
      </c>
      <c r="G19" t="inlineStr">
        <is>
          <t>VÄSTERÅS</t>
        </is>
      </c>
      <c r="I19" t="n">
        <v>1.5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Nordfladdermus
Gråskimlig fladdermus
Större brunfladdermus
Vattenfladdermus</t>
        </is>
      </c>
      <c r="W19">
        <f>HYPERLINK("https://klasma.github.io/Logging_1980/artfynd/A 22449-2026 artfynd.xlsx", "A 22449-2026")</f>
        <v/>
      </c>
      <c r="X19">
        <f>HYPERLINK("https://klasma.github.io/Logging_1980/kartor/A 22449-2026 karta.png", "A 22449-2026")</f>
        <v/>
      </c>
      <c r="Y19">
        <f>HYPERLINK("https://klasma.github.io/Logging_1980/kartor_geotiff/A 22449-2026 georefererad karta.tif", "A 22449-2026")</f>
        <v/>
      </c>
      <c r="AA19">
        <f>HYPERLINK("https://klasma.github.io/Logging_1980/klagomål/A 22449-2026 FSC-klagomål.docx", "A 22449-2026")</f>
        <v/>
      </c>
      <c r="AB19">
        <f>HYPERLINK("https://klasma.github.io/Logging_1980/klagomålsmail/A 22449-2026 FSC-klagomål mail.docx", "A 22449-2026")</f>
        <v/>
      </c>
      <c r="AC19">
        <f>HYPERLINK("https://klasma.github.io/Logging_1980/tillsyn/A 22449-2026 tillsynsbegäran.docx", "A 22449-2026")</f>
        <v/>
      </c>
      <c r="AD19">
        <f>HYPERLINK("https://klasma.github.io/Logging_1980/tillsynsmail/A 22449-2026 tillsynsbegäran mail.docx", "A 22449-2026")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46260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46260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46260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46260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46260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46260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46260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46260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14265-2025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46260</v>
      </c>
      <c r="F29" t="inlineStr">
        <is>
          <t>VÄSTMANLANDS LÄN</t>
        </is>
      </c>
      <c r="G29" t="inlineStr">
        <is>
          <t>VÄSTERÅS</t>
        </is>
      </c>
      <c r="I29" t="n">
        <v>2.1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9</v>
      </c>
      <c r="U29" t="n">
        <v>0</v>
      </c>
      <c r="V29" s="2" t="inlineStr">
        <is>
          <t>Knärot
Tallticka
Blåsippa</t>
        </is>
      </c>
      <c r="W29">
        <f>HYPERLINK("https://klasma.github.io/Logging_1980/artfynd/A 14265-2025 artfynd.xlsx", "A 14265-2025")</f>
        <v/>
      </c>
      <c r="X29">
        <f>HYPERLINK("https://klasma.github.io/Logging_1980/kartor/A 14265-2025 karta.png", "A 14265-2025")</f>
        <v/>
      </c>
      <c r="Y29">
        <f>HYPERLINK("https://klasma.github.io/Logging_1980/kartor_geotiff/A 14265-2025 georefererad karta.tif", "A 14265-2025")</f>
        <v/>
      </c>
      <c r="Z29">
        <f>HYPERLINK("https://klasma.github.io/Logging_1980/knärot/A 14265-2025 karta knärot.png", "A 14265-2025")</f>
        <v/>
      </c>
      <c r="AA29">
        <f>HYPERLINK("https://klasma.github.io/Logging_1980/klagomål/A 14265-2025 FSC-klagomål.docx", "A 14265-2025")</f>
        <v/>
      </c>
      <c r="AB29">
        <f>HYPERLINK("https://klasma.github.io/Logging_1980/klagomålsmail/A 14265-2025 FSC-klagomål mail.docx", "A 14265-2025")</f>
        <v/>
      </c>
      <c r="AC29">
        <f>HYPERLINK("https://klasma.github.io/Logging_1980/tillsyn/A 14265-2025 tillsynsbegäran.docx", "A 14265-2025")</f>
        <v/>
      </c>
      <c r="AD29">
        <f>HYPERLINK("https://klasma.github.io/Logging_1980/tillsynsmail/A 14265-2025 tillsynsbegäran mail.docx", "A 14265-2025")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46260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46260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46260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46260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46260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46260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46260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46260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46260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46260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46260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46260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46260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46260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46260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46260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46260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46260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46260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46260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46260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HYPERLINK("https://klasma.github.io/Logging_1980/artfynd/A 59144-2025 artfynd.xlsx", "A 59144-2025")</f>
        <v/>
      </c>
      <c r="X54">
        <f>HYPERLINK("https://klasma.github.io/Logging_1980/kartor/A 59144-2025 karta.png", "A 59144-2025")</f>
        <v/>
      </c>
      <c r="Y54">
        <f>HYPERLINK("https://klasma.github.io/Logging_1980/kartor_geotiff/A 59144-2025 georefererad karta.tif", "A 59144-2025")</f>
        <v/>
      </c>
      <c r="AA54">
        <f>HYPERLINK("https://klasma.github.io/Logging_1980/klagomål/A 59144-2025 FSC-klagomål.docx", "A 59144-2025")</f>
        <v/>
      </c>
      <c r="AB54">
        <f>HYPERLINK("https://klasma.github.io/Logging_1980/klagomålsmail/A 59144-2025 FSC-klagomål mail.docx", "A 59144-2025")</f>
        <v/>
      </c>
      <c r="AC54">
        <f>HYPERLINK("https://klasma.github.io/Logging_1980/tillsyn/A 59144-2025 tillsynsbegäran.docx", "A 59144-2025")</f>
        <v/>
      </c>
      <c r="AD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46260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46260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46260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46260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46260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46260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46260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46260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46260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46260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46260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46260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46260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46260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46260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46260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46260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46260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46260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46260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46260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46260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46260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46260</v>
      </c>
      <c r="F79" t="inlineStr">
        <is>
          <t>VÄSTMANLANDS LÄN</t>
        </is>
      </c>
      <c r="G79" t="inlineStr">
        <is>
          <t>VÄSTERÅS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44551</v>
      </c>
      <c r="E80" s="1" t="n">
        <v>46260</v>
      </c>
      <c r="F80" t="inlineStr">
        <is>
          <t>VÄSTMANLANDS LÄN</t>
        </is>
      </c>
      <c r="G80" t="inlineStr">
        <is>
          <t>VÄSTERÅS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46260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46260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46260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46260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46260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46260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46260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46260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46260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46260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46260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46260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55676-2023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45232</v>
      </c>
      <c r="E94" s="1" t="n">
        <v>46260</v>
      </c>
      <c r="F94" t="inlineStr">
        <is>
          <t>VÄSTMANLANDS LÄN</t>
        </is>
      </c>
      <c r="G94" t="inlineStr">
        <is>
          <t>VÄSTERÅS</t>
        </is>
      </c>
      <c r="H94" t="inlineStr">
        <is>
          <t>Övriga Aktiebolag</t>
        </is>
      </c>
      <c r="I94" t="n">
        <v>37.9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46260</v>
      </c>
      <c r="F95" t="inlineStr">
        <is>
          <t>VÄSTMANLANDS LÄN</t>
        </is>
      </c>
      <c r="G95" t="inlineStr">
        <is>
          <t>VÄSTERÅS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55684-2023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45232</v>
      </c>
      <c r="E96" s="1" t="n">
        <v>46260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29.4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46260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44637</v>
      </c>
      <c r="E98" s="1" t="n">
        <v>46260</v>
      </c>
      <c r="F98" t="inlineStr">
        <is>
          <t>VÄSTMANLANDS LÄN</t>
        </is>
      </c>
      <c r="G98" t="inlineStr">
        <is>
          <t>VÄSTERÅS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46260</v>
      </c>
      <c r="F99" t="inlineStr">
        <is>
          <t>VÄSTMANLANDS LÄN</t>
        </is>
      </c>
      <c r="G99" t="inlineStr">
        <is>
          <t>VÄSTERÅS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46260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73601-2021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44552</v>
      </c>
      <c r="E101" s="1" t="n">
        <v>46260</v>
      </c>
      <c r="F101" t="inlineStr">
        <is>
          <t>VÄSTMANLANDS LÄN</t>
        </is>
      </c>
      <c r="G101" t="inlineStr">
        <is>
          <t>VÄSTERÅS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46260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46260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46260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46260</v>
      </c>
      <c r="F106" t="inlineStr">
        <is>
          <t>VÄSTMANLANDS LÄN</t>
        </is>
      </c>
      <c r="G106" t="inlineStr">
        <is>
          <t>VÄSTERÅS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46260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46260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46260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46260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46260</v>
      </c>
      <c r="F111" t="inlineStr">
        <is>
          <t>VÄSTMANLANDS LÄN</t>
        </is>
      </c>
      <c r="G111" t="inlineStr">
        <is>
          <t>VÄSTERÅS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46260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46260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45223</v>
      </c>
      <c r="E114" s="1" t="n">
        <v>46260</v>
      </c>
      <c r="F114" t="inlineStr">
        <is>
          <t>VÄSTMANLANDS LÄN</t>
        </is>
      </c>
      <c r="G114" t="inlineStr">
        <is>
          <t>VÄSTERÅS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46260</v>
      </c>
      <c r="F115" t="inlineStr">
        <is>
          <t>VÄSTMANLANDS LÄN</t>
        </is>
      </c>
      <c r="G115" t="inlineStr">
        <is>
          <t>VÄSTERÅS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46260</v>
      </c>
      <c r="F116" t="inlineStr">
        <is>
          <t>VÄSTMANLANDS LÄN</t>
        </is>
      </c>
      <c r="G116" t="inlineStr">
        <is>
          <t>VÄSTERÅS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46260</v>
      </c>
      <c r="F117" t="inlineStr">
        <is>
          <t>VÄSTMANLANDS LÄN</t>
        </is>
      </c>
      <c r="G117" t="inlineStr">
        <is>
          <t>VÄSTERÅS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46260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46260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46260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46260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46260</v>
      </c>
      <c r="F122" t="inlineStr">
        <is>
          <t>VÄSTMANLANDS LÄN</t>
        </is>
      </c>
      <c r="G122" t="inlineStr">
        <is>
          <t>VÄSTERÅS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56076-2023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45235</v>
      </c>
      <c r="E123" s="1" t="n">
        <v>46260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37.8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46260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11137-2023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44987</v>
      </c>
      <c r="E125" s="1" t="n">
        <v>46260</v>
      </c>
      <c r="F125" t="inlineStr">
        <is>
          <t>VÄSTMANLANDS LÄN</t>
        </is>
      </c>
      <c r="G125" t="inlineStr">
        <is>
          <t>VÄSTERÅS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46260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46260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46260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46260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46260</v>
      </c>
      <c r="F130" t="inlineStr">
        <is>
          <t>VÄSTMANLANDS LÄN</t>
        </is>
      </c>
      <c r="G130" t="inlineStr">
        <is>
          <t>VÄSTERÅS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64207-2023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46260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46260</v>
      </c>
      <c r="F132" t="inlineStr">
        <is>
          <t>VÄSTMANLANDS LÄN</t>
        </is>
      </c>
      <c r="G132" t="inlineStr">
        <is>
          <t>VÄSTERÅS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46260</v>
      </c>
      <c r="F133" t="inlineStr">
        <is>
          <t>VÄSTMANLANDS LÄN</t>
        </is>
      </c>
      <c r="G133" t="inlineStr">
        <is>
          <t>VÄSTERÅS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46260</v>
      </c>
      <c r="F134" t="inlineStr">
        <is>
          <t>VÄSTMANLANDS LÄN</t>
        </is>
      </c>
      <c r="G134" t="inlineStr">
        <is>
          <t>VÄSTERÅS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7797-2026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46062</v>
      </c>
      <c r="E135" s="1" t="n">
        <v>46260</v>
      </c>
      <c r="F135" t="inlineStr">
        <is>
          <t>VÄSTMANLANDS LÄN</t>
        </is>
      </c>
      <c r="G135" t="inlineStr">
        <is>
          <t>VÄSTERÅS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46260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46260</v>
      </c>
      <c r="F137" t="inlineStr">
        <is>
          <t>VÄSTMANLANDS LÄN</t>
        </is>
      </c>
      <c r="G137" t="inlineStr">
        <is>
          <t>VÄSTERÅS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46260</v>
      </c>
      <c r="F138" t="inlineStr">
        <is>
          <t>VÄSTMANLANDS LÄN</t>
        </is>
      </c>
      <c r="G138" t="inlineStr">
        <is>
          <t>VÄSTERÅS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46260</v>
      </c>
      <c r="F139" t="inlineStr">
        <is>
          <t>VÄSTMANLANDS LÄN</t>
        </is>
      </c>
      <c r="G139" t="inlineStr">
        <is>
          <t>VÄSTERÅS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52027-2025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45952</v>
      </c>
      <c r="E140" s="1" t="n">
        <v>46260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statliga verk och myndigheter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46260</v>
      </c>
      <c r="F141" t="inlineStr">
        <is>
          <t>VÄSTMANLANDS LÄN</t>
        </is>
      </c>
      <c r="G141" t="inlineStr">
        <is>
          <t>VÄSTERÅS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45125</v>
      </c>
      <c r="E142" s="1" t="n">
        <v>46260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46260</v>
      </c>
      <c r="F143" t="inlineStr">
        <is>
          <t>VÄSTMANLANDS LÄN</t>
        </is>
      </c>
      <c r="G143" t="inlineStr">
        <is>
          <t>VÄSTERÅS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46260</v>
      </c>
      <c r="F144" t="inlineStr">
        <is>
          <t>VÄSTMANLANDS LÄN</t>
        </is>
      </c>
      <c r="G144" t="inlineStr">
        <is>
          <t>VÄSTERÅS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46260</v>
      </c>
      <c r="F145" t="inlineStr">
        <is>
          <t>VÄSTMANLANDS LÄN</t>
        </is>
      </c>
      <c r="G145" t="inlineStr">
        <is>
          <t>VÄSTERÅS</t>
        </is>
      </c>
      <c r="I145" t="n">
        <v>20.3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46260</v>
      </c>
      <c r="F146" t="inlineStr">
        <is>
          <t>VÄSTMANLANDS LÄN</t>
        </is>
      </c>
      <c r="G146" t="inlineStr">
        <is>
          <t>VÄSTERÅS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46260</v>
      </c>
      <c r="F147" t="inlineStr">
        <is>
          <t>VÄSTMANLANDS LÄN</t>
        </is>
      </c>
      <c r="G147" t="inlineStr">
        <is>
          <t>VÄSTERÅS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46260</v>
      </c>
      <c r="F148" t="inlineStr">
        <is>
          <t>VÄSTMANLANDS LÄN</t>
        </is>
      </c>
      <c r="G148" t="inlineStr">
        <is>
          <t>VÄSTERÅS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46260</v>
      </c>
      <c r="F149" t="inlineStr">
        <is>
          <t>VÄSTMANLANDS LÄN</t>
        </is>
      </c>
      <c r="G149" t="inlineStr">
        <is>
          <t>VÄSTERÅS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46260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statliga verk och myndigheter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44816</v>
      </c>
      <c r="E151" s="1" t="n">
        <v>46260</v>
      </c>
      <c r="F151" t="inlineStr">
        <is>
          <t>VÄSTMANLANDS LÄN</t>
        </is>
      </c>
      <c r="G151" t="inlineStr">
        <is>
          <t>VÄSTERÅS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46260</v>
      </c>
      <c r="F152" t="inlineStr">
        <is>
          <t>VÄSTMANLANDS LÄN</t>
        </is>
      </c>
      <c r="G152" t="inlineStr">
        <is>
          <t>VÄSTERÅS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46260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46260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44648</v>
      </c>
      <c r="E155" s="1" t="n">
        <v>46260</v>
      </c>
      <c r="F155" t="inlineStr">
        <is>
          <t>VÄSTMANLANDS LÄN</t>
        </is>
      </c>
      <c r="G155" t="inlineStr">
        <is>
          <t>VÄSTERÅS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45219</v>
      </c>
      <c r="E156" s="1" t="n">
        <v>46260</v>
      </c>
      <c r="F156" t="inlineStr">
        <is>
          <t>VÄSTMANLANDS LÄN</t>
        </is>
      </c>
      <c r="G156" t="inlineStr">
        <is>
          <t>VÄSTERÅS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46260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46260</v>
      </c>
      <c r="F158" t="inlineStr">
        <is>
          <t>VÄSTMANLANDS LÄN</t>
        </is>
      </c>
      <c r="G158" t="inlineStr">
        <is>
          <t>VÄSTERÅS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46112</v>
      </c>
      <c r="E159" s="1" t="n">
        <v>46260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46112</v>
      </c>
      <c r="E160" s="1" t="n">
        <v>46260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46260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46260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46260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46260</v>
      </c>
      <c r="F164" t="inlineStr">
        <is>
          <t>VÄSTMANLANDS LÄN</t>
        </is>
      </c>
      <c r="G164" t="inlineStr">
        <is>
          <t>VÄSTERÅS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46260</v>
      </c>
      <c r="F165" t="inlineStr">
        <is>
          <t>VÄSTMANLANDS LÄN</t>
        </is>
      </c>
      <c r="G165" t="inlineStr">
        <is>
          <t>VÄSTERÅS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46260</v>
      </c>
      <c r="F166" t="inlineStr">
        <is>
          <t>VÄSTMANLANDS LÄN</t>
        </is>
      </c>
      <c r="G166" t="inlineStr">
        <is>
          <t>VÄSTERÅS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46260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46120</v>
      </c>
      <c r="E168" s="1" t="n">
        <v>46260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Allmännings- och besparingsskogar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46260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Kommuner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46260</v>
      </c>
      <c r="F170" t="inlineStr">
        <is>
          <t>VÄSTMANLANDS LÄN</t>
        </is>
      </c>
      <c r="G170" t="inlineStr">
        <is>
          <t>VÄSTERÅS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46135</v>
      </c>
      <c r="E171" s="1" t="n">
        <v>46260</v>
      </c>
      <c r="F171" t="inlineStr">
        <is>
          <t>VÄSTMANLANDS LÄN</t>
        </is>
      </c>
      <c r="G171" t="inlineStr">
        <is>
          <t>VÄSTERÅS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46260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46260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46260</v>
      </c>
      <c r="F174" t="inlineStr">
        <is>
          <t>VÄSTMANLANDS LÄN</t>
        </is>
      </c>
      <c r="G174" t="inlineStr">
        <is>
          <t>VÄSTERÅS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45174</v>
      </c>
      <c r="E175" s="1" t="n">
        <v>46260</v>
      </c>
      <c r="F175" t="inlineStr">
        <is>
          <t>VÄSTMANLANDS LÄN</t>
        </is>
      </c>
      <c r="G175" t="inlineStr">
        <is>
          <t>VÄSTERÅS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46260</v>
      </c>
      <c r="F176" t="inlineStr">
        <is>
          <t>VÄSTMANLANDS LÄN</t>
        </is>
      </c>
      <c r="G176" t="inlineStr">
        <is>
          <t>VÄSTERÅS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46260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46260</v>
      </c>
      <c r="F178" t="inlineStr">
        <is>
          <t>VÄSTMANLANDS LÄN</t>
        </is>
      </c>
      <c r="G178" t="inlineStr">
        <is>
          <t>VÄSTERÅS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45027</v>
      </c>
      <c r="E179" s="1" t="n">
        <v>46260</v>
      </c>
      <c r="F179" t="inlineStr">
        <is>
          <t>VÄSTMANLANDS LÄN</t>
        </is>
      </c>
      <c r="G179" t="inlineStr">
        <is>
          <t>VÄSTERÅS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46260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46260</v>
      </c>
      <c r="F181" t="inlineStr">
        <is>
          <t>VÄSTMANLANDS LÄN</t>
        </is>
      </c>
      <c r="G181" t="inlineStr">
        <is>
          <t>VÄSTERÅS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52015-2024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45607</v>
      </c>
      <c r="E182" s="1" t="n">
        <v>46260</v>
      </c>
      <c r="F182" t="inlineStr">
        <is>
          <t>VÄSTMANLANDS LÄN</t>
        </is>
      </c>
      <c r="G182" t="inlineStr">
        <is>
          <t>VÄSTERÅS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46260</v>
      </c>
      <c r="F183" t="inlineStr">
        <is>
          <t>VÄSTMANLANDS LÄN</t>
        </is>
      </c>
      <c r="G183" t="inlineStr">
        <is>
          <t>VÄSTERÅS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46260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46260</v>
      </c>
      <c r="F185" t="inlineStr">
        <is>
          <t>VÄSTMANLANDS LÄN</t>
        </is>
      </c>
      <c r="G185" t="inlineStr">
        <is>
          <t>VÄSTERÅS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46260</v>
      </c>
      <c r="F186" t="inlineStr">
        <is>
          <t>VÄSTMANLANDS LÄN</t>
        </is>
      </c>
      <c r="G186" t="inlineStr">
        <is>
          <t>VÄSTERÅS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46260</v>
      </c>
      <c r="F187" t="inlineStr">
        <is>
          <t>VÄSTMANLANDS LÄN</t>
        </is>
      </c>
      <c r="G187" t="inlineStr">
        <is>
          <t>VÄSTERÅS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46260</v>
      </c>
      <c r="F188" t="inlineStr">
        <is>
          <t>VÄSTMANLANDS LÄN</t>
        </is>
      </c>
      <c r="G188" t="inlineStr">
        <is>
          <t>VÄSTERÅS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44582</v>
      </c>
      <c r="E189" s="1" t="n">
        <v>46260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46260</v>
      </c>
      <c r="F190" t="inlineStr">
        <is>
          <t>VÄSTMANLANDS LÄN</t>
        </is>
      </c>
      <c r="G190" t="inlineStr">
        <is>
          <t>VÄSTERÅS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46260</v>
      </c>
      <c r="F191" t="inlineStr">
        <is>
          <t>VÄSTMANLANDS LÄN</t>
        </is>
      </c>
      <c r="G191" t="inlineStr">
        <is>
          <t>VÄSTERÅS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46260</v>
      </c>
      <c r="F192" t="inlineStr">
        <is>
          <t>VÄSTMANLANDS LÄN</t>
        </is>
      </c>
      <c r="G192" t="inlineStr">
        <is>
          <t>VÄSTERÅS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46260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18465-2023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45042</v>
      </c>
      <c r="E194" s="1" t="n">
        <v>46260</v>
      </c>
      <c r="F194" t="inlineStr">
        <is>
          <t>VÄSTMANLANDS LÄN</t>
        </is>
      </c>
      <c r="G194" t="inlineStr">
        <is>
          <t>VÄSTERÅS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46260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46260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45160</v>
      </c>
      <c r="E197" s="1" t="n">
        <v>46260</v>
      </c>
      <c r="F197" t="inlineStr">
        <is>
          <t>VÄSTMANLANDS LÄN</t>
        </is>
      </c>
      <c r="G197" t="inlineStr">
        <is>
          <t>VÄSTERÅS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46260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Allmännings- och besparingsskogar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15316-2022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44659</v>
      </c>
      <c r="E199" s="1" t="n">
        <v>46260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46260</v>
      </c>
      <c r="F200" t="inlineStr">
        <is>
          <t>VÄSTMANLANDS LÄN</t>
        </is>
      </c>
      <c r="G200" t="inlineStr">
        <is>
          <t>VÄSTERÅS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46260</v>
      </c>
      <c r="F201" t="inlineStr">
        <is>
          <t>VÄSTMANLANDS LÄN</t>
        </is>
      </c>
      <c r="G201" t="inlineStr">
        <is>
          <t>VÄSTERÅS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46260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46260</v>
      </c>
      <c r="F203" t="inlineStr">
        <is>
          <t>VÄSTMANLANDS LÄN</t>
        </is>
      </c>
      <c r="G203" t="inlineStr">
        <is>
          <t>VÄSTERÅS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46260</v>
      </c>
      <c r="F204" t="inlineStr">
        <is>
          <t>VÄSTMANLANDS LÄN</t>
        </is>
      </c>
      <c r="G204" t="inlineStr">
        <is>
          <t>VÄSTERÅS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46260</v>
      </c>
      <c r="F205" t="inlineStr">
        <is>
          <t>VÄSTMANLANDS LÄN</t>
        </is>
      </c>
      <c r="G205" t="inlineStr">
        <is>
          <t>VÄSTERÅS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45516</v>
      </c>
      <c r="E206" s="1" t="n">
        <v>46260</v>
      </c>
      <c r="F206" t="inlineStr">
        <is>
          <t>VÄSTMANLANDS LÄN</t>
        </is>
      </c>
      <c r="G206" t="inlineStr">
        <is>
          <t>VÄSTERÅS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46260</v>
      </c>
      <c r="F207" t="inlineStr">
        <is>
          <t>VÄSTMANLANDS LÄN</t>
        </is>
      </c>
      <c r="G207" t="inlineStr">
        <is>
          <t>VÄSTERÅS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46260</v>
      </c>
      <c r="F208" t="inlineStr">
        <is>
          <t>VÄSTMANLANDS LÄN</t>
        </is>
      </c>
      <c r="G208" t="inlineStr">
        <is>
          <t>VÄSTERÅS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44880</v>
      </c>
      <c r="E209" s="1" t="n">
        <v>46260</v>
      </c>
      <c r="F209" t="inlineStr">
        <is>
          <t>VÄSTMANLANDS LÄN</t>
        </is>
      </c>
      <c r="G209" t="inlineStr">
        <is>
          <t>VÄSTERÅS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44880</v>
      </c>
      <c r="E210" s="1" t="n">
        <v>46260</v>
      </c>
      <c r="F210" t="inlineStr">
        <is>
          <t>VÄSTMANLANDS LÄN</t>
        </is>
      </c>
      <c r="G210" t="inlineStr">
        <is>
          <t>VÄSTERÅS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46260</v>
      </c>
      <c r="F211" t="inlineStr">
        <is>
          <t>VÄSTMANLANDS LÄN</t>
        </is>
      </c>
      <c r="G211" t="inlineStr">
        <is>
          <t>VÄSTERÅS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46260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31578-2025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46260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46260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63851-2021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44509</v>
      </c>
      <c r="E215" s="1" t="n">
        <v>46260</v>
      </c>
      <c r="F215" t="inlineStr">
        <is>
          <t>VÄSTMANLANDS LÄN</t>
        </is>
      </c>
      <c r="G215" t="inlineStr">
        <is>
          <t>VÄSTERÅS</t>
        </is>
      </c>
      <c r="I215" t="n">
        <v>11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46260</v>
      </c>
      <c r="F216" t="inlineStr">
        <is>
          <t>VÄSTMANLANDS LÄN</t>
        </is>
      </c>
      <c r="G216" t="inlineStr">
        <is>
          <t>VÄSTERÅS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46260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46260</v>
      </c>
      <c r="F218" t="inlineStr">
        <is>
          <t>VÄSTMANLANDS LÄN</t>
        </is>
      </c>
      <c r="G218" t="inlineStr">
        <is>
          <t>VÄSTERÅS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46260</v>
      </c>
      <c r="F219" t="inlineStr">
        <is>
          <t>VÄSTMANLANDS LÄN</t>
        </is>
      </c>
      <c r="G219" t="inlineStr">
        <is>
          <t>VÄSTERÅS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46260</v>
      </c>
      <c r="F220" t="inlineStr">
        <is>
          <t>VÄSTMANLANDS LÄN</t>
        </is>
      </c>
      <c r="G220" t="inlineStr">
        <is>
          <t>VÄSTERÅS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46260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46260</v>
      </c>
      <c r="F222" t="inlineStr">
        <is>
          <t>VÄSTMANLANDS LÄN</t>
        </is>
      </c>
      <c r="G222" t="inlineStr">
        <is>
          <t>VÄSTERÅS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18457-2023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45042</v>
      </c>
      <c r="E223" s="1" t="n">
        <v>46260</v>
      </c>
      <c r="F223" t="inlineStr">
        <is>
          <t>VÄSTMANLANDS LÄN</t>
        </is>
      </c>
      <c r="G223" t="inlineStr">
        <is>
          <t>VÄSTERÅS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44717</v>
      </c>
      <c r="E224" s="1" t="n">
        <v>46260</v>
      </c>
      <c r="F224" t="inlineStr">
        <is>
          <t>VÄSTMANLANDS LÄN</t>
        </is>
      </c>
      <c r="G224" t="inlineStr">
        <is>
          <t>VÄSTERÅS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46260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44680</v>
      </c>
      <c r="E226" s="1" t="n">
        <v>46260</v>
      </c>
      <c r="F226" t="inlineStr">
        <is>
          <t>VÄSTMANLANDS LÄN</t>
        </is>
      </c>
      <c r="G226" t="inlineStr">
        <is>
          <t>VÄSTERÅS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46260</v>
      </c>
      <c r="F227" t="inlineStr">
        <is>
          <t>VÄSTMANLANDS LÄN</t>
        </is>
      </c>
      <c r="G227" t="inlineStr">
        <is>
          <t>VÄSTERÅS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46260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46260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46260</v>
      </c>
      <c r="F230" t="inlineStr">
        <is>
          <t>VÄSTMANLANDS LÄN</t>
        </is>
      </c>
      <c r="G230" t="inlineStr">
        <is>
          <t>VÄSTERÅS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46260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46260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46260</v>
      </c>
      <c r="F233" t="inlineStr">
        <is>
          <t>VÄSTMANLANDS LÄN</t>
        </is>
      </c>
      <c r="G233" t="inlineStr">
        <is>
          <t>VÄSTERÅS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46260</v>
      </c>
      <c r="F234" t="inlineStr">
        <is>
          <t>VÄSTMANLANDS LÄN</t>
        </is>
      </c>
      <c r="G234" t="inlineStr">
        <is>
          <t>VÄSTERÅS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46260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Allmännings- och besparingsskogar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45019</v>
      </c>
      <c r="E236" s="1" t="n">
        <v>46260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46260</v>
      </c>
      <c r="F237" t="inlineStr">
        <is>
          <t>VÄSTMANLANDS LÄN</t>
        </is>
      </c>
      <c r="G237" t="inlineStr">
        <is>
          <t>VÄSTERÅS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46260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46188</v>
      </c>
      <c r="E239" s="1" t="n">
        <v>46260</v>
      </c>
      <c r="F239" t="inlineStr">
        <is>
          <t>VÄSTMANLANDS LÄN</t>
        </is>
      </c>
      <c r="G239" t="inlineStr">
        <is>
          <t>VÄSTERÅS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27301-2026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46260</v>
      </c>
      <c r="F240" t="inlineStr">
        <is>
          <t>VÄSTMANLANDS LÄN</t>
        </is>
      </c>
      <c r="G240" t="inlineStr">
        <is>
          <t>VÄSTERÅS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46190</v>
      </c>
      <c r="E241" s="1" t="n">
        <v>46260</v>
      </c>
      <c r="F241" t="inlineStr">
        <is>
          <t>VÄSTMANLANDS LÄN</t>
        </is>
      </c>
      <c r="G241" t="inlineStr">
        <is>
          <t>VÄSTERÅS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46260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Kommuner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46260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Kommuner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46260</v>
      </c>
      <c r="F244" t="inlineStr">
        <is>
          <t>VÄSTMANLANDS LÄN</t>
        </is>
      </c>
      <c r="G244" t="inlineStr">
        <is>
          <t>VÄSTERÅS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44840</v>
      </c>
      <c r="E245" s="1" t="n">
        <v>46260</v>
      </c>
      <c r="F245" t="inlineStr">
        <is>
          <t>VÄSTMANLANDS LÄN</t>
        </is>
      </c>
      <c r="G245" t="inlineStr">
        <is>
          <t>VÄSTERÅS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46260</v>
      </c>
      <c r="F246" t="inlineStr">
        <is>
          <t>VÄSTMANLANDS LÄN</t>
        </is>
      </c>
      <c r="G246" t="inlineStr">
        <is>
          <t>VÄSTERÅS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46260</v>
      </c>
      <c r="F247" t="inlineStr">
        <is>
          <t>VÄSTMANLANDS LÄN</t>
        </is>
      </c>
      <c r="G247" t="inlineStr">
        <is>
          <t>VÄSTERÅS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44664</v>
      </c>
      <c r="E248" s="1" t="n">
        <v>46260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46195</v>
      </c>
      <c r="E249" s="1" t="n">
        <v>46260</v>
      </c>
      <c r="F249" t="inlineStr">
        <is>
          <t>VÄSTMANLANDS LÄN</t>
        </is>
      </c>
      <c r="G249" t="inlineStr">
        <is>
          <t>VÄSTERÅS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46260</v>
      </c>
      <c r="F250" t="inlineStr">
        <is>
          <t>VÄSTMANLANDS LÄN</t>
        </is>
      </c>
      <c r="G250" t="inlineStr">
        <is>
          <t>VÄSTERÅS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46260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45019</v>
      </c>
      <c r="E252" s="1" t="n">
        <v>46260</v>
      </c>
      <c r="F252" t="inlineStr">
        <is>
          <t>VÄSTMANLANDS LÄN</t>
        </is>
      </c>
      <c r="G252" t="inlineStr">
        <is>
          <t>VÄSTERÅS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18482-2023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45042</v>
      </c>
      <c r="E253" s="1" t="n">
        <v>46260</v>
      </c>
      <c r="F253" t="inlineStr">
        <is>
          <t>VÄSTMANLANDS LÄN</t>
        </is>
      </c>
      <c r="G253" t="inlineStr">
        <is>
          <t>VÄSTERÅS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46260</v>
      </c>
      <c r="F254" t="inlineStr">
        <is>
          <t>VÄSTMANLANDS LÄN</t>
        </is>
      </c>
      <c r="G254" t="inlineStr">
        <is>
          <t>VÄSTERÅS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46260</v>
      </c>
      <c r="F255" t="inlineStr">
        <is>
          <t>VÄSTMANLANDS LÄN</t>
        </is>
      </c>
      <c r="G255" t="inlineStr">
        <is>
          <t>VÄSTERÅS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45083</v>
      </c>
      <c r="E256" s="1" t="n">
        <v>46260</v>
      </c>
      <c r="F256" t="inlineStr">
        <is>
          <t>VÄSTMANLANDS LÄN</t>
        </is>
      </c>
      <c r="G256" t="inlineStr">
        <is>
          <t>VÄSTERÅS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45400</v>
      </c>
      <c r="E257" s="1" t="n">
        <v>46260</v>
      </c>
      <c r="F257" t="inlineStr">
        <is>
          <t>VÄSTMANLANDS LÄN</t>
        </is>
      </c>
      <c r="G257" t="inlineStr">
        <is>
          <t>VÄSTERÅS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46260</v>
      </c>
      <c r="F258" t="inlineStr">
        <is>
          <t>VÄSTMANLANDS LÄN</t>
        </is>
      </c>
      <c r="G258" t="inlineStr">
        <is>
          <t>VÄSTERÅS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46260</v>
      </c>
      <c r="F259" t="inlineStr">
        <is>
          <t>VÄSTMANLANDS LÄN</t>
        </is>
      </c>
      <c r="G259" t="inlineStr">
        <is>
          <t>VÄSTERÅS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44978</v>
      </c>
      <c r="E260" s="1" t="n">
        <v>46260</v>
      </c>
      <c r="F260" t="inlineStr">
        <is>
          <t>VÄSTMANLANDS LÄN</t>
        </is>
      </c>
      <c r="G260" t="inlineStr">
        <is>
          <t>VÄSTERÅS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44523</v>
      </c>
      <c r="E261" s="1" t="n">
        <v>46260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45532</v>
      </c>
      <c r="E262" s="1" t="n">
        <v>46260</v>
      </c>
      <c r="F262" t="inlineStr">
        <is>
          <t>VÄSTMANLANDS LÄN</t>
        </is>
      </c>
      <c r="G262" t="inlineStr">
        <is>
          <t>VÄSTERÅS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45579</v>
      </c>
      <c r="E263" s="1" t="n">
        <v>46260</v>
      </c>
      <c r="F263" t="inlineStr">
        <is>
          <t>VÄSTMANLANDS LÄN</t>
        </is>
      </c>
      <c r="G263" t="inlineStr">
        <is>
          <t>VÄSTERÅS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44874</v>
      </c>
      <c r="E264" s="1" t="n">
        <v>46260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46260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46260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46260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46080</v>
      </c>
      <c r="E268" s="1" t="n">
        <v>46260</v>
      </c>
      <c r="F268" t="inlineStr">
        <is>
          <t>VÄSTMANLANDS LÄN</t>
        </is>
      </c>
      <c r="G268" t="inlineStr">
        <is>
          <t>VÄSTERÅS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46260</v>
      </c>
      <c r="F269" t="inlineStr">
        <is>
          <t>VÄSTMANLANDS LÄN</t>
        </is>
      </c>
      <c r="G269" t="inlineStr">
        <is>
          <t>VÄSTERÅS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46260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46260</v>
      </c>
      <c r="F271" t="inlineStr">
        <is>
          <t>VÄSTMANLANDS LÄN</t>
        </is>
      </c>
      <c r="G271" t="inlineStr">
        <is>
          <t>VÄSTERÅS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18467-2023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45042</v>
      </c>
      <c r="E272" s="1" t="n">
        <v>46260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46260</v>
      </c>
      <c r="F273" t="inlineStr">
        <is>
          <t>VÄSTMANLANDS LÄN</t>
        </is>
      </c>
      <c r="G273" t="inlineStr">
        <is>
          <t>VÄSTERÅS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46260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46213</v>
      </c>
      <c r="E275" s="1" t="n">
        <v>46260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46260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9.800000000000001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46260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46215</v>
      </c>
      <c r="E278" s="1" t="n">
        <v>46260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46217</v>
      </c>
      <c r="E279" s="1" t="n">
        <v>46260</v>
      </c>
      <c r="F279" t="inlineStr">
        <is>
          <t>VÄSTMANLANDS LÄN</t>
        </is>
      </c>
      <c r="G279" t="inlineStr">
        <is>
          <t>VÄSTERÅS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67350-2021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44523</v>
      </c>
      <c r="E280" s="1" t="n">
        <v>46260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44623</v>
      </c>
      <c r="E281" s="1" t="n">
        <v>46260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46260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46260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46260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45033</v>
      </c>
      <c r="E285" s="1" t="n">
        <v>46260</v>
      </c>
      <c r="F285" t="inlineStr">
        <is>
          <t>VÄSTMANLANDS LÄN</t>
        </is>
      </c>
      <c r="G285" t="inlineStr">
        <is>
          <t>VÄSTERÅS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46260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46260</v>
      </c>
      <c r="F287" t="inlineStr">
        <is>
          <t>VÄSTMANLANDS LÄN</t>
        </is>
      </c>
      <c r="G287" t="inlineStr">
        <is>
          <t>VÄSTERÅS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46260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44792</v>
      </c>
      <c r="E289" s="1" t="n">
        <v>46260</v>
      </c>
      <c r="F289" t="inlineStr">
        <is>
          <t>VÄSTMANLANDS LÄN</t>
        </is>
      </c>
      <c r="G289" t="inlineStr">
        <is>
          <t>VÄSTERÅS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46260</v>
      </c>
      <c r="F290" t="inlineStr">
        <is>
          <t>VÄSTMANLANDS LÄN</t>
        </is>
      </c>
      <c r="G290" t="inlineStr">
        <is>
          <t>VÄSTERÅS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52569-2022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44874</v>
      </c>
      <c r="E291" s="1" t="n">
        <v>46260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44708</v>
      </c>
      <c r="E292" s="1" t="n">
        <v>46260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29746-2022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44755</v>
      </c>
      <c r="E293" s="1" t="n">
        <v>46260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67353-2021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46260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Övriga Aktiebolag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45169</v>
      </c>
      <c r="E295" s="1" t="n">
        <v>46260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56980-2021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44482</v>
      </c>
      <c r="E296" s="1" t="n">
        <v>46260</v>
      </c>
      <c r="F296" t="inlineStr">
        <is>
          <t>VÄSTMANLANDS LÄN</t>
        </is>
      </c>
      <c r="G296" t="inlineStr">
        <is>
          <t>VÄSTERÅS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46260</v>
      </c>
      <c r="F297" t="inlineStr">
        <is>
          <t>VÄSTMANLANDS LÄN</t>
        </is>
      </c>
      <c r="G297" t="inlineStr">
        <is>
          <t>VÄSTERÅS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46260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44658</v>
      </c>
      <c r="E299" s="1" t="n">
        <v>46260</v>
      </c>
      <c r="F299" t="inlineStr">
        <is>
          <t>VÄSTMANLANDS LÄN</t>
        </is>
      </c>
      <c r="G299" t="inlineStr">
        <is>
          <t>VÄSTERÅS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46260</v>
      </c>
      <c r="F300" t="inlineStr">
        <is>
          <t>VÄSTMANLANDS LÄN</t>
        </is>
      </c>
      <c r="G300" t="inlineStr">
        <is>
          <t>VÄSTERÅS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64714-2023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45281</v>
      </c>
      <c r="E301" s="1" t="n">
        <v>46260</v>
      </c>
      <c r="F301" t="inlineStr">
        <is>
          <t>VÄSTMANLANDS LÄN</t>
        </is>
      </c>
      <c r="G301" t="inlineStr">
        <is>
          <t>VÄSTERÅS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46260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Kyrkan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16214-2023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45028</v>
      </c>
      <c r="E303" s="1" t="n">
        <v>46260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45398</v>
      </c>
      <c r="E304" s="1" t="n">
        <v>46260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45603</v>
      </c>
      <c r="E305" s="1" t="n">
        <v>46260</v>
      </c>
      <c r="F305" t="inlineStr">
        <is>
          <t>VÄSTMANLANDS LÄN</t>
        </is>
      </c>
      <c r="G305" t="inlineStr">
        <is>
          <t>VÄSTERÅS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46260</v>
      </c>
      <c r="F306" t="inlineStr">
        <is>
          <t>VÄSTMANLANDS LÄN</t>
        </is>
      </c>
      <c r="G306" t="inlineStr">
        <is>
          <t>VÄSTERÅS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46260</v>
      </c>
      <c r="F307" t="inlineStr">
        <is>
          <t>VÄSTMANLANDS LÄN</t>
        </is>
      </c>
      <c r="G307" t="inlineStr">
        <is>
          <t>VÄSTERÅS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70642-2021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44537</v>
      </c>
      <c r="E308" s="1" t="n">
        <v>46260</v>
      </c>
      <c r="F308" t="inlineStr">
        <is>
          <t>VÄSTMANLANDS LÄN</t>
        </is>
      </c>
      <c r="G308" t="inlineStr">
        <is>
          <t>VÄSTERÅS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46260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45282</v>
      </c>
      <c r="E310" s="1" t="n">
        <v>46260</v>
      </c>
      <c r="F310" t="inlineStr">
        <is>
          <t>VÄSTMANLANDS LÄN</t>
        </is>
      </c>
      <c r="G310" t="inlineStr">
        <is>
          <t>VÄSTERÅS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45296</v>
      </c>
      <c r="E311" s="1" t="n">
        <v>46260</v>
      </c>
      <c r="F311" t="inlineStr">
        <is>
          <t>VÄSTMANLANDS LÄN</t>
        </is>
      </c>
      <c r="G311" t="inlineStr">
        <is>
          <t>VÄSTERÅS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17808-2023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45037</v>
      </c>
      <c r="E312" s="1" t="n">
        <v>46260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45223</v>
      </c>
      <c r="E313" s="1" t="n">
        <v>46260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73597-2021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44552</v>
      </c>
      <c r="E314" s="1" t="n">
        <v>46260</v>
      </c>
      <c r="F314" t="inlineStr">
        <is>
          <t>VÄSTMANLANDS LÄN</t>
        </is>
      </c>
      <c r="G314" t="inlineStr">
        <is>
          <t>VÄSTERÅS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46260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45448</v>
      </c>
      <c r="E316" s="1" t="n">
        <v>46260</v>
      </c>
      <c r="F316" t="inlineStr">
        <is>
          <t>VÄSTMANLANDS LÄN</t>
        </is>
      </c>
      <c r="G316" t="inlineStr">
        <is>
          <t>VÄSTERÅS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44657</v>
      </c>
      <c r="E317" s="1" t="n">
        <v>46260</v>
      </c>
      <c r="F317" t="inlineStr">
        <is>
          <t>VÄSTMANLANDS LÄN</t>
        </is>
      </c>
      <c r="G317" t="inlineStr">
        <is>
          <t>VÄSTERÅS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46260</v>
      </c>
      <c r="F318" t="inlineStr">
        <is>
          <t>VÄSTMANLANDS LÄN</t>
        </is>
      </c>
      <c r="G318" t="inlineStr">
        <is>
          <t>VÄSTERÅS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46260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45545</v>
      </c>
      <c r="E320" s="1" t="n">
        <v>46260</v>
      </c>
      <c r="F320" t="inlineStr">
        <is>
          <t>VÄSTMANLANDS LÄN</t>
        </is>
      </c>
      <c r="G320" t="inlineStr">
        <is>
          <t>VÄSTERÅS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46260</v>
      </c>
      <c r="F321" t="inlineStr">
        <is>
          <t>VÄSTMANLANDS LÄN</t>
        </is>
      </c>
      <c r="G321" t="inlineStr">
        <is>
          <t>VÄSTERÅS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46260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46260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46260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46260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46260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46260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46260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2026-08-26T01:51:49Z</dcterms:created>
  <dcterms:modified xmlns:dcterms="http://purl.org/dc/terms/" xmlns:xsi="http://www.w3.org/2001/XMLSchema-instance" xsi:type="dcterms:W3CDTF">2026-08-26T01:51:49Z</dcterms:modified>
</cp:coreProperties>
</file>