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46276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46276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46276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46276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46276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46276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46276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46276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46276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46276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46276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46276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46276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46276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46276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46276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46276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46276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46276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46276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46276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46276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46276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46276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46276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46276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46276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46276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46276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46276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46276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46276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46276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46276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46276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46276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46276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46276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46276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46276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46276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46276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61254-2023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45264</v>
      </c>
      <c r="E59" s="1" t="n">
        <v>46276</v>
      </c>
      <c r="F59" t="inlineStr">
        <is>
          <t>VÄSTMANLANDS LÄN</t>
        </is>
      </c>
      <c r="G59" t="inlineStr">
        <is>
          <t>VÄSTERÅS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Mistel</t>
        </is>
      </c>
      <c r="W59">
        <f>HYPERLINK("https://klasma.github.io/Logging_1980/artfynd/A 61254-2023 artfynd.xlsx", "A 61254-2023")</f>
        <v/>
      </c>
      <c r="X59">
        <f>HYPERLINK("https://klasma.github.io/Logging_1980/kartor/A 61254-2023 karta.png", "A 61254-2023")</f>
        <v/>
      </c>
      <c r="Y59">
        <f>HYPERLINK("https://klasma.github.io/Logging_1980/kartor_geotiff/A 61254-2023 georefererad karta.tif", "A 61254-2023")</f>
        <v/>
      </c>
      <c r="AA59">
        <f>HYPERLINK("https://klasma.github.io/Logging_1980/klagomål/A 61254-2023 FSC-klagomål.docx", "A 61254-2023")</f>
        <v/>
      </c>
      <c r="AB59">
        <f>HYPERLINK("https://klasma.github.io/Logging_1980/klagomålsmail/A 61254-2023 FSC-klagomål mail.docx", "A 61254-2023")</f>
        <v/>
      </c>
      <c r="AC59">
        <f>HYPERLINK("https://klasma.github.io/Logging_1980/tillsyn/A 61254-2023 tillsynsbegäran.docx", "A 61254-2023")</f>
        <v/>
      </c>
      <c r="AD59">
        <f>HYPERLINK("https://klasma.github.io/Logging_1980/tillsynsmail/A 61254-2023 tillsynsbegäran mail.docx", "A 61254-2023")</f>
        <v/>
      </c>
    </row>
    <row r="60" ht="15" customHeight="1">
      <c r="A60" t="inlineStr">
        <is>
          <t>A 59520-2024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46276</v>
      </c>
      <c r="F60" t="inlineStr">
        <is>
          <t>VÄSTMANLANDS LÄN</t>
        </is>
      </c>
      <c r="G60" t="inlineStr">
        <is>
          <t>VÄSTERÅS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59520-2024 artfynd.xlsx", "A 59520-2024")</f>
        <v/>
      </c>
      <c r="X60">
        <f>HYPERLINK("https://klasma.github.io/Logging_1980/kartor/A 59520-2024 karta.png", "A 59520-2024")</f>
        <v/>
      </c>
      <c r="Y60">
        <f>HYPERLINK("https://klasma.github.io/Logging_1980/kartor_geotiff/A 59520-2024 georefererad karta.tif", "A 59520-2024")</f>
        <v/>
      </c>
      <c r="AA60">
        <f>HYPERLINK("https://klasma.github.io/Logging_1980/klagomål/A 59520-2024 FSC-klagomål.docx", "A 59520-2024")</f>
        <v/>
      </c>
      <c r="AB60">
        <f>HYPERLINK("https://klasma.github.io/Logging_1980/klagomålsmail/A 59520-2024 FSC-klagomål mail.docx", "A 59520-2024")</f>
        <v/>
      </c>
      <c r="AC60">
        <f>HYPERLINK("https://klasma.github.io/Logging_1980/tillsyn/A 59520-2024 tillsynsbegäran.docx", "A 59520-2024")</f>
        <v/>
      </c>
      <c r="AD60">
        <f>HYPERLINK("https://klasma.github.io/Logging_1980/tillsynsmail/A 59520-2024 tillsynsbegäran mail.docx", "A 59520-2024")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46276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46276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46276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46276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46276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46276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46276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46276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46276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46276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46276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46276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46276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72019-2021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44540</v>
      </c>
      <c r="E74" s="1" t="n">
        <v>46276</v>
      </c>
      <c r="F74" t="inlineStr">
        <is>
          <t>VÄSTMANLANDS LÄN</t>
        </is>
      </c>
      <c r="G74" t="inlineStr">
        <is>
          <t>VÄSTERÅS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46276</v>
      </c>
      <c r="F75" t="inlineStr">
        <is>
          <t>VÄSTMANLANDS LÄN</t>
        </is>
      </c>
      <c r="G75" t="inlineStr">
        <is>
          <t>VÄSTERÅS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44692</v>
      </c>
      <c r="E76" s="1" t="n">
        <v>46276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46276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46276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46276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46276</v>
      </c>
      <c r="F80" t="inlineStr">
        <is>
          <t>VÄSTMANLANDS LÄN</t>
        </is>
      </c>
      <c r="G80" t="inlineStr">
        <is>
          <t>VÄSTERÅS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46276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46276</v>
      </c>
      <c r="F82" t="inlineStr">
        <is>
          <t>VÄSTMANLANDS LÄN</t>
        </is>
      </c>
      <c r="G82" t="inlineStr">
        <is>
          <t>VÄSTERÅS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46276</v>
      </c>
      <c r="F83" t="inlineStr">
        <is>
          <t>VÄSTMANLANDS LÄN</t>
        </is>
      </c>
      <c r="G83" t="inlineStr">
        <is>
          <t>VÄSTERÅS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46276</v>
      </c>
      <c r="F84" t="inlineStr">
        <is>
          <t>VÄSTMANLANDS LÄN</t>
        </is>
      </c>
      <c r="G84" t="inlineStr">
        <is>
          <t>VÄSTERÅS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44714</v>
      </c>
      <c r="E85" s="1" t="n">
        <v>46276</v>
      </c>
      <c r="F85" t="inlineStr">
        <is>
          <t>VÄSTMANLANDS LÄN</t>
        </is>
      </c>
      <c r="G85" t="inlineStr">
        <is>
          <t>VÄSTERÅS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46276</v>
      </c>
      <c r="F86" t="inlineStr">
        <is>
          <t>VÄSTMANLANDS LÄN</t>
        </is>
      </c>
      <c r="G86" t="inlineStr">
        <is>
          <t>VÄSTERÅS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46276</v>
      </c>
      <c r="F87" t="inlineStr">
        <is>
          <t>VÄSTMANLANDS LÄN</t>
        </is>
      </c>
      <c r="G87" t="inlineStr">
        <is>
          <t>VÄSTERÅS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46276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44761</v>
      </c>
      <c r="E89" s="1" t="n">
        <v>46276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46276</v>
      </c>
      <c r="F90" t="inlineStr">
        <is>
          <t>VÄSTMANLANDS LÄN</t>
        </is>
      </c>
      <c r="G90" t="inlineStr">
        <is>
          <t>VÄSTERÅS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46276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44671</v>
      </c>
      <c r="E92" s="1" t="n">
        <v>46276</v>
      </c>
      <c r="F92" t="inlineStr">
        <is>
          <t>VÄSTMANLANDS LÄN</t>
        </is>
      </c>
      <c r="G92" t="inlineStr">
        <is>
          <t>VÄSTERÅS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55676-2023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45232</v>
      </c>
      <c r="E93" s="1" t="n">
        <v>46276</v>
      </c>
      <c r="F93" t="inlineStr">
        <is>
          <t>VÄSTMANLANDS LÄN</t>
        </is>
      </c>
      <c r="G93" t="inlineStr">
        <is>
          <t>VÄSTERÅS</t>
        </is>
      </c>
      <c r="H93" t="inlineStr">
        <is>
          <t>Övriga Aktiebolag</t>
        </is>
      </c>
      <c r="I93" t="n">
        <v>37.9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46276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46276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46276</v>
      </c>
      <c r="F96" t="inlineStr">
        <is>
          <t>VÄSTMANLANDS LÄN</t>
        </is>
      </c>
      <c r="G96" t="inlineStr">
        <is>
          <t>VÄSTERÅS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46276</v>
      </c>
      <c r="F97" t="inlineStr">
        <is>
          <t>VÄSTMANLANDS LÄN</t>
        </is>
      </c>
      <c r="G97" t="inlineStr">
        <is>
          <t>VÄSTERÅS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46276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46276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46276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74314-2021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44559</v>
      </c>
      <c r="E101" s="1" t="n">
        <v>46276</v>
      </c>
      <c r="F101" t="inlineStr">
        <is>
          <t>VÄSTMANLANDS LÄN</t>
        </is>
      </c>
      <c r="G101" t="inlineStr">
        <is>
          <t>VÄSTERÅS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46276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46276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46276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45019</v>
      </c>
      <c r="E105" s="1" t="n">
        <v>46276</v>
      </c>
      <c r="F105" t="inlineStr">
        <is>
          <t>VÄSTMANLANDS LÄN</t>
        </is>
      </c>
      <c r="G105" t="inlineStr">
        <is>
          <t>VÄSTERÅS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46276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46276</v>
      </c>
      <c r="F107" t="inlineStr">
        <is>
          <t>VÄSTMANLANDS LÄN</t>
        </is>
      </c>
      <c r="G107" t="inlineStr">
        <is>
          <t>VÄSTERÅS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44961</v>
      </c>
      <c r="E108" s="1" t="n">
        <v>46276</v>
      </c>
      <c r="F108" t="inlineStr">
        <is>
          <t>VÄSTMANLANDS LÄN</t>
        </is>
      </c>
      <c r="G108" t="inlineStr">
        <is>
          <t>VÄSTERÅS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46276</v>
      </c>
      <c r="F109" t="inlineStr">
        <is>
          <t>VÄSTMANLANDS LÄN</t>
        </is>
      </c>
      <c r="G109" t="inlineStr">
        <is>
          <t>VÄSTERÅS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45705</v>
      </c>
      <c r="E110" s="1" t="n">
        <v>46276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46276</v>
      </c>
      <c r="F111" t="inlineStr">
        <is>
          <t>VÄSTMANLANDS LÄN</t>
        </is>
      </c>
      <c r="G111" t="inlineStr">
        <is>
          <t>VÄSTERÅS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46276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46276</v>
      </c>
      <c r="F113" t="inlineStr">
        <is>
          <t>VÄSTMANLANDS LÄN</t>
        </is>
      </c>
      <c r="G113" t="inlineStr">
        <is>
          <t>VÄSTERÅS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46276</v>
      </c>
      <c r="F114" t="inlineStr">
        <is>
          <t>VÄSTMANLANDS LÄN</t>
        </is>
      </c>
      <c r="G114" t="inlineStr">
        <is>
          <t>VÄSTERÅS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46276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46276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46276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46276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46276</v>
      </c>
      <c r="F119" t="inlineStr">
        <is>
          <t>VÄSTMANLANDS LÄN</t>
        </is>
      </c>
      <c r="G119" t="inlineStr">
        <is>
          <t>VÄSTERÅS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46276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46276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56076-2023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45235</v>
      </c>
      <c r="E122" s="1" t="n">
        <v>46276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Aktiebolag</t>
        </is>
      </c>
      <c r="I122" t="n">
        <v>37.8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46276</v>
      </c>
      <c r="F123" t="inlineStr">
        <is>
          <t>VÄSTMANLANDS LÄN</t>
        </is>
      </c>
      <c r="G123" t="inlineStr">
        <is>
          <t>VÄSTERÅS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46276</v>
      </c>
      <c r="F124" t="inlineStr">
        <is>
          <t>VÄSTMANLANDS LÄN</t>
        </is>
      </c>
      <c r="G124" t="inlineStr">
        <is>
          <t>VÄSTERÅS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46276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44875</v>
      </c>
      <c r="E126" s="1" t="n">
        <v>46276</v>
      </c>
      <c r="F126" t="inlineStr">
        <is>
          <t>VÄSTMANLANDS LÄN</t>
        </is>
      </c>
      <c r="G126" t="inlineStr">
        <is>
          <t>VÄSTERÅS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46276</v>
      </c>
      <c r="F127" t="inlineStr">
        <is>
          <t>VÄSTMANLANDS LÄN</t>
        </is>
      </c>
      <c r="G127" t="inlineStr">
        <is>
          <t>VÄSTERÅS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46276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Allmännings- och besparingsskogar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46276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46276</v>
      </c>
      <c r="F130" t="inlineStr">
        <is>
          <t>VÄSTMANLANDS LÄN</t>
        </is>
      </c>
      <c r="G130" t="inlineStr">
        <is>
          <t>VÄSTERÅS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11137-2023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44987</v>
      </c>
      <c r="E131" s="1" t="n">
        <v>46276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46276</v>
      </c>
      <c r="F132" t="inlineStr">
        <is>
          <t>VÄSTMANLANDS LÄN</t>
        </is>
      </c>
      <c r="G132" t="inlineStr">
        <is>
          <t>VÄSTERÅS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46276</v>
      </c>
      <c r="F133" t="inlineStr">
        <is>
          <t>VÄSTMANLANDS LÄN</t>
        </is>
      </c>
      <c r="G133" t="inlineStr">
        <is>
          <t>VÄSTERÅS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46276</v>
      </c>
      <c r="F134" t="inlineStr">
        <is>
          <t>VÄSTMANLANDS LÄN</t>
        </is>
      </c>
      <c r="G134" t="inlineStr">
        <is>
          <t>VÄSTERÅS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46276</v>
      </c>
      <c r="F135" t="inlineStr">
        <is>
          <t>VÄSTMANLANDS LÄN</t>
        </is>
      </c>
      <c r="G135" t="inlineStr">
        <is>
          <t>VÄSTERÅS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46276</v>
      </c>
      <c r="F136" t="inlineStr">
        <is>
          <t>VÄSTMANLANDS LÄN</t>
        </is>
      </c>
      <c r="G136" t="inlineStr">
        <is>
          <t>VÄSTERÅS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45516</v>
      </c>
      <c r="E137" s="1" t="n">
        <v>46276</v>
      </c>
      <c r="F137" t="inlineStr">
        <is>
          <t>VÄSTMANLANDS LÄN</t>
        </is>
      </c>
      <c r="G137" t="inlineStr">
        <is>
          <t>VÄSTERÅS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64207-2023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46276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44880</v>
      </c>
      <c r="E139" s="1" t="n">
        <v>46276</v>
      </c>
      <c r="F139" t="inlineStr">
        <is>
          <t>VÄSTMANLANDS LÄN</t>
        </is>
      </c>
      <c r="G139" t="inlineStr">
        <is>
          <t>VÄSTERÅS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53833-2022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46276</v>
      </c>
      <c r="F140" t="inlineStr">
        <is>
          <t>VÄSTMANLANDS LÄN</t>
        </is>
      </c>
      <c r="G140" t="inlineStr">
        <is>
          <t>VÄSTERÅS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46276</v>
      </c>
      <c r="F141" t="inlineStr">
        <is>
          <t>VÄSTMANLANDS LÄN</t>
        </is>
      </c>
      <c r="G141" t="inlineStr">
        <is>
          <t>VÄSTERÅS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45456</v>
      </c>
      <c r="E142" s="1" t="n">
        <v>46276</v>
      </c>
      <c r="F142" t="inlineStr">
        <is>
          <t>VÄSTMANLANDS LÄN</t>
        </is>
      </c>
      <c r="G142" t="inlineStr">
        <is>
          <t>VÄSTERÅS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46276</v>
      </c>
      <c r="F143" t="inlineStr">
        <is>
          <t>VÄSTMANLANDS LÄN</t>
        </is>
      </c>
      <c r="G143" t="inlineStr">
        <is>
          <t>VÄSTERÅS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46276</v>
      </c>
      <c r="F144" t="inlineStr">
        <is>
          <t>VÄSTMANLANDS LÄN</t>
        </is>
      </c>
      <c r="G144" t="inlineStr">
        <is>
          <t>VÄSTERÅS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46276</v>
      </c>
      <c r="F145" t="inlineStr">
        <is>
          <t>VÄSTMANLANDS LÄN</t>
        </is>
      </c>
      <c r="G145" t="inlineStr">
        <is>
          <t>VÄSTERÅS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46276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46276</v>
      </c>
      <c r="F147" t="inlineStr">
        <is>
          <t>VÄSTMANLANDS LÄN</t>
        </is>
      </c>
      <c r="G147" t="inlineStr">
        <is>
          <t>VÄSTERÅS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46276</v>
      </c>
      <c r="F148" t="inlineStr">
        <is>
          <t>VÄSTMANLANDS LÄN</t>
        </is>
      </c>
      <c r="G148" t="inlineStr">
        <is>
          <t>VÄSTERÅS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46276</v>
      </c>
      <c r="F149" t="inlineStr">
        <is>
          <t>VÄSTMANLANDS LÄN</t>
        </is>
      </c>
      <c r="G149" t="inlineStr">
        <is>
          <t>VÄSTERÅS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39127-2022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44816</v>
      </c>
      <c r="E150" s="1" t="n">
        <v>46276</v>
      </c>
      <c r="F150" t="inlineStr">
        <is>
          <t>VÄSTMANLANDS LÄN</t>
        </is>
      </c>
      <c r="G150" t="inlineStr">
        <is>
          <t>VÄSTERÅS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46276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Övriga statliga verk och myndigheter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46276</v>
      </c>
      <c r="F152" t="inlineStr">
        <is>
          <t>VÄSTMANLANDS LÄN</t>
        </is>
      </c>
      <c r="G152" t="inlineStr">
        <is>
          <t>VÄSTERÅS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7797-2026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46062</v>
      </c>
      <c r="E153" s="1" t="n">
        <v>46276</v>
      </c>
      <c r="F153" t="inlineStr">
        <is>
          <t>VÄSTMANLANDS LÄN</t>
        </is>
      </c>
      <c r="G153" t="inlineStr">
        <is>
          <t>VÄSTERÅS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46276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44645</v>
      </c>
      <c r="E155" s="1" t="n">
        <v>46276</v>
      </c>
      <c r="F155" t="inlineStr">
        <is>
          <t>VÄSTMANLANDS LÄN</t>
        </is>
      </c>
      <c r="G155" t="inlineStr">
        <is>
          <t>VÄSTERÅS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46276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46276</v>
      </c>
      <c r="F157" t="inlineStr">
        <is>
          <t>VÄSTMANLANDS LÄN</t>
        </is>
      </c>
      <c r="G157" t="inlineStr">
        <is>
          <t>VÄSTERÅS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46276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46276</v>
      </c>
      <c r="F159" t="inlineStr">
        <is>
          <t>VÄSTMANLANDS LÄN</t>
        </is>
      </c>
      <c r="G159" t="inlineStr">
        <is>
          <t>VÄSTERÅS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46276</v>
      </c>
      <c r="F160" t="inlineStr">
        <is>
          <t>VÄSTMANLANDS LÄN</t>
        </is>
      </c>
      <c r="G160" t="inlineStr">
        <is>
          <t>VÄSTERÅS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46276</v>
      </c>
      <c r="F161" t="inlineStr">
        <is>
          <t>VÄSTMANLANDS LÄN</t>
        </is>
      </c>
      <c r="G161" t="inlineStr">
        <is>
          <t>VÄSTERÅS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52027-2025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45952</v>
      </c>
      <c r="E162" s="1" t="n">
        <v>46276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46276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Övriga statliga verk och myndigheter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46079</v>
      </c>
      <c r="E164" s="1" t="n">
        <v>46276</v>
      </c>
      <c r="F164" t="inlineStr">
        <is>
          <t>VÄSTMANLANDS LÄN</t>
        </is>
      </c>
      <c r="G164" t="inlineStr">
        <is>
          <t>VÄSTERÅS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46276</v>
      </c>
      <c r="F165" t="inlineStr">
        <is>
          <t>VÄSTMANLANDS LÄN</t>
        </is>
      </c>
      <c r="G165" t="inlineStr">
        <is>
          <t>VÄSTERÅS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46276</v>
      </c>
      <c r="F166" t="inlineStr">
        <is>
          <t>VÄSTMANLANDS LÄN</t>
        </is>
      </c>
      <c r="G166" t="inlineStr">
        <is>
          <t>VÄSTERÅS</t>
        </is>
      </c>
      <c r="I166" t="n">
        <v>20.3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46276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46276</v>
      </c>
      <c r="F168" t="inlineStr">
        <is>
          <t>VÄSTMANLANDS LÄN</t>
        </is>
      </c>
      <c r="G168" t="inlineStr">
        <is>
          <t>VÄSTERÅS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46276</v>
      </c>
      <c r="F169" t="inlineStr">
        <is>
          <t>VÄSTMANLANDS LÄN</t>
        </is>
      </c>
      <c r="G169" t="inlineStr">
        <is>
          <t>VÄSTERÅS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46276</v>
      </c>
      <c r="F170" t="inlineStr">
        <is>
          <t>VÄSTMANLANDS LÄN</t>
        </is>
      </c>
      <c r="G170" t="inlineStr">
        <is>
          <t>VÄSTERÅS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45257</v>
      </c>
      <c r="E171" s="1" t="n">
        <v>46276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46276</v>
      </c>
      <c r="F172" t="inlineStr">
        <is>
          <t>VÄSTMANLANDS LÄN</t>
        </is>
      </c>
      <c r="G172" t="inlineStr">
        <is>
          <t>VÄSTERÅS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45174</v>
      </c>
      <c r="E173" s="1" t="n">
        <v>46276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46276</v>
      </c>
      <c r="F174" t="inlineStr">
        <is>
          <t>VÄSTMANLANDS LÄN</t>
        </is>
      </c>
      <c r="G174" t="inlineStr">
        <is>
          <t>VÄSTERÅS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46276</v>
      </c>
      <c r="F175" t="inlineStr">
        <is>
          <t>VÄSTMANLANDS LÄN</t>
        </is>
      </c>
      <c r="G175" t="inlineStr">
        <is>
          <t>VÄSTERÅS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45027</v>
      </c>
      <c r="E176" s="1" t="n">
        <v>46276</v>
      </c>
      <c r="F176" t="inlineStr">
        <is>
          <t>VÄSTMANLANDS LÄN</t>
        </is>
      </c>
      <c r="G176" t="inlineStr">
        <is>
          <t>VÄSTERÅS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46276</v>
      </c>
      <c r="F177" t="inlineStr">
        <is>
          <t>VÄSTMANLANDS LÄN</t>
        </is>
      </c>
      <c r="G177" t="inlineStr">
        <is>
          <t>VÄSTERÅS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52015-2024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45607</v>
      </c>
      <c r="E178" s="1" t="n">
        <v>46276</v>
      </c>
      <c r="F178" t="inlineStr">
        <is>
          <t>VÄSTMANLANDS LÄN</t>
        </is>
      </c>
      <c r="G178" t="inlineStr">
        <is>
          <t>VÄSTERÅS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46276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46276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44999</v>
      </c>
      <c r="E181" s="1" t="n">
        <v>46276</v>
      </c>
      <c r="F181" t="inlineStr">
        <is>
          <t>VÄSTMANLANDS LÄN</t>
        </is>
      </c>
      <c r="G181" t="inlineStr">
        <is>
          <t>VÄSTERÅS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46104</v>
      </c>
      <c r="E182" s="1" t="n">
        <v>46276</v>
      </c>
      <c r="F182" t="inlineStr">
        <is>
          <t>VÄSTMANLANDS LÄN</t>
        </is>
      </c>
      <c r="G182" t="inlineStr">
        <is>
          <t>VÄSTERÅS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46276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46276</v>
      </c>
      <c r="F184" t="inlineStr">
        <is>
          <t>VÄSTMANLANDS LÄN</t>
        </is>
      </c>
      <c r="G184" t="inlineStr">
        <is>
          <t>VÄSTERÅS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44958</v>
      </c>
      <c r="E185" s="1" t="n">
        <v>46276</v>
      </c>
      <c r="F185" t="inlineStr">
        <is>
          <t>VÄSTMANLANDS LÄN</t>
        </is>
      </c>
      <c r="G185" t="inlineStr">
        <is>
          <t>VÄSTERÅS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44582</v>
      </c>
      <c r="E186" s="1" t="n">
        <v>46276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Övriga Aktiebolag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46276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46276</v>
      </c>
      <c r="F188" t="inlineStr">
        <is>
          <t>VÄSTMANLANDS LÄN</t>
        </is>
      </c>
      <c r="G188" t="inlineStr">
        <is>
          <t>VÄSTERÅS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46276</v>
      </c>
      <c r="F189" t="inlineStr">
        <is>
          <t>VÄSTMANLANDS LÄN</t>
        </is>
      </c>
      <c r="G189" t="inlineStr">
        <is>
          <t>VÄSTERÅS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46112</v>
      </c>
      <c r="E190" s="1" t="n">
        <v>46276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18465-2023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45042</v>
      </c>
      <c r="E191" s="1" t="n">
        <v>46276</v>
      </c>
      <c r="F191" t="inlineStr">
        <is>
          <t>VÄSTMANLANDS LÄN</t>
        </is>
      </c>
      <c r="G191" t="inlineStr">
        <is>
          <t>VÄSTERÅS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64202-2023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46276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46112</v>
      </c>
      <c r="E193" s="1" t="n">
        <v>46276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46112</v>
      </c>
      <c r="E194" s="1" t="n">
        <v>46276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46112</v>
      </c>
      <c r="E195" s="1" t="n">
        <v>46276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Sveaskog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46112</v>
      </c>
      <c r="E196" s="1" t="n">
        <v>46276</v>
      </c>
      <c r="F196" t="inlineStr">
        <is>
          <t>VÄSTMANLANDS LÄN</t>
        </is>
      </c>
      <c r="G196" t="inlineStr">
        <is>
          <t>VÄSTERÅS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46276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Kyrkan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46276</v>
      </c>
      <c r="F198" t="inlineStr">
        <is>
          <t>VÄSTMANLANDS LÄN</t>
        </is>
      </c>
      <c r="G198" t="inlineStr">
        <is>
          <t>VÄSTERÅS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46276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Allmännings- och besparingsskogar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46276</v>
      </c>
      <c r="F200" t="inlineStr">
        <is>
          <t>VÄSTMANLANDS LÄN</t>
        </is>
      </c>
      <c r="G200" t="inlineStr">
        <is>
          <t>VÄSTERÅS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46276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Kommuner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46276</v>
      </c>
      <c r="F202" t="inlineStr">
        <is>
          <t>VÄSTMANLANDS LÄN</t>
        </is>
      </c>
      <c r="G202" t="inlineStr">
        <is>
          <t>VÄSTERÅS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46276</v>
      </c>
      <c r="F203" t="inlineStr">
        <is>
          <t>VÄSTMANLANDS LÄN</t>
        </is>
      </c>
      <c r="G203" t="inlineStr">
        <is>
          <t>VÄSTERÅS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63851-2021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44509</v>
      </c>
      <c r="E204" s="1" t="n">
        <v>46276</v>
      </c>
      <c r="F204" t="inlineStr">
        <is>
          <t>VÄSTMANLANDS LÄN</t>
        </is>
      </c>
      <c r="G204" t="inlineStr">
        <is>
          <t>VÄSTERÅS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46276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46276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46276</v>
      </c>
      <c r="F207" t="inlineStr">
        <is>
          <t>VÄSTMANLANDS LÄN</t>
        </is>
      </c>
      <c r="G207" t="inlineStr">
        <is>
          <t>VÄSTERÅS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18457-2023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45042</v>
      </c>
      <c r="E208" s="1" t="n">
        <v>46276</v>
      </c>
      <c r="F208" t="inlineStr">
        <is>
          <t>VÄSTMANLANDS LÄN</t>
        </is>
      </c>
      <c r="G208" t="inlineStr">
        <is>
          <t>VÄSTERÅS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44717</v>
      </c>
      <c r="E209" s="1" t="n">
        <v>46276</v>
      </c>
      <c r="F209" t="inlineStr">
        <is>
          <t>VÄSTMANLANDS LÄN</t>
        </is>
      </c>
      <c r="G209" t="inlineStr">
        <is>
          <t>VÄSTERÅS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46276</v>
      </c>
      <c r="F210" t="inlineStr">
        <is>
          <t>VÄSTMANLANDS LÄN</t>
        </is>
      </c>
      <c r="G210" t="inlineStr">
        <is>
          <t>VÄSTERÅS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45219</v>
      </c>
      <c r="E211" s="1" t="n">
        <v>46276</v>
      </c>
      <c r="F211" t="inlineStr">
        <is>
          <t>VÄSTMANLANDS LÄN</t>
        </is>
      </c>
      <c r="G211" t="inlineStr">
        <is>
          <t>VÄSTERÅS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17725-2022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44680</v>
      </c>
      <c r="E212" s="1" t="n">
        <v>46276</v>
      </c>
      <c r="F212" t="inlineStr">
        <is>
          <t>VÄSTMANLANDS LÄN</t>
        </is>
      </c>
      <c r="G212" t="inlineStr">
        <is>
          <t>VÄSTERÅS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46276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46276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46276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46276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46276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46276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45019</v>
      </c>
      <c r="E219" s="1" t="n">
        <v>46276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46276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Kommuner</t>
        </is>
      </c>
      <c r="I220" t="n">
        <v>12.9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46276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46276</v>
      </c>
      <c r="F222" t="inlineStr">
        <is>
          <t>VÄSTMANLANDS LÄN</t>
        </is>
      </c>
      <c r="G222" t="inlineStr">
        <is>
          <t>VÄSTERÅS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46276</v>
      </c>
      <c r="F223" t="inlineStr">
        <is>
          <t>VÄSTMANLANDS LÄN</t>
        </is>
      </c>
      <c r="G223" t="inlineStr">
        <is>
          <t>VÄSTERÅS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46276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46276</v>
      </c>
      <c r="F225" t="inlineStr">
        <is>
          <t>VÄSTMANLANDS LÄN</t>
        </is>
      </c>
      <c r="G225" t="inlineStr">
        <is>
          <t>VÄSTERÅS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46276</v>
      </c>
      <c r="F226" t="inlineStr">
        <is>
          <t>VÄSTMANLANDS LÄN</t>
        </is>
      </c>
      <c r="G226" t="inlineStr">
        <is>
          <t>VÄSTERÅS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46276</v>
      </c>
      <c r="F227" t="inlineStr">
        <is>
          <t>VÄSTMANLANDS LÄN</t>
        </is>
      </c>
      <c r="G227" t="inlineStr">
        <is>
          <t>VÄSTERÅS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22293-2026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46276</v>
      </c>
      <c r="F228" t="inlineStr">
        <is>
          <t>VÄSTMANLANDS LÄN</t>
        </is>
      </c>
      <c r="G228" t="inlineStr">
        <is>
          <t>VÄSTERÅS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46276</v>
      </c>
      <c r="F229" t="inlineStr">
        <is>
          <t>VÄSTMANLANDS LÄN</t>
        </is>
      </c>
      <c r="G229" t="inlineStr">
        <is>
          <t>VÄSTERÅS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46276</v>
      </c>
      <c r="F230" t="inlineStr">
        <is>
          <t>VÄSTMANLANDS LÄN</t>
        </is>
      </c>
      <c r="G230" t="inlineStr">
        <is>
          <t>VÄSTERÅS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46276</v>
      </c>
      <c r="F231" t="inlineStr">
        <is>
          <t>VÄSTMANLANDS LÄN</t>
        </is>
      </c>
      <c r="G231" t="inlineStr">
        <is>
          <t>VÄSTERÅS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46276</v>
      </c>
      <c r="F232" t="inlineStr">
        <is>
          <t>VÄSTMANLANDS LÄN</t>
        </is>
      </c>
      <c r="G232" t="inlineStr">
        <is>
          <t>VÄSTERÅS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46276</v>
      </c>
      <c r="F233" t="inlineStr">
        <is>
          <t>VÄSTMANLANDS LÄN</t>
        </is>
      </c>
      <c r="G233" t="inlineStr">
        <is>
          <t>VÄSTERÅS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18482-2023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46276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46276</v>
      </c>
      <c r="F235" t="inlineStr">
        <is>
          <t>VÄSTMANLANDS LÄN</t>
        </is>
      </c>
      <c r="G235" t="inlineStr">
        <is>
          <t>VÄSTERÅS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44900</v>
      </c>
      <c r="E236" s="1" t="n">
        <v>46276</v>
      </c>
      <c r="F236" t="inlineStr">
        <is>
          <t>VÄSTMANLANDS LÄN</t>
        </is>
      </c>
      <c r="G236" t="inlineStr">
        <is>
          <t>VÄSTERÅS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46276</v>
      </c>
      <c r="F237" t="inlineStr">
        <is>
          <t>VÄSTMANLANDS LÄN</t>
        </is>
      </c>
      <c r="G237" t="inlineStr">
        <is>
          <t>VÄSTERÅS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45083</v>
      </c>
      <c r="E238" s="1" t="n">
        <v>46276</v>
      </c>
      <c r="F238" t="inlineStr">
        <is>
          <t>VÄSTMANLANDS LÄN</t>
        </is>
      </c>
      <c r="G238" t="inlineStr">
        <is>
          <t>VÄSTERÅS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46276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46276</v>
      </c>
      <c r="F240" t="inlineStr">
        <is>
          <t>VÄSTMANLANDS LÄN</t>
        </is>
      </c>
      <c r="G240" t="inlineStr">
        <is>
          <t>VÄSTERÅS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46276</v>
      </c>
      <c r="F241" t="inlineStr">
        <is>
          <t>VÄSTMANLANDS LÄN</t>
        </is>
      </c>
      <c r="G241" t="inlineStr">
        <is>
          <t>VÄSTERÅS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46276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45400</v>
      </c>
      <c r="E243" s="1" t="n">
        <v>46276</v>
      </c>
      <c r="F243" t="inlineStr">
        <is>
          <t>VÄSTMANLANDS LÄN</t>
        </is>
      </c>
      <c r="G243" t="inlineStr">
        <is>
          <t>VÄSTERÅS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46276</v>
      </c>
      <c r="F244" t="inlineStr">
        <is>
          <t>VÄSTMANLANDS LÄN</t>
        </is>
      </c>
      <c r="G244" t="inlineStr">
        <is>
          <t>VÄSTERÅS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46276</v>
      </c>
      <c r="F245" t="inlineStr">
        <is>
          <t>VÄSTMANLANDS LÄN</t>
        </is>
      </c>
      <c r="G245" t="inlineStr">
        <is>
          <t>VÄSTERÅS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46276</v>
      </c>
      <c r="F246" t="inlineStr">
        <is>
          <t>VÄSTMANLANDS LÄN</t>
        </is>
      </c>
      <c r="G246" t="inlineStr">
        <is>
          <t>VÄSTERÅS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46276</v>
      </c>
      <c r="F247" t="inlineStr">
        <is>
          <t>VÄSTMANLANDS LÄN</t>
        </is>
      </c>
      <c r="G247" t="inlineStr">
        <is>
          <t>VÄSTERÅS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46276</v>
      </c>
      <c r="F248" t="inlineStr">
        <is>
          <t>VÄSTMANLANDS LÄN</t>
        </is>
      </c>
      <c r="G248" t="inlineStr">
        <is>
          <t>VÄSTERÅS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67352-2021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44523</v>
      </c>
      <c r="E249" s="1" t="n">
        <v>46276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Övriga Aktiebolag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45532</v>
      </c>
      <c r="E250" s="1" t="n">
        <v>46276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46276</v>
      </c>
      <c r="F251" t="inlineStr">
        <is>
          <t>VÄSTMANLANDS LÄN</t>
        </is>
      </c>
      <c r="G251" t="inlineStr">
        <is>
          <t>VÄSTERÅS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44874</v>
      </c>
      <c r="E252" s="1" t="n">
        <v>46276</v>
      </c>
      <c r="F252" t="inlineStr">
        <is>
          <t>VÄSTMANLANDS LÄN</t>
        </is>
      </c>
      <c r="G252" t="inlineStr">
        <is>
          <t>VÄSTERÅS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46276</v>
      </c>
      <c r="F253" t="inlineStr">
        <is>
          <t>VÄSTMANLANDS LÄN</t>
        </is>
      </c>
      <c r="G253" t="inlineStr">
        <is>
          <t>VÄSTERÅS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46276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61258-2023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46276</v>
      </c>
      <c r="F255" t="inlineStr">
        <is>
          <t>VÄSTMANLANDS LÄN</t>
        </is>
      </c>
      <c r="G255" t="inlineStr">
        <is>
          <t>VÄSTERÅS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45042</v>
      </c>
      <c r="E256" s="1" t="n">
        <v>46276</v>
      </c>
      <c r="F256" t="inlineStr">
        <is>
          <t>VÄSTMANLANDS LÄN</t>
        </is>
      </c>
      <c r="G256" t="inlineStr">
        <is>
          <t>VÄSTERÅS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46276</v>
      </c>
      <c r="F257" t="inlineStr">
        <is>
          <t>VÄSTMANLANDS LÄN</t>
        </is>
      </c>
      <c r="G257" t="inlineStr">
        <is>
          <t>VÄSTERÅS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46276</v>
      </c>
      <c r="F258" t="inlineStr">
        <is>
          <t>VÄSTMANLANDS LÄN</t>
        </is>
      </c>
      <c r="G258" t="inlineStr">
        <is>
          <t>VÄSTERÅS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46276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Allmännings- och besparingsskogar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46276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Kyrkan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46276</v>
      </c>
      <c r="F261" t="inlineStr">
        <is>
          <t>VÄSTMANLANDS LÄN</t>
        </is>
      </c>
      <c r="G261" t="inlineStr">
        <is>
          <t>VÄSTERÅS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46276</v>
      </c>
      <c r="F262" t="inlineStr">
        <is>
          <t>VÄSTMANLANDS LÄN</t>
        </is>
      </c>
      <c r="G262" t="inlineStr">
        <is>
          <t>VÄSTERÅS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67350-2021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44523</v>
      </c>
      <c r="E263" s="1" t="n">
        <v>46276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46276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46276</v>
      </c>
      <c r="F265" t="inlineStr">
        <is>
          <t>VÄSTMANLANDS LÄN</t>
        </is>
      </c>
      <c r="G265" t="inlineStr">
        <is>
          <t>VÄSTERÅS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45033</v>
      </c>
      <c r="E266" s="1" t="n">
        <v>46276</v>
      </c>
      <c r="F266" t="inlineStr">
        <is>
          <t>VÄSTMANLANDS LÄN</t>
        </is>
      </c>
      <c r="G266" t="inlineStr">
        <is>
          <t>VÄSTERÅS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73994-2021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44556</v>
      </c>
      <c r="E267" s="1" t="n">
        <v>46276</v>
      </c>
      <c r="F267" t="inlineStr">
        <is>
          <t>VÄSTMANLANDS LÄN</t>
        </is>
      </c>
      <c r="G267" t="inlineStr">
        <is>
          <t>VÄSTERÅS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46276</v>
      </c>
      <c r="F268" t="inlineStr">
        <is>
          <t>VÄSTMANLANDS LÄN</t>
        </is>
      </c>
      <c r="G268" t="inlineStr">
        <is>
          <t>VÄSTERÅS</t>
        </is>
      </c>
      <c r="I268" t="n">
        <v>14.1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61249-2021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44498</v>
      </c>
      <c r="E269" s="1" t="n">
        <v>46276</v>
      </c>
      <c r="F269" t="inlineStr">
        <is>
          <t>VÄSTMANLANDS LÄN</t>
        </is>
      </c>
      <c r="G269" t="inlineStr">
        <is>
          <t>VÄSTERÅS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46276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46276</v>
      </c>
      <c r="F271" t="inlineStr">
        <is>
          <t>VÄSTMANLANDS LÄN</t>
        </is>
      </c>
      <c r="G271" t="inlineStr">
        <is>
          <t>VÄSTERÅS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46276</v>
      </c>
      <c r="F272" t="inlineStr">
        <is>
          <t>VÄSTMANLANDS LÄN</t>
        </is>
      </c>
      <c r="G272" t="inlineStr">
        <is>
          <t>VÄSTERÅS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46276</v>
      </c>
      <c r="F273" t="inlineStr">
        <is>
          <t>VÄSTMANLANDS LÄN</t>
        </is>
      </c>
      <c r="G273" t="inlineStr">
        <is>
          <t>VÄSTERÅS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46276</v>
      </c>
      <c r="F274" t="inlineStr">
        <is>
          <t>VÄSTMANLANDS LÄN</t>
        </is>
      </c>
      <c r="G274" t="inlineStr">
        <is>
          <t>VÄSTERÅS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44708</v>
      </c>
      <c r="E275" s="1" t="n">
        <v>46276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44755</v>
      </c>
      <c r="E276" s="1" t="n">
        <v>46276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67353-2021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44523</v>
      </c>
      <c r="E277" s="1" t="n">
        <v>46276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Övriga Aktiebolag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46276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56980-2021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44482</v>
      </c>
      <c r="E279" s="1" t="n">
        <v>46276</v>
      </c>
      <c r="F279" t="inlineStr">
        <is>
          <t>VÄSTMANLANDS LÄN</t>
        </is>
      </c>
      <c r="G279" t="inlineStr">
        <is>
          <t>VÄSTERÅS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45705</v>
      </c>
      <c r="E280" s="1" t="n">
        <v>46276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46276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44658</v>
      </c>
      <c r="E282" s="1" t="n">
        <v>46276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58960-2022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46276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46276</v>
      </c>
      <c r="F284" t="inlineStr">
        <is>
          <t>VÄSTMANLANDS LÄN</t>
        </is>
      </c>
      <c r="G284" t="inlineStr">
        <is>
          <t>VÄSTERÅS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8727-2023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44978</v>
      </c>
      <c r="E285" s="1" t="n">
        <v>46276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16214-2023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45028</v>
      </c>
      <c r="E286" s="1" t="n">
        <v>46276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46276</v>
      </c>
      <c r="F287" t="inlineStr">
        <is>
          <t>VÄSTMANLANDS LÄN</t>
        </is>
      </c>
      <c r="G287" t="inlineStr">
        <is>
          <t>VÄSTERÅS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46276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46276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46276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46276</v>
      </c>
      <c r="F291" t="inlineStr">
        <is>
          <t>VÄSTMANLANDS LÄN</t>
        </is>
      </c>
      <c r="G291" t="inlineStr">
        <is>
          <t>VÄSTERÅS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44994</v>
      </c>
      <c r="E292" s="1" t="n">
        <v>46276</v>
      </c>
      <c r="F292" t="inlineStr">
        <is>
          <t>VÄSTMANLANDS LÄN</t>
        </is>
      </c>
      <c r="G292" t="inlineStr">
        <is>
          <t>VÄSTERÅS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46276</v>
      </c>
      <c r="F293" t="inlineStr">
        <is>
          <t>VÄSTMANLANDS LÄN</t>
        </is>
      </c>
      <c r="G293" t="inlineStr">
        <is>
          <t>VÄSTERÅS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46276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45282</v>
      </c>
      <c r="E295" s="1" t="n">
        <v>46276</v>
      </c>
      <c r="F295" t="inlineStr">
        <is>
          <t>VÄSTMANLANDS LÄN</t>
        </is>
      </c>
      <c r="G295" t="inlineStr">
        <is>
          <t>VÄSTERÅS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45296</v>
      </c>
      <c r="E296" s="1" t="n">
        <v>46276</v>
      </c>
      <c r="F296" t="inlineStr">
        <is>
          <t>VÄSTMANLANDS LÄN</t>
        </is>
      </c>
      <c r="G296" t="inlineStr">
        <is>
          <t>VÄSTERÅS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17808-2023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45037</v>
      </c>
      <c r="E297" s="1" t="n">
        <v>46276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46276</v>
      </c>
      <c r="F298" t="inlineStr">
        <is>
          <t>VÄSTMANLANDS LÄN</t>
        </is>
      </c>
      <c r="G298" t="inlineStr">
        <is>
          <t>VÄSTERÅS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73597-2021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44552</v>
      </c>
      <c r="E299" s="1" t="n">
        <v>46276</v>
      </c>
      <c r="F299" t="inlineStr">
        <is>
          <t>VÄSTMANLANDS LÄN</t>
        </is>
      </c>
      <c r="G299" t="inlineStr">
        <is>
          <t>VÄSTERÅS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46213</v>
      </c>
      <c r="E300" s="1" t="n">
        <v>46276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46215</v>
      </c>
      <c r="E301" s="1" t="n">
        <v>46276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46215</v>
      </c>
      <c r="E302" s="1" t="n">
        <v>46276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46215</v>
      </c>
      <c r="E303" s="1" t="n">
        <v>46276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46276</v>
      </c>
      <c r="F304" t="inlineStr">
        <is>
          <t>VÄSTMANLANDS LÄN</t>
        </is>
      </c>
      <c r="G304" t="inlineStr">
        <is>
          <t>VÄSTERÅS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22700-2024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45448</v>
      </c>
      <c r="E305" s="1" t="n">
        <v>46276</v>
      </c>
      <c r="F305" t="inlineStr">
        <is>
          <t>VÄSTMANLANDS LÄN</t>
        </is>
      </c>
      <c r="G305" t="inlineStr">
        <is>
          <t>VÄSTERÅS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46276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46276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46276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46276</v>
      </c>
      <c r="F309" t="inlineStr">
        <is>
          <t>VÄSTMANLANDS LÄN</t>
        </is>
      </c>
      <c r="G309" t="inlineStr">
        <is>
          <t>VÄSTERÅS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31232-2026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46217</v>
      </c>
      <c r="E310" s="1" t="n">
        <v>46276</v>
      </c>
      <c r="F310" t="inlineStr">
        <is>
          <t>VÄSTMANLANDS LÄN</t>
        </is>
      </c>
      <c r="G310" t="inlineStr">
        <is>
          <t>VÄSTERÅS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44657</v>
      </c>
      <c r="E311" s="1" t="n">
        <v>46276</v>
      </c>
      <c r="F311" t="inlineStr">
        <is>
          <t>VÄSTMANLANDS LÄN</t>
        </is>
      </c>
      <c r="G311" t="inlineStr">
        <is>
          <t>VÄSTERÅS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46265</v>
      </c>
      <c r="E312" s="1" t="n">
        <v>46276</v>
      </c>
      <c r="F312" t="inlineStr">
        <is>
          <t>VÄSTMANLANDS LÄN</t>
        </is>
      </c>
      <c r="G312" t="inlineStr">
        <is>
          <t>VÄSTERÅS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12289-2024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45378</v>
      </c>
      <c r="E313" s="1" t="n">
        <v>46276</v>
      </c>
      <c r="F313" t="inlineStr">
        <is>
          <t>VÄSTMANLANDS LÄN</t>
        </is>
      </c>
      <c r="G313" t="inlineStr">
        <is>
          <t>VÄSTERÅS</t>
        </is>
      </c>
      <c r="I313" t="n">
        <v>15.4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46265</v>
      </c>
      <c r="E314" s="1" t="n">
        <v>46276</v>
      </c>
      <c r="F314" t="inlineStr">
        <is>
          <t>VÄSTMANLANDS LÄN</t>
        </is>
      </c>
      <c r="G314" t="inlineStr">
        <is>
          <t>VÄSTERÅS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46276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46276</v>
      </c>
      <c r="F316" t="inlineStr">
        <is>
          <t>VÄSTMANLANDS LÄN</t>
        </is>
      </c>
      <c r="G316" t="inlineStr">
        <is>
          <t>VÄSTERÅS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46276</v>
      </c>
      <c r="F317" t="inlineStr">
        <is>
          <t>VÄSTMANLANDS LÄN</t>
        </is>
      </c>
      <c r="G317" t="inlineStr">
        <is>
          <t>VÄSTERÅS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46276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Kommuner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46272</v>
      </c>
      <c r="E319" s="1" t="n">
        <v>46276</v>
      </c>
      <c r="F319" t="inlineStr">
        <is>
          <t>VÄSTMANLANDS LÄN</t>
        </is>
      </c>
      <c r="G319" t="inlineStr">
        <is>
          <t>VÄSTERÅS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46274</v>
      </c>
      <c r="E320" s="1" t="n">
        <v>46276</v>
      </c>
      <c r="F320" t="inlineStr">
        <is>
          <t>VÄSTMANLANDS LÄN</t>
        </is>
      </c>
      <c r="G320" t="inlineStr">
        <is>
          <t>VÄSTERÅS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46276</v>
      </c>
      <c r="F321" t="inlineStr">
        <is>
          <t>VÄSTMANLANDS LÄN</t>
        </is>
      </c>
      <c r="G321" t="inlineStr">
        <is>
          <t>VÄSTERÅS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46276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46276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46276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46276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46276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46276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46276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2026-09-11T02:12:12Z</dcterms:created>
  <dcterms:modified xmlns:dcterms="http://purl.org/dc/terms/" xmlns:xsi="http://www.w3.org/2001/XMLSchema-instance" xsi:type="dcterms:W3CDTF">2026-09-11T02:12:13Z</dcterms:modified>
</cp:coreProperties>
</file>