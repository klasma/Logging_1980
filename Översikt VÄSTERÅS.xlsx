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46233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46233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t="n">
        <v>31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46233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46233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47228-2022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44852</v>
      </c>
      <c r="E19" s="1" t="n">
        <v>46233</v>
      </c>
      <c r="F19" t="inlineStr">
        <is>
          <t>VÄSTMANLANDS LÄN</t>
        </is>
      </c>
      <c r="G19" t="inlineStr">
        <is>
          <t>VÄSTERÅS</t>
        </is>
      </c>
      <c r="I19" t="n">
        <v>11.6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Vithornad barkskinnbagge
Xyletinus ater
Mindre märgborre
Fiskgjuse</t>
        </is>
      </c>
      <c r="W19">
        <f>HYPERLINK("https://klasma.github.io/Logging_1980/artfynd/A 47228-2022 artfynd.xlsx", "A 47228-2022")</f>
        <v/>
      </c>
      <c r="X19">
        <f>HYPERLINK("https://klasma.github.io/Logging_1980/kartor/A 47228-2022 karta.png", "A 47228-2022")</f>
        <v/>
      </c>
      <c r="Y19">
        <f>HYPERLINK("https://klasma.github.io/Logging_1980/kartor_geotiff/A 47228-2022 georefererad karta.tif", "A 47228-2022")</f>
        <v/>
      </c>
      <c r="AA19">
        <f>HYPERLINK("https://klasma.github.io/Logging_1980/klagomål/A 47228-2022 FSC-klagomål.docx", "A 47228-2022")</f>
        <v/>
      </c>
      <c r="AB19">
        <f>HYPERLINK("https://klasma.github.io/Logging_1980/klagomålsmail/A 47228-2022 FSC-klagomål mail.docx", "A 47228-2022")</f>
        <v/>
      </c>
      <c r="AC19">
        <f>HYPERLINK("https://klasma.github.io/Logging_1980/tillsyn/A 47228-2022 tillsynsbegäran.docx", "A 47228-2022")</f>
        <v/>
      </c>
      <c r="AD19">
        <f>HYPERLINK("https://klasma.github.io/Logging_1980/tillsynsmail/A 47228-2022 tillsynsbegäran mail.docx", "A 47228-2022")</f>
        <v/>
      </c>
      <c r="AE19">
        <f>HYPERLINK("https://klasma.github.io/Logging_1980/fåglar/A 47228-2022 prioriterade fågelarter.docx", "A 47228-2022")</f>
        <v/>
      </c>
    </row>
    <row r="20" ht="15" customHeight="1">
      <c r="A20" t="inlineStr">
        <is>
          <t>A 16581-2026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46233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17.5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12</v>
      </c>
      <c r="U20" t="n">
        <v>7</v>
      </c>
      <c r="V20" s="2" t="inlineStr">
        <is>
          <t>Grönpyrola
Spillkråka
Tjäder
Revlummer</t>
        </is>
      </c>
      <c r="W20">
        <f>HYPERLINK("https://klasma.github.io/Logging_1980/artfynd/A 16581-2026 artfynd.xlsx", "A 16581-2026")</f>
        <v/>
      </c>
      <c r="X20">
        <f>HYPERLINK("https://klasma.github.io/Logging_1980/kartor/A 16581-2026 karta.png", "A 16581-2026")</f>
        <v/>
      </c>
      <c r="Y20">
        <f>HYPERLINK("https://klasma.github.io/Logging_1980/kartor_geotiff/A 16581-2026 georefererad karta.tif", "A 16581-2026")</f>
        <v/>
      </c>
      <c r="AA20">
        <f>HYPERLINK("https://klasma.github.io/Logging_1980/klagomål/A 16581-2026 FSC-klagomål.docx", "A 16581-2026")</f>
        <v/>
      </c>
      <c r="AB20">
        <f>HYPERLINK("https://klasma.github.io/Logging_1980/klagomålsmail/A 16581-2026 FSC-klagomål mail.docx", "A 16581-2026")</f>
        <v/>
      </c>
      <c r="AC20">
        <f>HYPERLINK("https://klasma.github.io/Logging_1980/tillsyn/A 16581-2026 tillsynsbegäran.docx", "A 16581-2026")</f>
        <v/>
      </c>
      <c r="AD20">
        <f>HYPERLINK("https://klasma.github.io/Logging_1980/tillsynsmail/A 16581-2026 tillsynsbegäran mail.docx", "A 16581-2026")</f>
        <v/>
      </c>
      <c r="AE20">
        <f>HYPERLINK("https://klasma.github.io/Logging_1980/fåglar/A 16581-2026 prioriterade fågelarter.docx", "A 16581-2026")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46233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46233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46233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46233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46233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46233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46233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46233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46233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46233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46233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46233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46233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46233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46233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22452-2026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46155</v>
      </c>
      <c r="E36" s="1" t="n">
        <v>46233</v>
      </c>
      <c r="F36" t="inlineStr">
        <is>
          <t>VÄSTMANLANDS LÄN</t>
        </is>
      </c>
      <c r="G36" t="inlineStr">
        <is>
          <t>VÄSTERÅS</t>
        </is>
      </c>
      <c r="I36" t="n">
        <v>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Blåmossa
Kopparödla</t>
        </is>
      </c>
      <c r="W36">
        <f>HYPERLINK("https://klasma.github.io/Logging_1980/artfynd/A 22452-2026 artfynd.xlsx", "A 22452-2026")</f>
        <v/>
      </c>
      <c r="X36">
        <f>HYPERLINK("https://klasma.github.io/Logging_1980/kartor/A 22452-2026 karta.png", "A 22452-2026")</f>
        <v/>
      </c>
      <c r="Y36">
        <f>HYPERLINK("https://klasma.github.io/Logging_1980/kartor_geotiff/A 22452-2026 georefererad karta.tif", "A 22452-2026")</f>
        <v/>
      </c>
      <c r="AA36">
        <f>HYPERLINK("https://klasma.github.io/Logging_1980/klagomål/A 22452-2026 FSC-klagomål.docx", "A 22452-2026")</f>
        <v/>
      </c>
      <c r="AB36">
        <f>HYPERLINK("https://klasma.github.io/Logging_1980/klagomålsmail/A 22452-2026 FSC-klagomål mail.docx", "A 22452-2026")</f>
        <v/>
      </c>
      <c r="AC36">
        <f>HYPERLINK("https://klasma.github.io/Logging_1980/tillsyn/A 22452-2026 tillsynsbegäran.docx", "A 22452-2026")</f>
        <v/>
      </c>
      <c r="AD36">
        <f>HYPERLINK("https://klasma.github.io/Logging_1980/tillsynsmail/A 22452-2026 tillsynsbegäran mail.docx", "A 22452-2026")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46233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30759-2022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46233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5</v>
      </c>
      <c r="U38" t="n">
        <v>4</v>
      </c>
      <c r="V38" s="2" t="inlineStr">
        <is>
          <t>Gullklöver
Blåsippa</t>
        </is>
      </c>
      <c r="W38">
        <f>HYPERLINK("https://klasma.github.io/Logging_1980/artfynd/A 30759-2022 artfynd.xlsx", "A 30759-2022")</f>
        <v/>
      </c>
      <c r="X38">
        <f>HYPERLINK("https://klasma.github.io/Logging_1980/kartor/A 30759-2022 karta.png", "A 30759-2022")</f>
        <v/>
      </c>
      <c r="Y38">
        <f>HYPERLINK("https://klasma.github.io/Logging_1980/kartor_geotiff/A 30759-2022 georefererad karta.tif", "A 30759-2022")</f>
        <v/>
      </c>
      <c r="AA38">
        <f>HYPERLINK("https://klasma.github.io/Logging_1980/klagomål/A 30759-2022 FSC-klagomål.docx", "A 30759-2022")</f>
        <v/>
      </c>
      <c r="AB38">
        <f>HYPERLINK("https://klasma.github.io/Logging_1980/klagomålsmail/A 30759-2022 FSC-klagomål mail.docx", "A 30759-2022")</f>
        <v/>
      </c>
      <c r="AC38">
        <f>HYPERLINK("https://klasma.github.io/Logging_1980/tillsyn/A 30759-2022 tillsynsbegäran.docx", "A 30759-2022")</f>
        <v/>
      </c>
      <c r="AD38">
        <f>HYPERLINK("https://klasma.github.io/Logging_1980/tillsynsmail/A 30759-2022 tillsynsbegäran mail.docx", "A 30759-2022")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46233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46233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46233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46233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46233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16374-2025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45751</v>
      </c>
      <c r="E44" s="1" t="n">
        <v>46233</v>
      </c>
      <c r="F44" t="inlineStr">
        <is>
          <t>VÄSTMANLANDS LÄN</t>
        </is>
      </c>
      <c r="G44" t="inlineStr">
        <is>
          <t>VÄSTERÅS</t>
        </is>
      </c>
      <c r="I44" t="n">
        <v>0.6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Lönnlav</t>
        </is>
      </c>
      <c r="W44">
        <f>HYPERLINK("https://klasma.github.io/Logging_1980/artfynd/A 16374-2025 artfynd.xlsx", "A 16374-2025")</f>
        <v/>
      </c>
      <c r="X44">
        <f>HYPERLINK("https://klasma.github.io/Logging_1980/kartor/A 16374-2025 karta.png", "A 16374-2025")</f>
        <v/>
      </c>
      <c r="Y44">
        <f>HYPERLINK("https://klasma.github.io/Logging_1980/kartor_geotiff/A 16374-2025 georefererad karta.tif", "A 16374-2025")</f>
        <v/>
      </c>
      <c r="AA44">
        <f>HYPERLINK("https://klasma.github.io/Logging_1980/klagomål/A 16374-2025 FSC-klagomål.docx", "A 16374-2025")</f>
        <v/>
      </c>
      <c r="AB44">
        <f>HYPERLINK("https://klasma.github.io/Logging_1980/klagomålsmail/A 16374-2025 FSC-klagomål mail.docx", "A 16374-2025")</f>
        <v/>
      </c>
      <c r="AC44">
        <f>HYPERLINK("https://klasma.github.io/Logging_1980/tillsyn/A 16374-2025 tillsynsbegäran.docx", "A 16374-2025")</f>
        <v/>
      </c>
      <c r="AD44">
        <f>HYPERLINK("https://klasma.github.io/Logging_1980/tillsynsmail/A 16374-2025 tillsynsbegäran mail.docx", "A 16374-2025")</f>
        <v/>
      </c>
    </row>
    <row r="45" ht="15" customHeight="1">
      <c r="A45" t="inlineStr">
        <is>
          <t>A 29787-2023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45107</v>
      </c>
      <c r="E45" s="1" t="n">
        <v>46233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Kopparödla</t>
        </is>
      </c>
      <c r="W45">
        <f>HYPERLINK("https://klasma.github.io/Logging_1980/artfynd/A 29787-2023 artfynd.xlsx", "A 29787-2023")</f>
        <v/>
      </c>
      <c r="X45">
        <f>HYPERLINK("https://klasma.github.io/Logging_1980/kartor/A 29787-2023 karta.png", "A 29787-2023")</f>
        <v/>
      </c>
      <c r="Y45">
        <f>HYPERLINK("https://klasma.github.io/Logging_1980/kartor_geotiff/A 29787-2023 georefererad karta.tif", "A 29787-2023")</f>
        <v/>
      </c>
      <c r="AA45">
        <f>HYPERLINK("https://klasma.github.io/Logging_1980/klagomål/A 29787-2023 FSC-klagomål.docx", "A 29787-2023")</f>
        <v/>
      </c>
      <c r="AB45">
        <f>HYPERLINK("https://klasma.github.io/Logging_1980/klagomålsmail/A 29787-2023 FSC-klagomål mail.docx", "A 29787-2023")</f>
        <v/>
      </c>
      <c r="AC45">
        <f>HYPERLINK("https://klasma.github.io/Logging_1980/tillsyn/A 29787-2023 tillsynsbegäran.docx", "A 29787-2023")</f>
        <v/>
      </c>
      <c r="AD45">
        <f>HYPERLINK("https://klasma.github.io/Logging_1980/tillsynsmail/A 29787-2023 tillsynsbegäran mail.docx", "A 29787-2023")</f>
        <v/>
      </c>
    </row>
    <row r="46" ht="15" customHeight="1">
      <c r="A46" t="inlineStr">
        <is>
          <t>A 61059-2024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45645</v>
      </c>
      <c r="E46" s="1" t="n">
        <v>46233</v>
      </c>
      <c r="F46" t="inlineStr">
        <is>
          <t>VÄSTMANLANDS LÄN</t>
        </is>
      </c>
      <c r="G46" t="inlineStr">
        <is>
          <t>VÄSTERÅS</t>
        </is>
      </c>
      <c r="I46" t="n">
        <v>4.7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Bandad skulderbock</t>
        </is>
      </c>
      <c r="W46">
        <f>HYPERLINK("https://klasma.github.io/Logging_1980/artfynd/A 61059-2024 artfynd.xlsx", "A 61059-2024")</f>
        <v/>
      </c>
      <c r="X46">
        <f>HYPERLINK("https://klasma.github.io/Logging_1980/kartor/A 61059-2024 karta.png", "A 61059-2024")</f>
        <v/>
      </c>
      <c r="Y46">
        <f>HYPERLINK("https://klasma.github.io/Logging_1980/kartor_geotiff/A 61059-2024 georefererad karta.tif", "A 61059-2024")</f>
        <v/>
      </c>
      <c r="AA46">
        <f>HYPERLINK("https://klasma.github.io/Logging_1980/klagomål/A 61059-2024 FSC-klagomål.docx", "A 61059-2024")</f>
        <v/>
      </c>
      <c r="AB46">
        <f>HYPERLINK("https://klasma.github.io/Logging_1980/klagomålsmail/A 61059-2024 FSC-klagomål mail.docx", "A 61059-2024")</f>
        <v/>
      </c>
      <c r="AC46">
        <f>HYPERLINK("https://klasma.github.io/Logging_1980/tillsyn/A 61059-2024 tillsynsbegäran.docx", "A 61059-2024")</f>
        <v/>
      </c>
      <c r="AD46">
        <f>HYPERLINK("https://klasma.github.io/Logging_1980/tillsynsmail/A 61059-2024 tillsynsbegäran mail.docx", "A 61059-2024")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46233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59144-2025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45988</v>
      </c>
      <c r="E48" s="1" t="n">
        <v>46233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6.3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HYPERLINK("https://klasma.github.io/Logging_1980/artfynd/A 59144-2025 artfynd.xlsx", "A 59144-2025")</f>
        <v/>
      </c>
      <c r="X48">
        <f>HYPERLINK("https://klasma.github.io/Logging_1980/kartor/A 59144-2025 karta.png", "A 59144-2025")</f>
        <v/>
      </c>
      <c r="Y48">
        <f>HYPERLINK("https://klasma.github.io/Logging_1980/kartor_geotiff/A 59144-2025 georefererad karta.tif", "A 59144-2025")</f>
        <v/>
      </c>
      <c r="AA48">
        <f>HYPERLINK("https://klasma.github.io/Logging_1980/klagomål/A 59144-2025 FSC-klagomål.docx", "A 59144-2025")</f>
        <v/>
      </c>
      <c r="AB48">
        <f>HYPERLINK("https://klasma.github.io/Logging_1980/klagomålsmail/A 59144-2025 FSC-klagomål mail.docx", "A 59144-2025")</f>
        <v/>
      </c>
      <c r="AC48">
        <f>HYPERLINK("https://klasma.github.io/Logging_1980/tillsyn/A 59144-2025 tillsynsbegäran.docx", "A 59144-2025")</f>
        <v/>
      </c>
      <c r="AD48">
        <f>HYPERLINK("https://klasma.github.io/Logging_1980/tillsynsmail/A 59144-2025 tillsynsbegäran mail.docx", "A 59144-2025")</f>
        <v/>
      </c>
    </row>
    <row r="49" ht="15" customHeight="1">
      <c r="A49" t="inlineStr">
        <is>
          <t>A 59140-2025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46233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HYPERLINK("https://klasma.github.io/Logging_1980/artfynd/A 59140-2025 artfynd.xlsx", "A 59140-2025")</f>
        <v/>
      </c>
      <c r="X49">
        <f>HYPERLINK("https://klasma.github.io/Logging_1980/kartor/A 59140-2025 karta.png", "A 59140-2025")</f>
        <v/>
      </c>
      <c r="Y49">
        <f>HYPERLINK("https://klasma.github.io/Logging_1980/kartor_geotiff/A 59140-2025 georefererad karta.tif", "A 59140-2025")</f>
        <v/>
      </c>
      <c r="AA49">
        <f>HYPERLINK("https://klasma.github.io/Logging_1980/klagomål/A 59140-2025 FSC-klagomål.docx", "A 59140-2025")</f>
        <v/>
      </c>
      <c r="AB49">
        <f>HYPERLINK("https://klasma.github.io/Logging_1980/klagomålsmail/A 59140-2025 FSC-klagomål mail.docx", "A 59140-2025")</f>
        <v/>
      </c>
      <c r="AC49">
        <f>HYPERLINK("https://klasma.github.io/Logging_1980/tillsyn/A 59140-2025 tillsynsbegäran.docx", "A 59140-2025")</f>
        <v/>
      </c>
      <c r="AD49">
        <f>HYPERLINK("https://klasma.github.io/Logging_1980/tillsynsmail/A 59140-2025 tillsynsbegäran mail.docx", "A 59140-2025")</f>
        <v/>
      </c>
      <c r="AE49">
        <f>HYPERLINK("https://klasma.github.io/Logging_1980/fåglar/A 59140-2025 prioriterade fågelarter.docx", "A 59140-2025")</f>
        <v/>
      </c>
    </row>
    <row r="50" ht="15" customHeight="1">
      <c r="A50" t="inlineStr">
        <is>
          <t>A 12058-2026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46233</v>
      </c>
      <c r="F50" t="inlineStr">
        <is>
          <t>VÄSTMANLANDS LÄN</t>
        </is>
      </c>
      <c r="G50" t="inlineStr">
        <is>
          <t>VÄSTERÅS</t>
        </is>
      </c>
      <c r="I50" t="n">
        <v>3.9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Törnskata</t>
        </is>
      </c>
      <c r="W50">
        <f>HYPERLINK("https://klasma.github.io/Logging_1980/artfynd/A 12058-2026 artfynd.xlsx", "A 12058-2026")</f>
        <v/>
      </c>
      <c r="X50">
        <f>HYPERLINK("https://klasma.github.io/Logging_1980/kartor/A 12058-2026 karta.png", "A 12058-2026")</f>
        <v/>
      </c>
      <c r="Y50">
        <f>HYPERLINK("https://klasma.github.io/Logging_1980/kartor_geotiff/A 12058-2026 georefererad karta.tif", "A 12058-2026")</f>
        <v/>
      </c>
      <c r="AA50">
        <f>HYPERLINK("https://klasma.github.io/Logging_1980/klagomål/A 12058-2026 FSC-klagomål.docx", "A 12058-2026")</f>
        <v/>
      </c>
      <c r="AB50">
        <f>HYPERLINK("https://klasma.github.io/Logging_1980/klagomålsmail/A 12058-2026 FSC-klagomål mail.docx", "A 12058-2026")</f>
        <v/>
      </c>
      <c r="AC50">
        <f>HYPERLINK("https://klasma.github.io/Logging_1980/tillsyn/A 12058-2026 tillsynsbegäran.docx", "A 12058-2026")</f>
        <v/>
      </c>
      <c r="AD50">
        <f>HYPERLINK("https://klasma.github.io/Logging_1980/tillsynsmail/A 12058-2026 tillsynsbegäran mail.docx", "A 12058-2026")</f>
        <v/>
      </c>
      <c r="AE50">
        <f>HYPERLINK("https://klasma.github.io/Logging_1980/fåglar/A 12058-2026 prioriterade fågelarter.docx", "A 12058-2026")</f>
        <v/>
      </c>
    </row>
    <row r="51" ht="15" customHeight="1">
      <c r="A51" t="inlineStr">
        <is>
          <t>A 58395-2022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46233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HYPERLINK("https://klasma.github.io/Logging_1980/artfynd/A 58395-2022 artfynd.xlsx", "A 58395-2022")</f>
        <v/>
      </c>
      <c r="X51">
        <f>HYPERLINK("https://klasma.github.io/Logging_1980/kartor/A 58395-2022 karta.png", "A 58395-2022")</f>
        <v/>
      </c>
      <c r="Y51">
        <f>HYPERLINK("https://klasma.github.io/Logging_1980/kartor_geotiff/A 58395-2022 georefererad karta.tif", "A 58395-2022")</f>
        <v/>
      </c>
      <c r="AA51">
        <f>HYPERLINK("https://klasma.github.io/Logging_1980/klagomål/A 58395-2022 FSC-klagomål.docx", "A 58395-2022")</f>
        <v/>
      </c>
      <c r="AB51">
        <f>HYPERLINK("https://klasma.github.io/Logging_1980/klagomålsmail/A 58395-2022 FSC-klagomål mail.docx", "A 58395-2022")</f>
        <v/>
      </c>
      <c r="AC51">
        <f>HYPERLINK("https://klasma.github.io/Logging_1980/tillsyn/A 58395-2022 tillsynsbegäran.docx", "A 58395-2022")</f>
        <v/>
      </c>
      <c r="AD51">
        <f>HYPERLINK("https://klasma.github.io/Logging_1980/tillsynsmail/A 58395-2022 tillsynsbegäran mail.docx", "A 58395-2022")</f>
        <v/>
      </c>
    </row>
    <row r="52" ht="15" customHeight="1">
      <c r="A52" t="inlineStr">
        <is>
          <t>A 59520-2024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46233</v>
      </c>
      <c r="F52" t="inlineStr">
        <is>
          <t>VÄSTMANLANDS LÄN</t>
        </is>
      </c>
      <c r="G52" t="inlineStr">
        <is>
          <t>VÄSTERÅS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Brunklöver</t>
        </is>
      </c>
      <c r="W52">
        <f>HYPERLINK("https://klasma.github.io/Logging_1980/artfynd/A 59520-2024 artfynd.xlsx", "A 59520-2024")</f>
        <v/>
      </c>
      <c r="X52">
        <f>HYPERLINK("https://klasma.github.io/Logging_1980/kartor/A 59520-2024 karta.png", "A 59520-2024")</f>
        <v/>
      </c>
      <c r="Y52">
        <f>HYPERLINK("https://klasma.github.io/Logging_1980/kartor_geotiff/A 59520-2024 georefererad karta.tif", "A 59520-2024")</f>
        <v/>
      </c>
      <c r="AA52">
        <f>HYPERLINK("https://klasma.github.io/Logging_1980/klagomål/A 59520-2024 FSC-klagomål.docx", "A 59520-2024")</f>
        <v/>
      </c>
      <c r="AB52">
        <f>HYPERLINK("https://klasma.github.io/Logging_1980/klagomålsmail/A 59520-2024 FSC-klagomål mail.docx", "A 59520-2024")</f>
        <v/>
      </c>
      <c r="AC52">
        <f>HYPERLINK("https://klasma.github.io/Logging_1980/tillsyn/A 59520-2024 tillsynsbegäran.docx", "A 59520-2024")</f>
        <v/>
      </c>
      <c r="AD52">
        <f>HYPERLINK("https://klasma.github.io/Logging_1980/tillsynsmail/A 59520-2024 tillsynsbegäran mail.docx", "A 59520-2024")</f>
        <v/>
      </c>
    </row>
    <row r="53" ht="15" customHeight="1">
      <c r="A53" t="inlineStr">
        <is>
          <t>A 46189-2023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45196</v>
      </c>
      <c r="E53" s="1" t="n">
        <v>46233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HYPERLINK("https://klasma.github.io/Logging_1980/artfynd/A 46189-2023 artfynd.xlsx", "A 46189-2023")</f>
        <v/>
      </c>
      <c r="X53">
        <f>HYPERLINK("https://klasma.github.io/Logging_1980/kartor/A 46189-2023 karta.png", "A 46189-2023")</f>
        <v/>
      </c>
      <c r="Y53">
        <f>HYPERLINK("https://klasma.github.io/Logging_1980/kartor_geotiff/A 46189-2023 georefererad karta.tif", "A 46189-2023")</f>
        <v/>
      </c>
      <c r="AA53">
        <f>HYPERLINK("https://klasma.github.io/Logging_1980/klagomål/A 46189-2023 FSC-klagomål.docx", "A 46189-2023")</f>
        <v/>
      </c>
      <c r="AB53">
        <f>HYPERLINK("https://klasma.github.io/Logging_1980/klagomålsmail/A 46189-2023 FSC-klagomål mail.docx", "A 46189-2023")</f>
        <v/>
      </c>
      <c r="AC53">
        <f>HYPERLINK("https://klasma.github.io/Logging_1980/tillsyn/A 46189-2023 tillsynsbegäran.docx", "A 46189-2023")</f>
        <v/>
      </c>
      <c r="AD53">
        <f>HYPERLINK("https://klasma.github.io/Logging_1980/tillsynsmail/A 46189-2023 tillsynsbegäran mail.docx", "A 46189-2023")</f>
        <v/>
      </c>
    </row>
    <row r="54" ht="15" customHeight="1">
      <c r="A54" t="inlineStr">
        <is>
          <t>A 1594-2023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44935</v>
      </c>
      <c r="E54" s="1" t="n">
        <v>46233</v>
      </c>
      <c r="F54" t="inlineStr">
        <is>
          <t>VÄSTMANLANDS LÄN</t>
        </is>
      </c>
      <c r="G54" t="inlineStr">
        <is>
          <t>VÄSTERÅS</t>
        </is>
      </c>
      <c r="I54" t="n">
        <v>10.9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HYPERLINK("https://klasma.github.io/Logging_1980/artfynd/A 1594-2023 artfynd.xlsx", "A 1594-2023")</f>
        <v/>
      </c>
      <c r="X54">
        <f>HYPERLINK("https://klasma.github.io/Logging_1980/kartor/A 1594-2023 karta.png", "A 1594-2023")</f>
        <v/>
      </c>
      <c r="Y54">
        <f>HYPERLINK("https://klasma.github.io/Logging_1980/kartor_geotiff/A 1594-2023 georefererad karta.tif", "A 1594-2023")</f>
        <v/>
      </c>
      <c r="AA54">
        <f>HYPERLINK("https://klasma.github.io/Logging_1980/klagomål/A 1594-2023 FSC-klagomål.docx", "A 1594-2023")</f>
        <v/>
      </c>
      <c r="AB54">
        <f>HYPERLINK("https://klasma.github.io/Logging_1980/klagomålsmail/A 1594-2023 FSC-klagomål mail.docx", "A 1594-2023")</f>
        <v/>
      </c>
      <c r="AC54">
        <f>HYPERLINK("https://klasma.github.io/Logging_1980/tillsyn/A 1594-2023 tillsynsbegäran.docx", "A 1594-2023")</f>
        <v/>
      </c>
      <c r="AD54">
        <f>HYPERLINK("https://klasma.github.io/Logging_1980/tillsynsmail/A 1594-2023 tillsynsbegäran mail.docx", "A 1594-2023")</f>
        <v/>
      </c>
      <c r="AE54">
        <f>HYPERLINK("https://klasma.github.io/Logging_1980/fåglar/A 1594-2023 prioriterade fågelarter.docx", "A 1594-2023")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46233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22378-2026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46233</v>
      </c>
      <c r="F56" t="inlineStr">
        <is>
          <t>VÄSTMANLANDS LÄN</t>
        </is>
      </c>
      <c r="G56" t="inlineStr">
        <is>
          <t>VÄSTERÅS</t>
        </is>
      </c>
      <c r="I56" t="n">
        <v>5.6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HYPERLINK("https://klasma.github.io/Logging_1980/artfynd/A 22378-2026 artfynd.xlsx", "A 22378-2026")</f>
        <v/>
      </c>
      <c r="X56">
        <f>HYPERLINK("https://klasma.github.io/Logging_1980/kartor/A 22378-2026 karta.png", "A 22378-2026")</f>
        <v/>
      </c>
      <c r="Y56">
        <f>HYPERLINK("https://klasma.github.io/Logging_1980/kartor_geotiff/A 22378-2026 georefererad karta.tif", "A 22378-2026")</f>
        <v/>
      </c>
      <c r="AA56">
        <f>HYPERLINK("https://klasma.github.io/Logging_1980/klagomål/A 22378-2026 FSC-klagomål.docx", "A 22378-2026")</f>
        <v/>
      </c>
      <c r="AB56">
        <f>HYPERLINK("https://klasma.github.io/Logging_1980/klagomålsmail/A 22378-2026 FSC-klagomål mail.docx", "A 22378-2026")</f>
        <v/>
      </c>
      <c r="AC56">
        <f>HYPERLINK("https://klasma.github.io/Logging_1980/tillsyn/A 22378-2026 tillsynsbegäran.docx", "A 22378-2026")</f>
        <v/>
      </c>
      <c r="AD56">
        <f>HYPERLINK("https://klasma.github.io/Logging_1980/tillsynsmail/A 22378-2026 tillsynsbegäran mail.docx", "A 22378-2026")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46233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46233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50193-2022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46233</v>
      </c>
      <c r="F59" t="inlineStr">
        <is>
          <t>VÄSTMANLANDS LÄN</t>
        </is>
      </c>
      <c r="G59" t="inlineStr">
        <is>
          <t>VÄSTERÅS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Vedticka</t>
        </is>
      </c>
      <c r="W59">
        <f>HYPERLINK("https://klasma.github.io/Logging_1980/artfynd/A 50193-2022 artfynd.xlsx", "A 50193-2022")</f>
        <v/>
      </c>
      <c r="X59">
        <f>HYPERLINK("https://klasma.github.io/Logging_1980/kartor/A 50193-2022 karta.png", "A 50193-2022")</f>
        <v/>
      </c>
      <c r="Y59">
        <f>HYPERLINK("https://klasma.github.io/Logging_1980/kartor_geotiff/A 50193-2022 georefererad karta.tif", "A 50193-2022")</f>
        <v/>
      </c>
      <c r="AA59">
        <f>HYPERLINK("https://klasma.github.io/Logging_1980/klagomål/A 50193-2022 FSC-klagomål.docx", "A 50193-2022")</f>
        <v/>
      </c>
      <c r="AB59">
        <f>HYPERLINK("https://klasma.github.io/Logging_1980/klagomålsmail/A 50193-2022 FSC-klagomål mail.docx", "A 50193-2022")</f>
        <v/>
      </c>
      <c r="AC59">
        <f>HYPERLINK("https://klasma.github.io/Logging_1980/tillsyn/A 50193-2022 tillsynsbegäran.docx", "A 50193-2022")</f>
        <v/>
      </c>
      <c r="AD59">
        <f>HYPERLINK("https://klasma.github.io/Logging_1980/tillsynsmail/A 50193-2022 tillsynsbegäran mail.docx", "A 50193-2022")</f>
        <v/>
      </c>
    </row>
    <row r="60" ht="15" customHeight="1">
      <c r="A60" t="inlineStr">
        <is>
          <t>A 31976-2026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46232</v>
      </c>
      <c r="E60" s="1" t="n">
        <v>46233</v>
      </c>
      <c r="F60" t="inlineStr">
        <is>
          <t>VÄSTMANLANDS LÄN</t>
        </is>
      </c>
      <c r="G60" t="inlineStr">
        <is>
          <t>VÄSTERÅS</t>
        </is>
      </c>
      <c r="H60" t="inlineStr">
        <is>
          <t>Övriga Aktiebolag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Rostfläck</t>
        </is>
      </c>
      <c r="W60">
        <f>HYPERLINK("https://klasma.github.io/Logging_1980/artfynd/A 31976-2026 artfynd.xlsx", "A 31976-2026")</f>
        <v/>
      </c>
      <c r="X60">
        <f>HYPERLINK("https://klasma.github.io/Logging_1980/kartor/A 31976-2026 karta.png", "A 31976-2026")</f>
        <v/>
      </c>
      <c r="Y60">
        <f>HYPERLINK("https://klasma.github.io/Logging_1980/kartor_geotiff/A 31976-2026 georefererad karta.tif", "A 31976-2026")</f>
        <v/>
      </c>
      <c r="AA60">
        <f>HYPERLINK("https://klasma.github.io/Logging_1980/klagomål/A 31976-2026 FSC-klagomål.docx", "A 31976-2026")</f>
        <v/>
      </c>
      <c r="AB60">
        <f>HYPERLINK("https://klasma.github.io/Logging_1980/klagomålsmail/A 31976-2026 FSC-klagomål mail.docx", "A 31976-2026")</f>
        <v/>
      </c>
      <c r="AC60">
        <f>HYPERLINK("https://klasma.github.io/Logging_1980/tillsyn/A 31976-2026 tillsynsbegäran.docx", "A 31976-2026")</f>
        <v/>
      </c>
      <c r="AD60">
        <f>HYPERLINK("https://klasma.github.io/Logging_1980/tillsynsmail/A 31976-2026 tillsynsbegäran mail.docx", "A 31976-2026")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46233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46233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Mistel</t>
        </is>
      </c>
      <c r="W62">
        <f>HYPERLINK("https://klasma.github.io/Logging_1980/artfynd/A 61254-2023 artfynd.xlsx", "A 61254-2023")</f>
        <v/>
      </c>
      <c r="X62">
        <f>HYPERLINK("https://klasma.github.io/Logging_1980/kartor/A 61254-2023 karta.png", "A 61254-2023")</f>
        <v/>
      </c>
      <c r="Y62">
        <f>HYPERLINK("https://klasma.github.io/Logging_1980/kartor_geotiff/A 61254-2023 georefererad karta.tif", "A 61254-2023")</f>
        <v/>
      </c>
      <c r="AA62">
        <f>HYPERLINK("https://klasma.github.io/Logging_1980/klagomål/A 61254-2023 FSC-klagomål.docx", "A 61254-2023")</f>
        <v/>
      </c>
      <c r="AB62">
        <f>HYPERLINK("https://klasma.github.io/Logging_1980/klagomålsmail/A 61254-2023 FSC-klagomål mail.docx", "A 61254-2023")</f>
        <v/>
      </c>
      <c r="AC62">
        <f>HYPERLINK("https://klasma.github.io/Logging_1980/tillsyn/A 61254-2023 tillsynsbegäran.docx", "A 61254-2023")</f>
        <v/>
      </c>
      <c r="AD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46233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46233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46233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46233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46233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46233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46233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46233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46233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46233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46233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46233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46233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46233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46233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46233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46233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46233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46233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46233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46233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46233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46233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46233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46233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46233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46233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46233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46233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46233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46233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46233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46233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51219-2023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46233</v>
      </c>
      <c r="F96" t="inlineStr">
        <is>
          <t>VÄSTMANLANDS LÄN</t>
        </is>
      </c>
      <c r="G96" t="inlineStr">
        <is>
          <t>VÄSTERÅS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18457-2023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45042</v>
      </c>
      <c r="E97" s="1" t="n">
        <v>46233</v>
      </c>
      <c r="F97" t="inlineStr">
        <is>
          <t>VÄSTMANLANDS LÄN</t>
        </is>
      </c>
      <c r="G97" t="inlineStr">
        <is>
          <t>VÄSTERÅS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67353-2021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46233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7.6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46233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46233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45400</v>
      </c>
      <c r="E101" s="1" t="n">
        <v>46233</v>
      </c>
      <c r="F101" t="inlineStr">
        <is>
          <t>VÄSTMANLANDS LÄN</t>
        </is>
      </c>
      <c r="G101" t="inlineStr">
        <is>
          <t>VÄSTERÅS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46233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45296</v>
      </c>
      <c r="E103" s="1" t="n">
        <v>46233</v>
      </c>
      <c r="F103" t="inlineStr">
        <is>
          <t>VÄSTMANLANDS LÄN</t>
        </is>
      </c>
      <c r="G103" t="inlineStr">
        <is>
          <t>VÄSTERÅS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45456</v>
      </c>
      <c r="E104" s="1" t="n">
        <v>46233</v>
      </c>
      <c r="F104" t="inlineStr">
        <is>
          <t>VÄSTMANLANDS LÄN</t>
        </is>
      </c>
      <c r="G104" t="inlineStr">
        <is>
          <t>VÄSTERÅS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46233</v>
      </c>
      <c r="F105" t="inlineStr">
        <is>
          <t>VÄSTMANLANDS LÄN</t>
        </is>
      </c>
      <c r="G105" t="inlineStr">
        <is>
          <t>VÄSTERÅS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39127-2022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44816</v>
      </c>
      <c r="E106" s="1" t="n">
        <v>46233</v>
      </c>
      <c r="F106" t="inlineStr">
        <is>
          <t>VÄSTMANLANDS LÄN</t>
        </is>
      </c>
      <c r="G106" t="inlineStr">
        <is>
          <t>VÄSTERÅS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46233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46233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46233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46233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24572-2023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45083</v>
      </c>
      <c r="E111" s="1" t="n">
        <v>46233</v>
      </c>
      <c r="F111" t="inlineStr">
        <is>
          <t>VÄSTMANLANDS LÄN</t>
        </is>
      </c>
      <c r="G111" t="inlineStr">
        <is>
          <t>VÄSTERÅS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46233</v>
      </c>
      <c r="F112" t="inlineStr">
        <is>
          <t>VÄSTMANLANDS LÄN</t>
        </is>
      </c>
      <c r="G112" t="inlineStr">
        <is>
          <t>VÄSTERÅS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46233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64208-2023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45279</v>
      </c>
      <c r="E114" s="1" t="n">
        <v>46233</v>
      </c>
      <c r="F114" t="inlineStr">
        <is>
          <t>VÄSTMANLANDS LÄN</t>
        </is>
      </c>
      <c r="G114" t="inlineStr">
        <is>
          <t>VÄSTERÅS</t>
        </is>
      </c>
      <c r="I114" t="n">
        <v>13.9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18482-2023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45042</v>
      </c>
      <c r="E115" s="1" t="n">
        <v>46233</v>
      </c>
      <c r="F115" t="inlineStr">
        <is>
          <t>VÄSTMANLANDS LÄN</t>
        </is>
      </c>
      <c r="G115" t="inlineStr">
        <is>
          <t>VÄSTERÅS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55676-2023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45232</v>
      </c>
      <c r="E116" s="1" t="n">
        <v>46233</v>
      </c>
      <c r="F116" t="inlineStr">
        <is>
          <t>VÄSTMANLANDS LÄN</t>
        </is>
      </c>
      <c r="G116" t="inlineStr">
        <is>
          <t>VÄSTERÅS</t>
        </is>
      </c>
      <c r="H116" t="inlineStr">
        <is>
          <t>Övriga Aktiebolag</t>
        </is>
      </c>
      <c r="I116" t="n">
        <v>37.9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46233</v>
      </c>
      <c r="F117" t="inlineStr">
        <is>
          <t>VÄSTMANLANDS LÄN</t>
        </is>
      </c>
      <c r="G117" t="inlineStr">
        <is>
          <t>VÄSTERÅS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44908</v>
      </c>
      <c r="E118" s="1" t="n">
        <v>46233</v>
      </c>
      <c r="F118" t="inlineStr">
        <is>
          <t>VÄSTMANLANDS LÄN</t>
        </is>
      </c>
      <c r="G118" t="inlineStr">
        <is>
          <t>VÄSTERÅS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46233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70642-2021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46233</v>
      </c>
      <c r="F120" t="inlineStr">
        <is>
          <t>VÄSTMANLANDS LÄN</t>
        </is>
      </c>
      <c r="G120" t="inlineStr">
        <is>
          <t>VÄSTERÅS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45235</v>
      </c>
      <c r="E121" s="1" t="n">
        <v>46233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37.8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46233</v>
      </c>
      <c r="F122" t="inlineStr">
        <is>
          <t>VÄSTMANLANDS LÄN</t>
        </is>
      </c>
      <c r="G122" t="inlineStr">
        <is>
          <t>VÄSTERÅS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46233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44899</v>
      </c>
      <c r="E124" s="1" t="n">
        <v>46233</v>
      </c>
      <c r="F124" t="inlineStr">
        <is>
          <t>VÄSTMANLANDS LÄN</t>
        </is>
      </c>
      <c r="G124" t="inlineStr">
        <is>
          <t>VÄSTERÅS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46233</v>
      </c>
      <c r="F125" t="inlineStr">
        <is>
          <t>VÄSTMANLANDS LÄN</t>
        </is>
      </c>
      <c r="G125" t="inlineStr">
        <is>
          <t>VÄSTERÅS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38822-2025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45887</v>
      </c>
      <c r="E126" s="1" t="n">
        <v>46233</v>
      </c>
      <c r="F126" t="inlineStr">
        <is>
          <t>VÄSTMANLANDS LÄN</t>
        </is>
      </c>
      <c r="G126" t="inlineStr">
        <is>
          <t>VÄSTERÅS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54537-2024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45617</v>
      </c>
      <c r="E127" s="1" t="n">
        <v>46233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46233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46233</v>
      </c>
      <c r="F129" t="inlineStr">
        <is>
          <t>VÄSTMANLANDS LÄN</t>
        </is>
      </c>
      <c r="G129" t="inlineStr">
        <is>
          <t>VÄSTERÅS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60797-2022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44914</v>
      </c>
      <c r="E130" s="1" t="n">
        <v>46233</v>
      </c>
      <c r="F130" t="inlineStr">
        <is>
          <t>VÄSTMANLANDS LÄN</t>
        </is>
      </c>
      <c r="G130" t="inlineStr">
        <is>
          <t>VÄSTERÅS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46233</v>
      </c>
      <c r="F131" t="inlineStr">
        <is>
          <t>VÄSTMANLANDS LÄN</t>
        </is>
      </c>
      <c r="G131" t="inlineStr">
        <is>
          <t>VÄSTERÅS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44636</v>
      </c>
      <c r="E132" s="1" t="n">
        <v>46233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Kommuner</t>
        </is>
      </c>
      <c r="I132" t="n">
        <v>12.9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44636</v>
      </c>
      <c r="E133" s="1" t="n">
        <v>46233</v>
      </c>
      <c r="F133" t="inlineStr">
        <is>
          <t>VÄSTMANLANDS LÄN</t>
        </is>
      </c>
      <c r="G133" t="inlineStr">
        <is>
          <t>VÄSTERÅS</t>
        </is>
      </c>
      <c r="H133" t="inlineStr">
        <is>
          <t>Kommuner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45833</v>
      </c>
      <c r="E134" s="1" t="n">
        <v>46233</v>
      </c>
      <c r="F134" t="inlineStr">
        <is>
          <t>VÄSTMANLANDS LÄN</t>
        </is>
      </c>
      <c r="G134" t="inlineStr">
        <is>
          <t>VÄSTERÅS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45908</v>
      </c>
      <c r="E135" s="1" t="n">
        <v>46233</v>
      </c>
      <c r="F135" t="inlineStr">
        <is>
          <t>VÄSTMANLANDS LÄN</t>
        </is>
      </c>
      <c r="G135" t="inlineStr">
        <is>
          <t>VÄSTERÅS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45908</v>
      </c>
      <c r="E136" s="1" t="n">
        <v>46233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46233</v>
      </c>
      <c r="F137" t="inlineStr">
        <is>
          <t>VÄSTMANLANDS LÄN</t>
        </is>
      </c>
      <c r="G137" t="inlineStr">
        <is>
          <t>VÄSTERÅS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42659-2021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44428</v>
      </c>
      <c r="E138" s="1" t="n">
        <v>46233</v>
      </c>
      <c r="F138" t="inlineStr">
        <is>
          <t>VÄSTMANLANDS LÄN</t>
        </is>
      </c>
      <c r="G138" t="inlineStr">
        <is>
          <t>VÄSTERÅS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17808-2023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45037</v>
      </c>
      <c r="E139" s="1" t="n">
        <v>46233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Sveaskog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45516</v>
      </c>
      <c r="E140" s="1" t="n">
        <v>46233</v>
      </c>
      <c r="F140" t="inlineStr">
        <is>
          <t>VÄSTMANLANDS LÄN</t>
        </is>
      </c>
      <c r="G140" t="inlineStr">
        <is>
          <t>VÄSTERÅS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44999</v>
      </c>
      <c r="E141" s="1" t="n">
        <v>46233</v>
      </c>
      <c r="F141" t="inlineStr">
        <is>
          <t>VÄSTMANLANDS LÄN</t>
        </is>
      </c>
      <c r="G141" t="inlineStr">
        <is>
          <t>VÄSTERÅS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44977</v>
      </c>
      <c r="E142" s="1" t="n">
        <v>46233</v>
      </c>
      <c r="F142" t="inlineStr">
        <is>
          <t>VÄSTMANLANDS LÄN</t>
        </is>
      </c>
      <c r="G142" t="inlineStr">
        <is>
          <t>VÄSTERÅS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46233</v>
      </c>
      <c r="F143" t="inlineStr">
        <is>
          <t>VÄSTMANLANDS LÄN</t>
        </is>
      </c>
      <c r="G143" t="inlineStr">
        <is>
          <t>VÄSTERÅS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44880</v>
      </c>
      <c r="E144" s="1" t="n">
        <v>46233</v>
      </c>
      <c r="F144" t="inlineStr">
        <is>
          <t>VÄSTMANLANDS LÄN</t>
        </is>
      </c>
      <c r="G144" t="inlineStr">
        <is>
          <t>VÄSTERÅS</t>
        </is>
      </c>
      <c r="I144" t="n">
        <v>6.2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31361-2025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46233</v>
      </c>
      <c r="F145" t="inlineStr">
        <is>
          <t>VÄSTMANLANDS LÄN</t>
        </is>
      </c>
      <c r="G145" t="inlineStr">
        <is>
          <t>VÄSTERÅS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22978-2022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44717</v>
      </c>
      <c r="E146" s="1" t="n">
        <v>46233</v>
      </c>
      <c r="F146" t="inlineStr">
        <is>
          <t>VÄSTMANLANDS LÄN</t>
        </is>
      </c>
      <c r="G146" t="inlineStr">
        <is>
          <t>VÄSTERÅS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31578-2025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45833</v>
      </c>
      <c r="E147" s="1" t="n">
        <v>46233</v>
      </c>
      <c r="F147" t="inlineStr">
        <is>
          <t>VÄSTMANLANDS LÄN</t>
        </is>
      </c>
      <c r="G147" t="inlineStr">
        <is>
          <t>VÄSTERÅS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44662</v>
      </c>
      <c r="E148" s="1" t="n">
        <v>46233</v>
      </c>
      <c r="F148" t="inlineStr">
        <is>
          <t>VÄSTMANLANDS LÄN</t>
        </is>
      </c>
      <c r="G148" t="inlineStr">
        <is>
          <t>VÄSTERÅS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46233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63851-2021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44509</v>
      </c>
      <c r="E150" s="1" t="n">
        <v>46233</v>
      </c>
      <c r="F150" t="inlineStr">
        <is>
          <t>VÄSTMANLANDS LÄN</t>
        </is>
      </c>
      <c r="G150" t="inlineStr">
        <is>
          <t>VÄSTERÅS</t>
        </is>
      </c>
      <c r="I150" t="n">
        <v>11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46233</v>
      </c>
      <c r="F151" t="inlineStr">
        <is>
          <t>VÄSTMANLANDS LÄN</t>
        </is>
      </c>
      <c r="G151" t="inlineStr">
        <is>
          <t>VÄSTERÅS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45639</v>
      </c>
      <c r="E152" s="1" t="n">
        <v>46233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45832</v>
      </c>
      <c r="E153" s="1" t="n">
        <v>46233</v>
      </c>
      <c r="F153" t="inlineStr">
        <is>
          <t>VÄSTMANLANDS LÄN</t>
        </is>
      </c>
      <c r="G153" t="inlineStr">
        <is>
          <t>VÄSTERÅS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46233</v>
      </c>
      <c r="F154" t="inlineStr">
        <is>
          <t>VÄSTMANLANDS LÄN</t>
        </is>
      </c>
      <c r="G154" t="inlineStr">
        <is>
          <t>VÄSTERÅS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56945-2024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45628</v>
      </c>
      <c r="E155" s="1" t="n">
        <v>46233</v>
      </c>
      <c r="F155" t="inlineStr">
        <is>
          <t>VÄSTMANLANDS LÄN</t>
        </is>
      </c>
      <c r="G155" t="inlineStr">
        <is>
          <t>VÄSTERÅS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46233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46233</v>
      </c>
      <c r="F157" t="inlineStr">
        <is>
          <t>VÄSTMANLANDS LÄN</t>
        </is>
      </c>
      <c r="G157" t="inlineStr">
        <is>
          <t>VÄSTERÅS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46233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7797-2026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46062</v>
      </c>
      <c r="E159" s="1" t="n">
        <v>46233</v>
      </c>
      <c r="F159" t="inlineStr">
        <is>
          <t>VÄSTMANLANDS LÄN</t>
        </is>
      </c>
      <c r="G159" t="inlineStr">
        <is>
          <t>VÄSTERÅS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46233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46233</v>
      </c>
      <c r="F161" t="inlineStr">
        <is>
          <t>VÄSTMANLANDS LÄN</t>
        </is>
      </c>
      <c r="G161" t="inlineStr">
        <is>
          <t>VÄSTERÅS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45027</v>
      </c>
      <c r="E162" s="1" t="n">
        <v>46233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46233</v>
      </c>
      <c r="F163" t="inlineStr">
        <is>
          <t>VÄSTMANLANDS LÄN</t>
        </is>
      </c>
      <c r="G163" t="inlineStr">
        <is>
          <t>VÄSTERÅS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52268-2025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46233</v>
      </c>
      <c r="F164" t="inlineStr">
        <is>
          <t>VÄSTMANLANDS LÄN</t>
        </is>
      </c>
      <c r="G164" t="inlineStr">
        <is>
          <t>VÄSTERÅS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41219-2022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44826</v>
      </c>
      <c r="E165" s="1" t="n">
        <v>46233</v>
      </c>
      <c r="F165" t="inlineStr">
        <is>
          <t>VÄSTMANLANDS LÄN</t>
        </is>
      </c>
      <c r="G165" t="inlineStr">
        <is>
          <t>VÄSTERÅS</t>
        </is>
      </c>
      <c r="I165" t="n">
        <v>6.6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46233</v>
      </c>
      <c r="F166" t="inlineStr">
        <is>
          <t>VÄSTMANLANDS LÄN</t>
        </is>
      </c>
      <c r="G166" t="inlineStr">
        <is>
          <t>VÄSTERÅS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46233</v>
      </c>
      <c r="F167" t="inlineStr">
        <is>
          <t>VÄSTMANLANDS LÄN</t>
        </is>
      </c>
      <c r="G167" t="inlineStr">
        <is>
          <t>VÄSTERÅS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52270-2025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46233</v>
      </c>
      <c r="F168" t="inlineStr">
        <is>
          <t>VÄSTMANLANDS LÄN</t>
        </is>
      </c>
      <c r="G168" t="inlineStr">
        <is>
          <t>VÄSTERÅS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44999</v>
      </c>
      <c r="E169" s="1" t="n">
        <v>46233</v>
      </c>
      <c r="F169" t="inlineStr">
        <is>
          <t>VÄSTMANLANDS LÄN</t>
        </is>
      </c>
      <c r="G169" t="inlineStr">
        <is>
          <t>VÄSTERÅS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8871-2026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46233</v>
      </c>
      <c r="F170" t="inlineStr">
        <is>
          <t>VÄSTMANLANDS LÄN</t>
        </is>
      </c>
      <c r="G170" t="inlineStr">
        <is>
          <t>VÄSTERÅS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45607</v>
      </c>
      <c r="E171" s="1" t="n">
        <v>46233</v>
      </c>
      <c r="F171" t="inlineStr">
        <is>
          <t>VÄSTMANLANDS LÄN</t>
        </is>
      </c>
      <c r="G171" t="inlineStr">
        <is>
          <t>VÄSTERÅS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44582</v>
      </c>
      <c r="E172" s="1" t="n">
        <v>46233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45019</v>
      </c>
      <c r="E173" s="1" t="n">
        <v>46233</v>
      </c>
      <c r="F173" t="inlineStr">
        <is>
          <t>VÄSTMANLANDS LÄN</t>
        </is>
      </c>
      <c r="G173" t="inlineStr">
        <is>
          <t>VÄSTERÅS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46233</v>
      </c>
      <c r="F174" t="inlineStr">
        <is>
          <t>VÄSTMANLANDS LÄN</t>
        </is>
      </c>
      <c r="G174" t="inlineStr">
        <is>
          <t>VÄSTERÅS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45705</v>
      </c>
      <c r="E175" s="1" t="n">
        <v>46233</v>
      </c>
      <c r="F175" t="inlineStr">
        <is>
          <t>VÄSTMANLANDS LÄN</t>
        </is>
      </c>
      <c r="G175" t="inlineStr">
        <is>
          <t>VÄSTERÅS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46233</v>
      </c>
      <c r="F176" t="inlineStr">
        <is>
          <t>VÄSTMANLANDS LÄN</t>
        </is>
      </c>
      <c r="G176" t="inlineStr">
        <is>
          <t>VÄSTERÅS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11072-2026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46079</v>
      </c>
      <c r="E177" s="1" t="n">
        <v>46233</v>
      </c>
      <c r="F177" t="inlineStr">
        <is>
          <t>VÄSTMANLANDS LÄN</t>
        </is>
      </c>
      <c r="G177" t="inlineStr">
        <is>
          <t>VÄSTERÅS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45979</v>
      </c>
      <c r="E178" s="1" t="n">
        <v>46233</v>
      </c>
      <c r="F178" t="inlineStr">
        <is>
          <t>VÄSTMANLANDS LÄN</t>
        </is>
      </c>
      <c r="G178" t="inlineStr">
        <is>
          <t>VÄSTERÅS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46233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52027-2025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45952</v>
      </c>
      <c r="E180" s="1" t="n">
        <v>46233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statliga verk och myndigheter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11745-2026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46233</v>
      </c>
      <c r="F181" t="inlineStr">
        <is>
          <t>VÄSTMANLANDS LÄN</t>
        </is>
      </c>
      <c r="G181" t="inlineStr">
        <is>
          <t>VÄSTERÅS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46233</v>
      </c>
      <c r="F182" t="inlineStr">
        <is>
          <t>VÄSTMANLANDS LÄN</t>
        </is>
      </c>
      <c r="G182" t="inlineStr">
        <is>
          <t>VÄSTERÅS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46078</v>
      </c>
      <c r="E183" s="1" t="n">
        <v>46233</v>
      </c>
      <c r="F183" t="inlineStr">
        <is>
          <t>VÄSTMANLANDS LÄN</t>
        </is>
      </c>
      <c r="G183" t="inlineStr">
        <is>
          <t>VÄSTERÅS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44594</v>
      </c>
      <c r="E184" s="1" t="n">
        <v>46233</v>
      </c>
      <c r="F184" t="inlineStr">
        <is>
          <t>VÄSTMANLANDS LÄN</t>
        </is>
      </c>
      <c r="G184" t="inlineStr">
        <is>
          <t>VÄSTERÅS</t>
        </is>
      </c>
      <c r="I184" t="n">
        <v>20.3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46084</v>
      </c>
      <c r="E185" s="1" t="n">
        <v>46233</v>
      </c>
      <c r="F185" t="inlineStr">
        <is>
          <t>VÄSTMANLANDS LÄN</t>
        </is>
      </c>
      <c r="G185" t="inlineStr">
        <is>
          <t>VÄSTERÅS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44840</v>
      </c>
      <c r="E186" s="1" t="n">
        <v>46233</v>
      </c>
      <c r="F186" t="inlineStr">
        <is>
          <t>VÄSTMANLANDS LÄN</t>
        </is>
      </c>
      <c r="G186" t="inlineStr">
        <is>
          <t>VÄSTERÅS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46233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46233</v>
      </c>
      <c r="F188" t="inlineStr">
        <is>
          <t>VÄSTMANLANDS LÄN</t>
        </is>
      </c>
      <c r="G188" t="inlineStr">
        <is>
          <t>VÄSTERÅS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46233</v>
      </c>
      <c r="F189" t="inlineStr">
        <is>
          <t>VÄSTMANLANDS LÄN</t>
        </is>
      </c>
      <c r="G189" t="inlineStr">
        <is>
          <t>VÄSTERÅS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45735</v>
      </c>
      <c r="E190" s="1" t="n">
        <v>46233</v>
      </c>
      <c r="F190" t="inlineStr">
        <is>
          <t>VÄSTMANLANDS LÄN</t>
        </is>
      </c>
      <c r="G190" t="inlineStr">
        <is>
          <t>VÄSTERÅS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46233</v>
      </c>
      <c r="F191" t="inlineStr">
        <is>
          <t>VÄSTMANLANDS LÄN</t>
        </is>
      </c>
      <c r="G191" t="inlineStr">
        <is>
          <t>VÄSTERÅS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11324-2026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46080</v>
      </c>
      <c r="E192" s="1" t="n">
        <v>46233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46080</v>
      </c>
      <c r="E193" s="1" t="n">
        <v>46233</v>
      </c>
      <c r="F193" t="inlineStr">
        <is>
          <t>VÄSTMANLANDS LÄN</t>
        </is>
      </c>
      <c r="G193" t="inlineStr">
        <is>
          <t>VÄSTERÅS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56532-2022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44893</v>
      </c>
      <c r="E194" s="1" t="n">
        <v>46233</v>
      </c>
      <c r="F194" t="inlineStr">
        <is>
          <t>VÄSTMANLANDS LÄN</t>
        </is>
      </c>
      <c r="G194" t="inlineStr">
        <is>
          <t>VÄSTERÅS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44874</v>
      </c>
      <c r="E195" s="1" t="n">
        <v>46233</v>
      </c>
      <c r="F195" t="inlineStr">
        <is>
          <t>VÄSTMANLANDS LÄN</t>
        </is>
      </c>
      <c r="G195" t="inlineStr">
        <is>
          <t>VÄSTERÅS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45223</v>
      </c>
      <c r="E196" s="1" t="n">
        <v>46233</v>
      </c>
      <c r="F196" t="inlineStr">
        <is>
          <t>VÄSTMANLANDS LÄN</t>
        </is>
      </c>
      <c r="G196" t="inlineStr">
        <is>
          <t>VÄSTERÅS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46233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30096-2023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46233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64207-2023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45279</v>
      </c>
      <c r="E199" s="1" t="n">
        <v>46233</v>
      </c>
      <c r="F199" t="inlineStr">
        <is>
          <t>VÄSTMANLANDS LÄN</t>
        </is>
      </c>
      <c r="G199" t="inlineStr">
        <is>
          <t>VÄSTERÅS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51572-2023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46233</v>
      </c>
      <c r="F200" t="inlineStr">
        <is>
          <t>VÄSTMANLANDS LÄN</t>
        </is>
      </c>
      <c r="G200" t="inlineStr">
        <is>
          <t>VÄSTERÅS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46233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Allmännings- och besparingsskogar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46233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46233</v>
      </c>
      <c r="F203" t="inlineStr">
        <is>
          <t>VÄSTMANLANDS LÄN</t>
        </is>
      </c>
      <c r="G203" t="inlineStr">
        <is>
          <t>VÄSTERÅS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46233</v>
      </c>
      <c r="F204" t="inlineStr">
        <is>
          <t>VÄSTMANLANDS LÄN</t>
        </is>
      </c>
      <c r="G204" t="inlineStr">
        <is>
          <t>VÄSTERÅS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44901</v>
      </c>
      <c r="E205" s="1" t="n">
        <v>46233</v>
      </c>
      <c r="F205" t="inlineStr">
        <is>
          <t>VÄSTMANLANDS LÄN</t>
        </is>
      </c>
      <c r="G205" t="inlineStr">
        <is>
          <t>VÄSTERÅS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46233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16579-2026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46112</v>
      </c>
      <c r="E207" s="1" t="n">
        <v>46233</v>
      </c>
      <c r="F207" t="inlineStr">
        <is>
          <t>VÄSTMANLANDS LÄN</t>
        </is>
      </c>
      <c r="G207" t="inlineStr">
        <is>
          <t>VÄSTERÅS</t>
        </is>
      </c>
      <c r="H207" t="inlineStr">
        <is>
          <t>Sveaskog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16583-2026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46112</v>
      </c>
      <c r="E208" s="1" t="n">
        <v>46233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73601-2021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46233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46233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17499-2026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46120</v>
      </c>
      <c r="E211" s="1" t="n">
        <v>46233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Allmännings- och besparingsskogar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32053-2023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45119</v>
      </c>
      <c r="E212" s="1" t="n">
        <v>46233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46233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45457</v>
      </c>
      <c r="E214" s="1" t="n">
        <v>46233</v>
      </c>
      <c r="F214" t="inlineStr">
        <is>
          <t>VÄSTMANLANDS LÄN</t>
        </is>
      </c>
      <c r="G214" t="inlineStr">
        <is>
          <t>VÄSTERÅS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35700-2024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45532</v>
      </c>
      <c r="E215" s="1" t="n">
        <v>46233</v>
      </c>
      <c r="F215" t="inlineStr">
        <is>
          <t>VÄSTMANLANDS LÄN</t>
        </is>
      </c>
      <c r="G215" t="inlineStr">
        <is>
          <t>VÄSTERÅS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74314-2021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46233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46233</v>
      </c>
      <c r="F217" t="inlineStr">
        <is>
          <t>VÄSTMANLANDS LÄN</t>
        </is>
      </c>
      <c r="G217" t="inlineStr">
        <is>
          <t>VÄSTERÅS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45218</v>
      </c>
      <c r="E218" s="1" t="n">
        <v>46233</v>
      </c>
      <c r="F218" t="inlineStr">
        <is>
          <t>VÄSTMANLANDS LÄN</t>
        </is>
      </c>
      <c r="G218" t="inlineStr">
        <is>
          <t>VÄSTERÅS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46135</v>
      </c>
      <c r="E219" s="1" t="n">
        <v>46233</v>
      </c>
      <c r="F219" t="inlineStr">
        <is>
          <t>VÄSTMANLANDS LÄN</t>
        </is>
      </c>
      <c r="G219" t="inlineStr">
        <is>
          <t>VÄSTERÅS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12258-2022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44637</v>
      </c>
      <c r="E220" s="1" t="n">
        <v>46233</v>
      </c>
      <c r="F220" t="inlineStr">
        <is>
          <t>VÄSTMANLANDS LÄN</t>
        </is>
      </c>
      <c r="G220" t="inlineStr">
        <is>
          <t>VÄSTERÅS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16214-2023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45028</v>
      </c>
      <c r="E221" s="1" t="n">
        <v>46233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38436-2023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45160</v>
      </c>
      <c r="E222" s="1" t="n">
        <v>46233</v>
      </c>
      <c r="F222" t="inlineStr">
        <is>
          <t>VÄSTMANLANDS LÄN</t>
        </is>
      </c>
      <c r="G222" t="inlineStr">
        <is>
          <t>VÄSTERÅS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45929</v>
      </c>
      <c r="E223" s="1" t="n">
        <v>46233</v>
      </c>
      <c r="F223" t="inlineStr">
        <is>
          <t>VÄSTMANLANDS LÄN</t>
        </is>
      </c>
      <c r="G223" t="inlineStr">
        <is>
          <t>VÄSTERÅS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19927-2026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46233</v>
      </c>
      <c r="F224" t="inlineStr">
        <is>
          <t>VÄSTMANLANDS LÄN</t>
        </is>
      </c>
      <c r="G224" t="inlineStr">
        <is>
          <t>VÄSTERÅS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46233</v>
      </c>
      <c r="F225" t="inlineStr">
        <is>
          <t>VÄSTMANLANDS LÄN</t>
        </is>
      </c>
      <c r="G225" t="inlineStr">
        <is>
          <t>VÄSTERÅS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45174</v>
      </c>
      <c r="E226" s="1" t="n">
        <v>46233</v>
      </c>
      <c r="F226" t="inlineStr">
        <is>
          <t>VÄSTMANLANDS LÄN</t>
        </is>
      </c>
      <c r="G226" t="inlineStr">
        <is>
          <t>VÄSTERÅS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32998-2023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45125</v>
      </c>
      <c r="E227" s="1" t="n">
        <v>46233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18465-2023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46233</v>
      </c>
      <c r="F228" t="inlineStr">
        <is>
          <t>VÄSTMANLANDS LÄN</t>
        </is>
      </c>
      <c r="G228" t="inlineStr">
        <is>
          <t>VÄSTERÅS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73994-2021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44556</v>
      </c>
      <c r="E229" s="1" t="n">
        <v>46233</v>
      </c>
      <c r="F229" t="inlineStr">
        <is>
          <t>VÄSTMANLANDS LÄN</t>
        </is>
      </c>
      <c r="G229" t="inlineStr">
        <is>
          <t>VÄSTERÅS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56902-2024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45628</v>
      </c>
      <c r="E230" s="1" t="n">
        <v>46233</v>
      </c>
      <c r="F230" t="inlineStr">
        <is>
          <t>VÄSTMANLANDS LÄN</t>
        </is>
      </c>
      <c r="G230" t="inlineStr">
        <is>
          <t>VÄSTERÅS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73597-2021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46233</v>
      </c>
      <c r="F231" t="inlineStr">
        <is>
          <t>VÄSTMANLANDS LÄN</t>
        </is>
      </c>
      <c r="G231" t="inlineStr">
        <is>
          <t>VÄSTERÅS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44645</v>
      </c>
      <c r="E232" s="1" t="n">
        <v>46233</v>
      </c>
      <c r="F232" t="inlineStr">
        <is>
          <t>VÄSTMANLANDS LÄN</t>
        </is>
      </c>
      <c r="G232" t="inlineStr">
        <is>
          <t>VÄSTERÅS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31618-2024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45506</v>
      </c>
      <c r="E233" s="1" t="n">
        <v>46233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Kommuner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67350-2021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44523</v>
      </c>
      <c r="E234" s="1" t="n">
        <v>46233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Övriga Aktiebolag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44636</v>
      </c>
      <c r="E235" s="1" t="n">
        <v>46233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44606</v>
      </c>
      <c r="E236" s="1" t="n">
        <v>46233</v>
      </c>
      <c r="F236" t="inlineStr">
        <is>
          <t>VÄSTMANLANDS LÄN</t>
        </is>
      </c>
      <c r="G236" t="inlineStr">
        <is>
          <t>VÄSTERÅS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46233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10496-2022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44623</v>
      </c>
      <c r="E238" s="1" t="n">
        <v>46233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44658</v>
      </c>
      <c r="E239" s="1" t="n">
        <v>46233</v>
      </c>
      <c r="F239" t="inlineStr">
        <is>
          <t>VÄSTMANLANDS LÄN</t>
        </is>
      </c>
      <c r="G239" t="inlineStr">
        <is>
          <t>VÄSTERÅS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44635</v>
      </c>
      <c r="E240" s="1" t="n">
        <v>46233</v>
      </c>
      <c r="F240" t="inlineStr">
        <is>
          <t>VÄSTMANLANDS LÄN</t>
        </is>
      </c>
      <c r="G240" t="inlineStr">
        <is>
          <t>VÄSTERÅS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11989-2022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44635</v>
      </c>
      <c r="E241" s="1" t="n">
        <v>46233</v>
      </c>
      <c r="F241" t="inlineStr">
        <is>
          <t>VÄSTMANLANDS LÄN</t>
        </is>
      </c>
      <c r="G241" t="inlineStr">
        <is>
          <t>VÄSTERÅS</t>
        </is>
      </c>
      <c r="I241" t="n">
        <v>12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8357-2022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44610</v>
      </c>
      <c r="E242" s="1" t="n">
        <v>46233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11950-2022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44635</v>
      </c>
      <c r="E243" s="1" t="n">
        <v>46233</v>
      </c>
      <c r="F243" t="inlineStr">
        <is>
          <t>VÄSTMANLANDS LÄN</t>
        </is>
      </c>
      <c r="G243" t="inlineStr">
        <is>
          <t>VÄSTERÅS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21761-2022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44708</v>
      </c>
      <c r="E244" s="1" t="n">
        <v>46233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Sveaskog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46233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42257-2023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45180</v>
      </c>
      <c r="E246" s="1" t="n">
        <v>46233</v>
      </c>
      <c r="F246" t="inlineStr">
        <is>
          <t>VÄSTMANLANDS LÄN</t>
        </is>
      </c>
      <c r="G246" t="inlineStr">
        <is>
          <t>VÄSTERÅS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21758-2026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46149</v>
      </c>
      <c r="E247" s="1" t="n">
        <v>46233</v>
      </c>
      <c r="F247" t="inlineStr">
        <is>
          <t>VÄSTMANLANDS LÄN</t>
        </is>
      </c>
      <c r="G247" t="inlineStr">
        <is>
          <t>VÄSTERÅS</t>
        </is>
      </c>
      <c r="I247" t="n">
        <v>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44680</v>
      </c>
      <c r="E248" s="1" t="n">
        <v>46233</v>
      </c>
      <c r="F248" t="inlineStr">
        <is>
          <t>VÄSTMANLANDS LÄN</t>
        </is>
      </c>
      <c r="G248" t="inlineStr">
        <is>
          <t>VÄSTERÅS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27722-2022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44743</v>
      </c>
      <c r="E249" s="1" t="n">
        <v>46233</v>
      </c>
      <c r="F249" t="inlineStr">
        <is>
          <t>VÄSTMANLANDS LÄN</t>
        </is>
      </c>
      <c r="G249" t="inlineStr">
        <is>
          <t>VÄSTERÅS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36641-2023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46233</v>
      </c>
      <c r="F250" t="inlineStr">
        <is>
          <t>VÄSTMANLANDS LÄN</t>
        </is>
      </c>
      <c r="G250" t="inlineStr">
        <is>
          <t>VÄSTERÅS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45219</v>
      </c>
      <c r="E251" s="1" t="n">
        <v>46233</v>
      </c>
      <c r="F251" t="inlineStr">
        <is>
          <t>VÄSTMANLANDS LÄN</t>
        </is>
      </c>
      <c r="G251" t="inlineStr">
        <is>
          <t>VÄSTERÅS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46154</v>
      </c>
      <c r="E252" s="1" t="n">
        <v>46233</v>
      </c>
      <c r="F252" t="inlineStr">
        <is>
          <t>VÄSTMANLANDS LÄN</t>
        </is>
      </c>
      <c r="G252" t="inlineStr">
        <is>
          <t>VÄSTERÅS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15889-2022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44664</v>
      </c>
      <c r="E253" s="1" t="n">
        <v>46233</v>
      </c>
      <c r="F253" t="inlineStr">
        <is>
          <t>VÄSTMANLANDS LÄN</t>
        </is>
      </c>
      <c r="G253" t="inlineStr">
        <is>
          <t>VÄSTERÅS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28126-2026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46233</v>
      </c>
      <c r="F254" t="inlineStr">
        <is>
          <t>VÄSTMANLANDS LÄN</t>
        </is>
      </c>
      <c r="G254" t="inlineStr">
        <is>
          <t>VÄSTERÅS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22291-2026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46233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22294-2026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46154</v>
      </c>
      <c r="E256" s="1" t="n">
        <v>46233</v>
      </c>
      <c r="F256" t="inlineStr">
        <is>
          <t>VÄSTMANLANDS LÄN</t>
        </is>
      </c>
      <c r="G256" t="inlineStr">
        <is>
          <t>VÄSTERÅS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51230-2023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46233</v>
      </c>
      <c r="F257" t="inlineStr">
        <is>
          <t>VÄSTMANLANDS LÄN</t>
        </is>
      </c>
      <c r="G257" t="inlineStr">
        <is>
          <t>VÄSTERÅS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22370-2026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46154</v>
      </c>
      <c r="E258" s="1" t="n">
        <v>46233</v>
      </c>
      <c r="F258" t="inlineStr">
        <is>
          <t>VÄSTMANLANDS LÄN</t>
        </is>
      </c>
      <c r="G258" t="inlineStr">
        <is>
          <t>VÄSTERÅS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23765-2022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44722</v>
      </c>
      <c r="E259" s="1" t="n">
        <v>46233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46233</v>
      </c>
      <c r="F260" t="inlineStr">
        <is>
          <t>VÄSTMANLANDS LÄN</t>
        </is>
      </c>
      <c r="G260" t="inlineStr">
        <is>
          <t>VÄSTERÅS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28341-2026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46196</v>
      </c>
      <c r="E261" s="1" t="n">
        <v>46233</v>
      </c>
      <c r="F261" t="inlineStr">
        <is>
          <t>VÄSTMANLANDS LÄN</t>
        </is>
      </c>
      <c r="G261" t="inlineStr">
        <is>
          <t>VÄSTERÅS</t>
        </is>
      </c>
      <c r="I261" t="n">
        <v>14.1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44739</v>
      </c>
      <c r="E262" s="1" t="n">
        <v>46233</v>
      </c>
      <c r="F262" t="inlineStr">
        <is>
          <t>VÄSTMANLANDS LÄN</t>
        </is>
      </c>
      <c r="G262" t="inlineStr">
        <is>
          <t>VÄSTERÅS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64202-2023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45279</v>
      </c>
      <c r="E263" s="1" t="n">
        <v>46233</v>
      </c>
      <c r="F263" t="inlineStr">
        <is>
          <t>VÄSTMANLANDS LÄN</t>
        </is>
      </c>
      <c r="G263" t="inlineStr">
        <is>
          <t>VÄSTERÅS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64793-2023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45282</v>
      </c>
      <c r="E264" s="1" t="n">
        <v>46233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46233</v>
      </c>
      <c r="F265" t="inlineStr">
        <is>
          <t>VÄSTMANLANDS LÄN</t>
        </is>
      </c>
      <c r="G265" t="inlineStr">
        <is>
          <t>VÄSTERÅS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44648</v>
      </c>
      <c r="E266" s="1" t="n">
        <v>46233</v>
      </c>
      <c r="F266" t="inlineStr">
        <is>
          <t>VÄSTMANLANDS LÄN</t>
        </is>
      </c>
      <c r="G266" t="inlineStr">
        <is>
          <t>VÄSTERÅS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46116-2022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44847</v>
      </c>
      <c r="E267" s="1" t="n">
        <v>46233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46233</v>
      </c>
      <c r="F268" t="inlineStr">
        <is>
          <t>VÄSTMANLANDS LÄN</t>
        </is>
      </c>
      <c r="G268" t="inlineStr">
        <is>
          <t>VÄSTERÅS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44961</v>
      </c>
      <c r="E269" s="1" t="n">
        <v>46233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23347-2026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46162</v>
      </c>
      <c r="E270" s="1" t="n">
        <v>46233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67352-2021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44523</v>
      </c>
      <c r="E271" s="1" t="n">
        <v>46233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Övriga Aktiebolag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46233</v>
      </c>
      <c r="F272" t="inlineStr">
        <is>
          <t>VÄSTMANLANDS LÄN</t>
        </is>
      </c>
      <c r="G272" t="inlineStr">
        <is>
          <t>VÄSTERÅS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22700-2024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45448</v>
      </c>
      <c r="E273" s="1" t="n">
        <v>46233</v>
      </c>
      <c r="F273" t="inlineStr">
        <is>
          <t>VÄSTMANLANDS LÄN</t>
        </is>
      </c>
      <c r="G273" t="inlineStr">
        <is>
          <t>VÄSTERÅS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23497-2026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46163</v>
      </c>
      <c r="E274" s="1" t="n">
        <v>46233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44657</v>
      </c>
      <c r="E275" s="1" t="n">
        <v>46233</v>
      </c>
      <c r="F275" t="inlineStr">
        <is>
          <t>VÄSTMANLANDS LÄN</t>
        </is>
      </c>
      <c r="G275" t="inlineStr">
        <is>
          <t>VÄSTERÅS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44755</v>
      </c>
      <c r="E276" s="1" t="n">
        <v>46233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11137-2023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44987</v>
      </c>
      <c r="E277" s="1" t="n">
        <v>46233</v>
      </c>
      <c r="F277" t="inlineStr">
        <is>
          <t>VÄSTMANLANDS LÄN</t>
        </is>
      </c>
      <c r="G277" t="inlineStr">
        <is>
          <t>VÄSTERÅS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45019</v>
      </c>
      <c r="E278" s="1" t="n">
        <v>46233</v>
      </c>
      <c r="F278" t="inlineStr">
        <is>
          <t>VÄSTMANLANDS LÄN</t>
        </is>
      </c>
      <c r="G278" t="inlineStr">
        <is>
          <t>VÄSTERÅS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44610</v>
      </c>
      <c r="E279" s="1" t="n">
        <v>46233</v>
      </c>
      <c r="F279" t="inlineStr">
        <is>
          <t>VÄSTMANLANDS LÄN</t>
        </is>
      </c>
      <c r="G279" t="inlineStr">
        <is>
          <t>VÄSTERÅS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45443</v>
      </c>
      <c r="E280" s="1" t="n">
        <v>46233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46233</v>
      </c>
      <c r="F281" t="inlineStr">
        <is>
          <t>VÄSTMANLANDS LÄN</t>
        </is>
      </c>
      <c r="G281" t="inlineStr">
        <is>
          <t>VÄSTERÅS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39817-2024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46233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Kyrkan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24262-2026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46169</v>
      </c>
      <c r="E283" s="1" t="n">
        <v>46233</v>
      </c>
      <c r="F283" t="inlineStr">
        <is>
          <t>VÄSTMANLANDS LÄN</t>
        </is>
      </c>
      <c r="G283" t="inlineStr">
        <is>
          <t>VÄSTERÅS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24266-2026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46169</v>
      </c>
      <c r="E284" s="1" t="n">
        <v>46233</v>
      </c>
      <c r="F284" t="inlineStr">
        <is>
          <t>VÄSTMANLANDS LÄN</t>
        </is>
      </c>
      <c r="G284" t="inlineStr">
        <is>
          <t>VÄSTERÅS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45579</v>
      </c>
      <c r="E285" s="1" t="n">
        <v>46233</v>
      </c>
      <c r="F285" t="inlineStr">
        <is>
          <t>VÄSTMANLANDS LÄN</t>
        </is>
      </c>
      <c r="G285" t="inlineStr">
        <is>
          <t>VÄSTERÅS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24321-2026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46169</v>
      </c>
      <c r="E286" s="1" t="n">
        <v>46233</v>
      </c>
      <c r="F286" t="inlineStr">
        <is>
          <t>VÄSTMANLANDS LÄN</t>
        </is>
      </c>
      <c r="G286" t="inlineStr">
        <is>
          <t>VÄSTERÅS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46233</v>
      </c>
      <c r="F287" t="inlineStr">
        <is>
          <t>VÄSTMANLANDS LÄN</t>
        </is>
      </c>
      <c r="G287" t="inlineStr">
        <is>
          <t>VÄSTERÅS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46233</v>
      </c>
      <c r="F288" t="inlineStr">
        <is>
          <t>VÄSTMANLANDS LÄN</t>
        </is>
      </c>
      <c r="G288" t="inlineStr">
        <is>
          <t>VÄSTERÅS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46213</v>
      </c>
      <c r="E289" s="1" t="n">
        <v>46233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44600</v>
      </c>
      <c r="E290" s="1" t="n">
        <v>46233</v>
      </c>
      <c r="F290" t="inlineStr">
        <is>
          <t>VÄSTMANLANDS LÄN</t>
        </is>
      </c>
      <c r="G290" t="inlineStr">
        <is>
          <t>VÄSTERÅS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46215</v>
      </c>
      <c r="E291" s="1" t="n">
        <v>46233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46215</v>
      </c>
      <c r="E292" s="1" t="n">
        <v>46233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9.800000000000001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31054-2026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46215</v>
      </c>
      <c r="E293" s="1" t="n">
        <v>46233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Sveaskog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46215</v>
      </c>
      <c r="E294" s="1" t="n">
        <v>46233</v>
      </c>
      <c r="F294" t="inlineStr">
        <is>
          <t>VÄSTMANLANDS LÄN</t>
        </is>
      </c>
      <c r="G294" t="inlineStr">
        <is>
          <t>VÄSTERÅS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46233</v>
      </c>
      <c r="F295" t="inlineStr">
        <is>
          <t>VÄSTMANLANDS LÄN</t>
        </is>
      </c>
      <c r="G295" t="inlineStr">
        <is>
          <t>VÄSTERÅS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46233</v>
      </c>
      <c r="F296" t="inlineStr">
        <is>
          <t>VÄSTMANLANDS LÄN</t>
        </is>
      </c>
      <c r="G296" t="inlineStr">
        <is>
          <t>VÄSTERÅS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31057-2026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46215</v>
      </c>
      <c r="E297" s="1" t="n">
        <v>46233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46233</v>
      </c>
      <c r="F298" t="inlineStr">
        <is>
          <t>VÄSTMANLANDS LÄN</t>
        </is>
      </c>
      <c r="G298" t="inlineStr">
        <is>
          <t>VÄSTERÅS</t>
        </is>
      </c>
      <c r="I298" t="n">
        <v>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61249-2021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46233</v>
      </c>
      <c r="F299" t="inlineStr">
        <is>
          <t>VÄSTMANLANDS LÄN</t>
        </is>
      </c>
      <c r="G299" t="inlineStr">
        <is>
          <t>VÄSTERÅS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46215</v>
      </c>
      <c r="E300" s="1" t="n">
        <v>46233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8727-2023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44978</v>
      </c>
      <c r="E301" s="1" t="n">
        <v>46233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Kyrkan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46217</v>
      </c>
      <c r="E302" s="1" t="n">
        <v>46233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58577-2023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45251</v>
      </c>
      <c r="E303" s="1" t="n">
        <v>46233</v>
      </c>
      <c r="F303" t="inlineStr">
        <is>
          <t>VÄSTMANLANDS LÄN</t>
        </is>
      </c>
      <c r="G303" t="inlineStr">
        <is>
          <t>VÄSTERÅS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44659</v>
      </c>
      <c r="E304" s="1" t="n">
        <v>46233</v>
      </c>
      <c r="F304" t="inlineStr">
        <is>
          <t>VÄSTMANLANDS LÄN</t>
        </is>
      </c>
      <c r="G304" t="inlineStr">
        <is>
          <t>VÄSTERÅS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45281</v>
      </c>
      <c r="E305" s="1" t="n">
        <v>46233</v>
      </c>
      <c r="F305" t="inlineStr">
        <is>
          <t>VÄSTMANLANDS LÄN</t>
        </is>
      </c>
      <c r="G305" t="inlineStr">
        <is>
          <t>VÄSTERÅS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44574</v>
      </c>
      <c r="E306" s="1" t="n">
        <v>46233</v>
      </c>
      <c r="F306" t="inlineStr">
        <is>
          <t>VÄSTMANLANDS LÄN</t>
        </is>
      </c>
      <c r="G306" t="inlineStr">
        <is>
          <t>VÄSTERÅS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46233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Allmännings- och besparingsskogar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46233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50987-2024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45603</v>
      </c>
      <c r="E309" s="1" t="n">
        <v>46233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14851-2024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45398</v>
      </c>
      <c r="E310" s="1" t="n">
        <v>46233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46233</v>
      </c>
      <c r="F311" t="inlineStr">
        <is>
          <t>VÄSTMANLANDS LÄN</t>
        </is>
      </c>
      <c r="G311" t="inlineStr">
        <is>
          <t>VÄSTERÅS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45110</v>
      </c>
      <c r="E312" s="1" t="n">
        <v>46233</v>
      </c>
      <c r="F312" t="inlineStr">
        <is>
          <t>VÄSTMANLANDS LÄN</t>
        </is>
      </c>
      <c r="G312" t="inlineStr">
        <is>
          <t>VÄSTERÅS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26743-2026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46233</v>
      </c>
      <c r="F313" t="inlineStr">
        <is>
          <t>VÄSTMANLANDS LÄN</t>
        </is>
      </c>
      <c r="G313" t="inlineStr">
        <is>
          <t>VÄSTERÅS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46233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46233</v>
      </c>
      <c r="F315" t="inlineStr">
        <is>
          <t>VÄSTMANLANDS LÄN</t>
        </is>
      </c>
      <c r="G315" t="inlineStr">
        <is>
          <t>VÄSTERÅS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55684-2023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45232</v>
      </c>
      <c r="E316" s="1" t="n">
        <v>46233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Övriga Aktiebolag</t>
        </is>
      </c>
      <c r="I316" t="n">
        <v>29.4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45553</v>
      </c>
      <c r="E317" s="1" t="n">
        <v>46233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Kyrkan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27301-2026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46233</v>
      </c>
      <c r="F318" t="inlineStr">
        <is>
          <t>VÄSTMANLANDS LÄN</t>
        </is>
      </c>
      <c r="G318" t="inlineStr">
        <is>
          <t>VÄSTERÅS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46233</v>
      </c>
      <c r="F319" t="inlineStr">
        <is>
          <t>VÄSTMANLANDS LÄN</t>
        </is>
      </c>
      <c r="G319" t="inlineStr">
        <is>
          <t>VÄSTERÅS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46233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45042</v>
      </c>
      <c r="E321" s="1" t="n">
        <v>46233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46233</v>
      </c>
      <c r="F322" t="inlineStr">
        <is>
          <t>VÄSTMANLANDS LÄN</t>
        </is>
      </c>
      <c r="G322" t="inlineStr">
        <is>
          <t>VÄSTERÅS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45370</v>
      </c>
      <c r="E323" s="1" t="n">
        <v>46233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46233</v>
      </c>
      <c r="F324" t="inlineStr">
        <is>
          <t>VÄSTMANLANDS LÄN</t>
        </is>
      </c>
      <c r="G324" t="inlineStr">
        <is>
          <t>VÄSTERÅS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46233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46233</v>
      </c>
      <c r="F326" t="inlineStr">
        <is>
          <t>VÄSTMANLANDS LÄN</t>
        </is>
      </c>
      <c r="G326" t="inlineStr">
        <is>
          <t>VÄSTERÅS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41469-2024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45560</v>
      </c>
      <c r="E327" s="1" t="n">
        <v>46233</v>
      </c>
      <c r="F327" t="inlineStr">
        <is>
          <t>VÄSTMANLANDS LÄN</t>
        </is>
      </c>
      <c r="G327" t="inlineStr">
        <is>
          <t>VÄSTERÅS</t>
        </is>
      </c>
      <c r="I327" t="n">
        <v>5.8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61258-2023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46233</v>
      </c>
      <c r="F328" t="inlineStr">
        <is>
          <t>VÄSTMANLANDS LÄN</t>
        </is>
      </c>
      <c r="G328" t="inlineStr">
        <is>
          <t>VÄSTERÅS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46233</v>
      </c>
      <c r="F329" t="inlineStr">
        <is>
          <t>VÄSTMANLANDS LÄN</t>
        </is>
      </c>
      <c r="G329" t="inlineStr">
        <is>
          <t>VÄSTERÅS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45378</v>
      </c>
      <c r="E330" s="1" t="n">
        <v>46233</v>
      </c>
      <c r="F330" t="inlineStr">
        <is>
          <t>VÄSTMANLANDS LÄN</t>
        </is>
      </c>
      <c r="G330" t="inlineStr">
        <is>
          <t>VÄSTERÅS</t>
        </is>
      </c>
      <c r="I330" t="n">
        <v>15.4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38345-2024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45545</v>
      </c>
      <c r="E331" s="1" t="n">
        <v>46233</v>
      </c>
      <c r="F331" t="inlineStr">
        <is>
          <t>VÄSTMANLANDS LÄN</t>
        </is>
      </c>
      <c r="G331" t="inlineStr">
        <is>
          <t>VÄSTERÅS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45506</v>
      </c>
      <c r="E332" s="1" t="n">
        <v>46233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Kommuner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24546-2025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45798</v>
      </c>
      <c r="E333" s="1" t="n">
        <v>46233</v>
      </c>
      <c r="F333" t="inlineStr">
        <is>
          <t>VÄSTMANLANDS LÄN</t>
        </is>
      </c>
      <c r="G333" t="inlineStr">
        <is>
          <t>VÄSTERÅS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951-2020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43948</v>
      </c>
      <c r="E334" s="1" t="n">
        <v>46233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Kommuner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3639-2022</t>
        </is>
      </c>
      <c r="B335" t="inlineStr">
        <is>
          <t>samrådsanmälan</t>
        </is>
      </c>
      <c r="C335" t="inlineStr">
        <is>
          <t>Skogsbilväg</t>
        </is>
      </c>
      <c r="D335" s="1" t="n">
        <v>44740</v>
      </c>
      <c r="E335" s="1" t="n">
        <v>46233</v>
      </c>
      <c r="F335" t="inlineStr">
        <is>
          <t>VÄSTMANLANDS LÄN</t>
        </is>
      </c>
      <c r="G335" t="inlineStr">
        <is>
          <t>VÄSTERÅS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1415-2022</t>
        </is>
      </c>
      <c r="B336" t="inlineStr">
        <is>
          <t>samrådsanmälan</t>
        </is>
      </c>
      <c r="C336" t="inlineStr">
        <is>
          <t>Skogsbilväg</t>
        </is>
      </c>
      <c r="D336" s="1" t="n">
        <v>44634</v>
      </c>
      <c r="E336" s="1" t="n">
        <v>46233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Kyrkan</t>
        </is>
      </c>
      <c r="I336" t="n">
        <v>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953-2023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45005</v>
      </c>
      <c r="E337" s="1" t="n">
        <v>46233</v>
      </c>
      <c r="F337" t="inlineStr">
        <is>
          <t>VÄSTMANLANDS LÄN</t>
        </is>
      </c>
      <c r="G337" t="inlineStr">
        <is>
          <t>VÄSTERÅS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696-2026</t>
        </is>
      </c>
      <c r="B338" t="inlineStr">
        <is>
          <t>samrådsanmälan</t>
        </is>
      </c>
      <c r="C338" t="inlineStr">
        <is>
          <t>Skogsgödsling</t>
        </is>
      </c>
      <c r="D338" s="1" t="n">
        <v>46091</v>
      </c>
      <c r="E338" s="1" t="n">
        <v>46233</v>
      </c>
      <c r="F338" t="inlineStr">
        <is>
          <t>VÄSTMANLANDS LÄN</t>
        </is>
      </c>
      <c r="G338" t="inlineStr">
        <is>
          <t>VÄSTERÅS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949-2026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46113</v>
      </c>
      <c r="E339" s="1" t="n">
        <v>46233</v>
      </c>
      <c r="F339" t="inlineStr">
        <is>
          <t>VÄSTMANLANDS LÄN</t>
        </is>
      </c>
      <c r="G339" t="inlineStr">
        <is>
          <t>VÄSTERÅS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>
      <c r="A340" t="inlineStr">
        <is>
          <t>S 1468-2026</t>
        </is>
      </c>
      <c r="B340" t="inlineStr">
        <is>
          <t>samrådsanmälan</t>
        </is>
      </c>
      <c r="C340" t="inlineStr">
        <is>
          <t>Dikesrensning</t>
        </is>
      </c>
      <c r="D340" s="1" t="n">
        <v>46134</v>
      </c>
      <c r="E340" s="1" t="n">
        <v>46233</v>
      </c>
      <c r="F340" t="inlineStr">
        <is>
          <t>VÄSTMANLANDS LÄN</t>
        </is>
      </c>
      <c r="G340" t="inlineStr">
        <is>
          <t>VÄSTERÅS</t>
        </is>
      </c>
      <c r="H340" t="inlineStr">
        <is>
          <t>Sveaskog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2026-07-30T01:51:12Z</dcterms:created>
  <dcterms:modified xmlns:dcterms="http://purl.org/dc/terms/" xmlns:xsi="http://www.w3.org/2001/XMLSchema-instance" xsi:type="dcterms:W3CDTF">2026-07-30T01:51:13Z</dcterms:modified>
</cp:coreProperties>
</file>