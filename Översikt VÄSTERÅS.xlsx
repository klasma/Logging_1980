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46277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46277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46277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46277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46277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46277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46277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46277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46277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46277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46277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46277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46277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46277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46277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46277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46277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46277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46277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46277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46277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46277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46277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46277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46277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46277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46277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46277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Lönnlav</t>
        </is>
      </c>
      <c r="W45">
        <f>HYPERLINK("https://klasma.github.io/Logging_1980/artfynd/A 16374-2025 artfynd.xlsx", "A 16374-2025")</f>
        <v/>
      </c>
      <c r="X45">
        <f>HYPERLINK("https://klasma.github.io/Logging_1980/kartor/A 16374-2025 karta.png", "A 16374-2025")</f>
        <v/>
      </c>
      <c r="Y45">
        <f>HYPERLINK("https://klasma.github.io/Logging_1980/kartor_geotiff/A 16374-2025 georefererad karta.tif", "A 16374-2025")</f>
        <v/>
      </c>
      <c r="AA45">
        <f>HYPERLINK("https://klasma.github.io/Logging_1980/klagomål/A 16374-2025 FSC-klagomål.docx", "A 16374-2025")</f>
        <v/>
      </c>
      <c r="AB45">
        <f>HYPERLINK("https://klasma.github.io/Logging_1980/klagomålsmail/A 16374-2025 FSC-klagomål mail.docx", "A 16374-2025")</f>
        <v/>
      </c>
      <c r="AC45">
        <f>HYPERLINK("https://klasma.github.io/Logging_1980/tillsyn/A 16374-2025 tillsynsbegäran.docx", "A 16374-2025")</f>
        <v/>
      </c>
      <c r="AD45">
        <f>HYPERLINK("https://klasma.github.io/Logging_1980/tillsynsmail/A 16374-2025 tillsynsbegäran mail.docx", "A 16374-2025")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46277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46277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46277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46277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46277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46277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46277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46277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HYPERLINK("https://klasma.github.io/Logging_1980/artfynd/A 22378-2026 artfynd.xlsx", "A 22378-2026")</f>
        <v/>
      </c>
      <c r="X53">
        <f>HYPERLINK("https://klasma.github.io/Logging_1980/kartor/A 22378-2026 karta.png", "A 22378-2026")</f>
        <v/>
      </c>
      <c r="Y53">
        <f>HYPERLINK("https://klasma.github.io/Logging_1980/kartor_geotiff/A 22378-2026 georefererad karta.tif", "A 22378-2026")</f>
        <v/>
      </c>
      <c r="AA53">
        <f>HYPERLINK("https://klasma.github.io/Logging_1980/klagomål/A 22378-2026 FSC-klagomål.docx", "A 22378-2026")</f>
        <v/>
      </c>
      <c r="AB53">
        <f>HYPERLINK("https://klasma.github.io/Logging_1980/klagomålsmail/A 22378-2026 FSC-klagomål mail.docx", "A 22378-2026")</f>
        <v/>
      </c>
      <c r="AC53">
        <f>HYPERLINK("https://klasma.github.io/Logging_1980/tillsyn/A 22378-2026 tillsynsbegäran.docx", "A 22378-2026")</f>
        <v/>
      </c>
      <c r="AD53">
        <f>HYPERLINK("https://klasma.github.io/Logging_1980/tillsynsmail/A 22378-2026 tillsynsbegäran mail.docx", "A 22378-2026")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46277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46277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44739</v>
      </c>
      <c r="E56" s="1" t="n">
        <v>46277</v>
      </c>
      <c r="F56" t="inlineStr">
        <is>
          <t>VÄSTMANLANDS LÄN</t>
        </is>
      </c>
      <c r="G56" t="inlineStr">
        <is>
          <t>VÄSTERÅS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Mistel</t>
        </is>
      </c>
      <c r="W56">
        <f>HYPERLINK("https://klasma.github.io/Logging_1980/artfynd/A 26568-2022 artfynd.xlsx", "A 26568-2022")</f>
        <v/>
      </c>
      <c r="X56">
        <f>HYPERLINK("https://klasma.github.io/Logging_1980/kartor/A 26568-2022 karta.png", "A 26568-2022")</f>
        <v/>
      </c>
      <c r="Y56">
        <f>HYPERLINK("https://klasma.github.io/Logging_1980/kartor_geotiff/A 26568-2022 georefererad karta.tif", "A 26568-2022")</f>
        <v/>
      </c>
      <c r="AA56">
        <f>HYPERLINK("https://klasma.github.io/Logging_1980/klagomål/A 26568-2022 FSC-klagomål.docx", "A 26568-2022")</f>
        <v/>
      </c>
      <c r="AB56">
        <f>HYPERLINK("https://klasma.github.io/Logging_1980/klagomålsmail/A 26568-2022 FSC-klagomål mail.docx", "A 26568-2022")</f>
        <v/>
      </c>
      <c r="AC56">
        <f>HYPERLINK("https://klasma.github.io/Logging_1980/tillsyn/A 26568-2022 tillsynsbegäran.docx", "A 26568-2022")</f>
        <v/>
      </c>
      <c r="AD56">
        <f>HYPERLINK("https://klasma.github.io/Logging_1980/tillsynsmail/A 26568-2022 tillsynsbegäran mail.docx", "A 26568-2022")</f>
        <v/>
      </c>
    </row>
    <row r="57" ht="15" customHeight="1">
      <c r="A57" t="inlineStr">
        <is>
          <t>A 51147-2023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46277</v>
      </c>
      <c r="F57" t="inlineStr">
        <is>
          <t>VÄSTMANLANDS LÄN</t>
        </is>
      </c>
      <c r="G57" t="inlineStr">
        <is>
          <t>VÄSTERÅS</t>
        </is>
      </c>
      <c r="I57" t="n">
        <v>1.4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Mindre märgborre</t>
        </is>
      </c>
      <c r="W57">
        <f>HYPERLINK("https://klasma.github.io/Logging_1980/artfynd/A 51147-2023 artfynd.xlsx", "A 51147-2023")</f>
        <v/>
      </c>
      <c r="X57">
        <f>HYPERLINK("https://klasma.github.io/Logging_1980/kartor/A 51147-2023 karta.png", "A 51147-2023")</f>
        <v/>
      </c>
      <c r="Y57">
        <f>HYPERLINK("https://klasma.github.io/Logging_1980/kartor_geotiff/A 51147-2023 georefererad karta.tif", "A 51147-2023")</f>
        <v/>
      </c>
      <c r="AA57">
        <f>HYPERLINK("https://klasma.github.io/Logging_1980/klagomål/A 51147-2023 FSC-klagomål.docx", "A 51147-2023")</f>
        <v/>
      </c>
      <c r="AB57">
        <f>HYPERLINK("https://klasma.github.io/Logging_1980/klagomålsmail/A 51147-2023 FSC-klagomål mail.docx", "A 51147-2023")</f>
        <v/>
      </c>
      <c r="AC57">
        <f>HYPERLINK("https://klasma.github.io/Logging_1980/tillsyn/A 51147-2023 tillsynsbegäran.docx", "A 51147-2023")</f>
        <v/>
      </c>
      <c r="AD57">
        <f>HYPERLINK("https://klasma.github.io/Logging_1980/tillsynsmail/A 51147-2023 tillsynsbegäran mail.docx", "A 51147-2023")</f>
        <v/>
      </c>
    </row>
    <row r="58" ht="15" customHeight="1">
      <c r="A58" t="inlineStr">
        <is>
          <t>A 50193-2022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46277</v>
      </c>
      <c r="F58" t="inlineStr">
        <is>
          <t>VÄSTMANLANDS LÄN</t>
        </is>
      </c>
      <c r="G58" t="inlineStr">
        <is>
          <t>VÄSTERÅS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HYPERLINK("https://klasma.github.io/Logging_1980/artfynd/A 50193-2022 artfynd.xlsx", "A 50193-2022")</f>
        <v/>
      </c>
      <c r="X58">
        <f>HYPERLINK("https://klasma.github.io/Logging_1980/kartor/A 50193-2022 karta.png", "A 50193-2022")</f>
        <v/>
      </c>
      <c r="Y58">
        <f>HYPERLINK("https://klasma.github.io/Logging_1980/kartor_geotiff/A 50193-2022 georefererad karta.tif", "A 50193-2022")</f>
        <v/>
      </c>
      <c r="AA58">
        <f>HYPERLINK("https://klasma.github.io/Logging_1980/klagomål/A 50193-2022 FSC-klagomål.docx", "A 50193-2022")</f>
        <v/>
      </c>
      <c r="AB58">
        <f>HYPERLINK("https://klasma.github.io/Logging_1980/klagomålsmail/A 50193-2022 FSC-klagomål mail.docx", "A 50193-2022")</f>
        <v/>
      </c>
      <c r="AC58">
        <f>HYPERLINK("https://klasma.github.io/Logging_1980/tillsyn/A 50193-2022 tillsynsbegäran.docx", "A 50193-2022")</f>
        <v/>
      </c>
      <c r="AD58">
        <f>HYPERLINK("https://klasma.github.io/Logging_1980/tillsynsmail/A 50193-2022 tillsynsbegäran mail.docx", "A 50193-2022")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46277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46277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46277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46277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46277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46277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46277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46277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46277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46277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46277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46277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46277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46277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46277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46277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46277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46277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46277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46277</v>
      </c>
      <c r="F79" t="inlineStr">
        <is>
          <t>VÄSTMANLANDS LÄN</t>
        </is>
      </c>
      <c r="G79" t="inlineStr">
        <is>
          <t>VÄSTERÅS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46277</v>
      </c>
      <c r="F80" t="inlineStr">
        <is>
          <t>VÄSTMANLANDS LÄN</t>
        </is>
      </c>
      <c r="G80" t="inlineStr">
        <is>
          <t>VÄSTERÅS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46277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46277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46277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46277</v>
      </c>
      <c r="F84" t="inlineStr">
        <is>
          <t>VÄSTMANLANDS LÄN</t>
        </is>
      </c>
      <c r="G84" t="inlineStr">
        <is>
          <t>VÄSTERÅS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44714</v>
      </c>
      <c r="E85" s="1" t="n">
        <v>46277</v>
      </c>
      <c r="F85" t="inlineStr">
        <is>
          <t>VÄSTMANLANDS LÄN</t>
        </is>
      </c>
      <c r="G85" t="inlineStr">
        <is>
          <t>VÄSTERÅS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46277</v>
      </c>
      <c r="F86" t="inlineStr">
        <is>
          <t>VÄSTMANLANDS LÄN</t>
        </is>
      </c>
      <c r="G86" t="inlineStr">
        <is>
          <t>VÄSTERÅS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46277</v>
      </c>
      <c r="F87" t="inlineStr">
        <is>
          <t>VÄSTMANLANDS LÄN</t>
        </is>
      </c>
      <c r="G87" t="inlineStr">
        <is>
          <t>VÄSTERÅS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46277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46277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46277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46277</v>
      </c>
      <c r="F91" t="inlineStr">
        <is>
          <t>VÄSTMANLANDS LÄN</t>
        </is>
      </c>
      <c r="G91" t="inlineStr">
        <is>
          <t>VÄSTERÅS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18457-2023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46277</v>
      </c>
      <c r="F92" t="inlineStr">
        <is>
          <t>VÄSTMANLANDS LÄN</t>
        </is>
      </c>
      <c r="G92" t="inlineStr">
        <is>
          <t>VÄSTERÅS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67353-2021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46277</v>
      </c>
      <c r="F93" t="inlineStr">
        <is>
          <t>VÄSTMANLANDS LÄN</t>
        </is>
      </c>
      <c r="G93" t="inlineStr">
        <is>
          <t>VÄSTERÅS</t>
        </is>
      </c>
      <c r="H93" t="inlineStr">
        <is>
          <t>Övriga Aktiebolag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46277</v>
      </c>
      <c r="F94" t="inlineStr">
        <is>
          <t>VÄSTMANLANDS LÄN</t>
        </is>
      </c>
      <c r="G94" t="inlineStr">
        <is>
          <t>VÄSTERÅS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46277</v>
      </c>
      <c r="F95" t="inlineStr">
        <is>
          <t>VÄSTMANLANDS LÄN</t>
        </is>
      </c>
      <c r="G95" t="inlineStr">
        <is>
          <t>VÄSTERÅS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46277</v>
      </c>
      <c r="F96" t="inlineStr">
        <is>
          <t>VÄSTMANLANDS LÄN</t>
        </is>
      </c>
      <c r="G96" t="inlineStr">
        <is>
          <t>VÄSTERÅS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46277</v>
      </c>
      <c r="F97" t="inlineStr">
        <is>
          <t>VÄSTMANLANDS LÄN</t>
        </is>
      </c>
      <c r="G97" t="inlineStr">
        <is>
          <t>VÄSTERÅS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46277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45296</v>
      </c>
      <c r="E99" s="1" t="n">
        <v>46277</v>
      </c>
      <c r="F99" t="inlineStr">
        <is>
          <t>VÄSTMANLANDS LÄN</t>
        </is>
      </c>
      <c r="G99" t="inlineStr">
        <is>
          <t>VÄSTERÅS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46277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46277</v>
      </c>
      <c r="F101" t="inlineStr">
        <is>
          <t>VÄSTMANLANDS LÄN</t>
        </is>
      </c>
      <c r="G101" t="inlineStr">
        <is>
          <t>VÄSTERÅS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44816</v>
      </c>
      <c r="E102" s="1" t="n">
        <v>46277</v>
      </c>
      <c r="F102" t="inlineStr">
        <is>
          <t>VÄSTMANLANDS LÄN</t>
        </is>
      </c>
      <c r="G102" t="inlineStr">
        <is>
          <t>VÄSTERÅS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46277</v>
      </c>
      <c r="F103" t="inlineStr">
        <is>
          <t>VÄSTMANLANDS LÄN</t>
        </is>
      </c>
      <c r="G103" t="inlineStr">
        <is>
          <t>VÄSTERÅS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46277</v>
      </c>
      <c r="F104" t="inlineStr">
        <is>
          <t>VÄSTMANLANDS LÄN</t>
        </is>
      </c>
      <c r="G104" t="inlineStr">
        <is>
          <t>VÄSTERÅS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46277</v>
      </c>
      <c r="F105" t="inlineStr">
        <is>
          <t>VÄSTMANLANDS LÄN</t>
        </is>
      </c>
      <c r="G105" t="inlineStr">
        <is>
          <t>VÄSTERÅS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46277</v>
      </c>
      <c r="F106" t="inlineStr">
        <is>
          <t>VÄSTMANLANDS LÄN</t>
        </is>
      </c>
      <c r="G106" t="inlineStr">
        <is>
          <t>VÄSTERÅS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46277</v>
      </c>
      <c r="F107" t="inlineStr">
        <is>
          <t>VÄSTMANLANDS LÄN</t>
        </is>
      </c>
      <c r="G107" t="inlineStr">
        <is>
          <t>VÄSTERÅS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46277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46277</v>
      </c>
      <c r="F109" t="inlineStr">
        <is>
          <t>VÄSTMANLANDS LÄN</t>
        </is>
      </c>
      <c r="G109" t="inlineStr">
        <is>
          <t>VÄSTERÅS</t>
        </is>
      </c>
      <c r="I109" t="n">
        <v>13.9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18482-2023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45042</v>
      </c>
      <c r="E110" s="1" t="n">
        <v>46277</v>
      </c>
      <c r="F110" t="inlineStr">
        <is>
          <t>VÄSTMANLANDS LÄN</t>
        </is>
      </c>
      <c r="G110" t="inlineStr">
        <is>
          <t>VÄSTERÅS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45232</v>
      </c>
      <c r="E111" s="1" t="n">
        <v>46277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37.9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44875</v>
      </c>
      <c r="E112" s="1" t="n">
        <v>46277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70642-2021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46277</v>
      </c>
      <c r="F113" t="inlineStr">
        <is>
          <t>VÄSTMANLANDS LÄN</t>
        </is>
      </c>
      <c r="G113" t="inlineStr">
        <is>
          <t>VÄSTERÅS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46277</v>
      </c>
      <c r="F114" t="inlineStr">
        <is>
          <t>VÄSTMANLANDS LÄN</t>
        </is>
      </c>
      <c r="G114" t="inlineStr">
        <is>
          <t>VÄSTERÅS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46277</v>
      </c>
      <c r="F115" t="inlineStr">
        <is>
          <t>VÄSTMANLANDS LÄN</t>
        </is>
      </c>
      <c r="G115" t="inlineStr">
        <is>
          <t>VÄSTERÅS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46277</v>
      </c>
      <c r="F116" t="inlineStr">
        <is>
          <t>VÄSTMANLANDS LÄN</t>
        </is>
      </c>
      <c r="G116" t="inlineStr">
        <is>
          <t>VÄSTERÅS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46277</v>
      </c>
      <c r="F117" t="inlineStr">
        <is>
          <t>VÄSTMANLANDS LÄN</t>
        </is>
      </c>
      <c r="G117" t="inlineStr">
        <is>
          <t>VÄSTERÅS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46277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44914</v>
      </c>
      <c r="E119" s="1" t="n">
        <v>46277</v>
      </c>
      <c r="F119" t="inlineStr">
        <is>
          <t>VÄSTMANLANDS LÄN</t>
        </is>
      </c>
      <c r="G119" t="inlineStr">
        <is>
          <t>VÄSTERÅS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46277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46277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46277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17808-2023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45037</v>
      </c>
      <c r="E123" s="1" t="n">
        <v>46277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46277</v>
      </c>
      <c r="F124" t="inlineStr">
        <is>
          <t>VÄSTMANLANDS LÄN</t>
        </is>
      </c>
      <c r="G124" t="inlineStr">
        <is>
          <t>VÄSTERÅS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46277</v>
      </c>
      <c r="F125" t="inlineStr">
        <is>
          <t>VÄSTMANLANDS LÄN</t>
        </is>
      </c>
      <c r="G125" t="inlineStr">
        <is>
          <t>VÄSTERÅS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45595</v>
      </c>
      <c r="E126" s="1" t="n">
        <v>46277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46277</v>
      </c>
      <c r="F127" t="inlineStr">
        <is>
          <t>VÄSTMANLANDS LÄN</t>
        </is>
      </c>
      <c r="G127" t="inlineStr">
        <is>
          <t>VÄSTERÅS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46277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46277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44717</v>
      </c>
      <c r="E130" s="1" t="n">
        <v>46277</v>
      </c>
      <c r="F130" t="inlineStr">
        <is>
          <t>VÄSTMANLANDS LÄN</t>
        </is>
      </c>
      <c r="G130" t="inlineStr">
        <is>
          <t>VÄSTERÅS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46277</v>
      </c>
      <c r="F131" t="inlineStr">
        <is>
          <t>VÄSTMANLANDS LÄN</t>
        </is>
      </c>
      <c r="G131" t="inlineStr">
        <is>
          <t>VÄSTERÅS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45516</v>
      </c>
      <c r="E132" s="1" t="n">
        <v>46277</v>
      </c>
      <c r="F132" t="inlineStr">
        <is>
          <t>VÄSTMANLANDS LÄN</t>
        </is>
      </c>
      <c r="G132" t="inlineStr">
        <is>
          <t>VÄSTERÅS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46277</v>
      </c>
      <c r="F133" t="inlineStr">
        <is>
          <t>VÄSTMANLANDS LÄN</t>
        </is>
      </c>
      <c r="G133" t="inlineStr">
        <is>
          <t>VÄSTERÅS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46277</v>
      </c>
      <c r="F134" t="inlineStr">
        <is>
          <t>VÄSTMANLANDS LÄN</t>
        </is>
      </c>
      <c r="G134" t="inlineStr">
        <is>
          <t>VÄSTERÅS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46277</v>
      </c>
      <c r="F135" t="inlineStr">
        <is>
          <t>VÄSTMANLANDS LÄN</t>
        </is>
      </c>
      <c r="G135" t="inlineStr">
        <is>
          <t>VÄSTERÅS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46277</v>
      </c>
      <c r="F136" t="inlineStr">
        <is>
          <t>VÄSTMANLANDS LÄN</t>
        </is>
      </c>
      <c r="G136" t="inlineStr">
        <is>
          <t>VÄSTERÅS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46277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46277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46277</v>
      </c>
      <c r="F139" t="inlineStr">
        <is>
          <t>VÄSTMANLANDS LÄN</t>
        </is>
      </c>
      <c r="G139" t="inlineStr">
        <is>
          <t>VÄSTERÅS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63851-2021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44509</v>
      </c>
      <c r="E140" s="1" t="n">
        <v>46277</v>
      </c>
      <c r="F140" t="inlineStr">
        <is>
          <t>VÄSTMANLANDS LÄN</t>
        </is>
      </c>
      <c r="G140" t="inlineStr">
        <is>
          <t>VÄSTERÅS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46277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46277</v>
      </c>
      <c r="F142" t="inlineStr">
        <is>
          <t>VÄSTMANLANDS LÄN</t>
        </is>
      </c>
      <c r="G142" t="inlineStr">
        <is>
          <t>VÄSTERÅS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45628</v>
      </c>
      <c r="E143" s="1" t="n">
        <v>46277</v>
      </c>
      <c r="F143" t="inlineStr">
        <is>
          <t>VÄSTMANLANDS LÄN</t>
        </is>
      </c>
      <c r="G143" t="inlineStr">
        <is>
          <t>VÄSTERÅS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45832</v>
      </c>
      <c r="E144" s="1" t="n">
        <v>46277</v>
      </c>
      <c r="F144" t="inlineStr">
        <is>
          <t>VÄSTMANLANDS LÄN</t>
        </is>
      </c>
      <c r="G144" t="inlineStr">
        <is>
          <t>VÄSTERÅS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46277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statliga verk och myndigheter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46277</v>
      </c>
      <c r="F146" t="inlineStr">
        <is>
          <t>VÄSTMANLANDS LÄN</t>
        </is>
      </c>
      <c r="G146" t="inlineStr">
        <is>
          <t>VÄSTERÅS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45027</v>
      </c>
      <c r="E147" s="1" t="n">
        <v>46277</v>
      </c>
      <c r="F147" t="inlineStr">
        <is>
          <t>VÄSTMANLANDS LÄN</t>
        </is>
      </c>
      <c r="G147" t="inlineStr">
        <is>
          <t>VÄSTERÅS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45027</v>
      </c>
      <c r="E148" s="1" t="n">
        <v>46277</v>
      </c>
      <c r="F148" t="inlineStr">
        <is>
          <t>VÄSTMANLANDS LÄN</t>
        </is>
      </c>
      <c r="G148" t="inlineStr">
        <is>
          <t>VÄSTERÅS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52027-2025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45952</v>
      </c>
      <c r="E149" s="1" t="n">
        <v>46277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44826</v>
      </c>
      <c r="E150" s="1" t="n">
        <v>46277</v>
      </c>
      <c r="F150" t="inlineStr">
        <is>
          <t>VÄSTMANLANDS LÄN</t>
        </is>
      </c>
      <c r="G150" t="inlineStr">
        <is>
          <t>VÄSTERÅS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46277</v>
      </c>
      <c r="F151" t="inlineStr">
        <is>
          <t>VÄSTMANLANDS LÄN</t>
        </is>
      </c>
      <c r="G151" t="inlineStr">
        <is>
          <t>VÄSTERÅS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46277</v>
      </c>
      <c r="F152" t="inlineStr">
        <is>
          <t>VÄSTMANLANDS LÄN</t>
        </is>
      </c>
      <c r="G152" t="inlineStr">
        <is>
          <t>VÄSTERÅS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46277</v>
      </c>
      <c r="F153" t="inlineStr">
        <is>
          <t>VÄSTMANLANDS LÄN</t>
        </is>
      </c>
      <c r="G153" t="inlineStr">
        <is>
          <t>VÄSTERÅS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46277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46277</v>
      </c>
      <c r="F155" t="inlineStr">
        <is>
          <t>VÄSTMANLANDS LÄN</t>
        </is>
      </c>
      <c r="G155" t="inlineStr">
        <is>
          <t>VÄSTERÅS</t>
        </is>
      </c>
      <c r="I155" t="n">
        <v>20.3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46277</v>
      </c>
      <c r="F156" t="inlineStr">
        <is>
          <t>VÄSTMANLANDS LÄN</t>
        </is>
      </c>
      <c r="G156" t="inlineStr">
        <is>
          <t>VÄSTERÅS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52015-2024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45607</v>
      </c>
      <c r="E157" s="1" t="n">
        <v>46277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44582</v>
      </c>
      <c r="E158" s="1" t="n">
        <v>46277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Aktiebolag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46277</v>
      </c>
      <c r="F159" t="inlineStr">
        <is>
          <t>VÄSTMANLANDS LÄN</t>
        </is>
      </c>
      <c r="G159" t="inlineStr">
        <is>
          <t>VÄSTERÅS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46277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46277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46277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46277</v>
      </c>
      <c r="F163" t="inlineStr">
        <is>
          <t>VÄSTMANLANDS LÄN</t>
        </is>
      </c>
      <c r="G163" t="inlineStr">
        <is>
          <t>VÄSTERÅS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46277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46277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46277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46277</v>
      </c>
      <c r="F167" t="inlineStr">
        <is>
          <t>VÄSTMANLANDS LÄN</t>
        </is>
      </c>
      <c r="G167" t="inlineStr">
        <is>
          <t>VÄSTERÅS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46277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46277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46277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46277</v>
      </c>
      <c r="F171" t="inlineStr">
        <is>
          <t>VÄSTMANLANDS LÄN</t>
        </is>
      </c>
      <c r="G171" t="inlineStr">
        <is>
          <t>VÄSTERÅS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46277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46277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46277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Allmännings- och besparingsskogar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46277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46277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46277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46277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46277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46277</v>
      </c>
      <c r="F180" t="inlineStr">
        <is>
          <t>VÄSTMANLANDS LÄN</t>
        </is>
      </c>
      <c r="G180" t="inlineStr">
        <is>
          <t>VÄSTERÅS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46277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46277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46277</v>
      </c>
      <c r="F183" t="inlineStr">
        <is>
          <t>VÄSTMANLANDS LÄN</t>
        </is>
      </c>
      <c r="G183" t="inlineStr">
        <is>
          <t>VÄSTERÅS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46277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46277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46277</v>
      </c>
      <c r="F186" t="inlineStr">
        <is>
          <t>VÄSTMANLANDS LÄN</t>
        </is>
      </c>
      <c r="G186" t="inlineStr">
        <is>
          <t>VÄSTERÅS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46277</v>
      </c>
      <c r="F187" t="inlineStr">
        <is>
          <t>VÄSTMANLANDS LÄN</t>
        </is>
      </c>
      <c r="G187" t="inlineStr">
        <is>
          <t>VÄSTERÅS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46277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46277</v>
      </c>
      <c r="F189" t="inlineStr">
        <is>
          <t>VÄSTMANLANDS LÄN</t>
        </is>
      </c>
      <c r="G189" t="inlineStr">
        <is>
          <t>VÄSTERÅS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46277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46277</v>
      </c>
      <c r="F191" t="inlineStr">
        <is>
          <t>VÄSTMANLANDS LÄN</t>
        </is>
      </c>
      <c r="G191" t="inlineStr">
        <is>
          <t>VÄSTERÅS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46277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Allmännings- och besparingsskogar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73601-2021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46277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46277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44812</v>
      </c>
      <c r="E195" s="1" t="n">
        <v>46277</v>
      </c>
      <c r="F195" t="inlineStr">
        <is>
          <t>VÄSTMANLANDS LÄN</t>
        </is>
      </c>
      <c r="G195" t="inlineStr">
        <is>
          <t>VÄSTERÅS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46277</v>
      </c>
      <c r="F196" t="inlineStr">
        <is>
          <t>VÄSTMANLANDS LÄN</t>
        </is>
      </c>
      <c r="G196" t="inlineStr">
        <is>
          <t>VÄSTERÅS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46277</v>
      </c>
      <c r="F197" t="inlineStr">
        <is>
          <t>VÄSTMANLANDS LÄN</t>
        </is>
      </c>
      <c r="G197" t="inlineStr">
        <is>
          <t>VÄSTERÅS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74314-2021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46277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46277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46277</v>
      </c>
      <c r="F200" t="inlineStr">
        <is>
          <t>VÄSTMANLANDS LÄN</t>
        </is>
      </c>
      <c r="G200" t="inlineStr">
        <is>
          <t>VÄSTERÅS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46277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46062</v>
      </c>
      <c r="E202" s="1" t="n">
        <v>46277</v>
      </c>
      <c r="F202" t="inlineStr">
        <is>
          <t>VÄSTMANLANDS LÄN</t>
        </is>
      </c>
      <c r="G202" t="inlineStr">
        <is>
          <t>VÄSTERÅS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44637</v>
      </c>
      <c r="E203" s="1" t="n">
        <v>46277</v>
      </c>
      <c r="F203" t="inlineStr">
        <is>
          <t>VÄSTMANLANDS LÄN</t>
        </is>
      </c>
      <c r="G203" t="inlineStr">
        <is>
          <t>VÄSTERÅS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45028</v>
      </c>
      <c r="E204" s="1" t="n">
        <v>46277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46277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46277</v>
      </c>
      <c r="F206" t="inlineStr">
        <is>
          <t>VÄSTMANLANDS LÄN</t>
        </is>
      </c>
      <c r="G206" t="inlineStr">
        <is>
          <t>VÄSTERÅS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45174</v>
      </c>
      <c r="E207" s="1" t="n">
        <v>46277</v>
      </c>
      <c r="F207" t="inlineStr">
        <is>
          <t>VÄSTMANLANDS LÄN</t>
        </is>
      </c>
      <c r="G207" t="inlineStr">
        <is>
          <t>VÄSTERÅS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45125</v>
      </c>
      <c r="E208" s="1" t="n">
        <v>46277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45042</v>
      </c>
      <c r="E209" s="1" t="n">
        <v>46277</v>
      </c>
      <c r="F209" t="inlineStr">
        <is>
          <t>VÄSTMANLANDS LÄN</t>
        </is>
      </c>
      <c r="G209" t="inlineStr">
        <is>
          <t>VÄSTERÅS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73994-2021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44556</v>
      </c>
      <c r="E210" s="1" t="n">
        <v>46277</v>
      </c>
      <c r="F210" t="inlineStr">
        <is>
          <t>VÄSTMANLANDS LÄN</t>
        </is>
      </c>
      <c r="G210" t="inlineStr">
        <is>
          <t>VÄSTERÅS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46277</v>
      </c>
      <c r="F211" t="inlineStr">
        <is>
          <t>VÄSTMANLANDS LÄN</t>
        </is>
      </c>
      <c r="G211" t="inlineStr">
        <is>
          <t>VÄSTERÅS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46277</v>
      </c>
      <c r="F212" t="inlineStr">
        <is>
          <t>VÄSTMANLANDS LÄN</t>
        </is>
      </c>
      <c r="G212" t="inlineStr">
        <is>
          <t>VÄSTERÅS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73597-2021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46277</v>
      </c>
      <c r="F213" t="inlineStr">
        <is>
          <t>VÄSTMANLANDS LÄN</t>
        </is>
      </c>
      <c r="G213" t="inlineStr">
        <is>
          <t>VÄSTERÅS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46277</v>
      </c>
      <c r="F214" t="inlineStr">
        <is>
          <t>VÄSTMANLANDS LÄN</t>
        </is>
      </c>
      <c r="G214" t="inlineStr">
        <is>
          <t>VÄSTERÅS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46277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Kommuner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46277</v>
      </c>
      <c r="F216" t="inlineStr">
        <is>
          <t>VÄSTMANLANDS LÄN</t>
        </is>
      </c>
      <c r="G216" t="inlineStr">
        <is>
          <t>VÄSTERÅS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46277</v>
      </c>
      <c r="F217" t="inlineStr">
        <is>
          <t>VÄSTMANLANDS LÄN</t>
        </is>
      </c>
      <c r="G217" t="inlineStr">
        <is>
          <t>VÄSTERÅS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67350-2021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44523</v>
      </c>
      <c r="E218" s="1" t="n">
        <v>46277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46277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44606</v>
      </c>
      <c r="E220" s="1" t="n">
        <v>46277</v>
      </c>
      <c r="F220" t="inlineStr">
        <is>
          <t>VÄSTMANLANDS LÄN</t>
        </is>
      </c>
      <c r="G220" t="inlineStr">
        <is>
          <t>VÄSTERÅS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46277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46277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44658</v>
      </c>
      <c r="E223" s="1" t="n">
        <v>46277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46277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46277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46277</v>
      </c>
      <c r="F226" t="inlineStr">
        <is>
          <t>VÄSTMANLANDS LÄN</t>
        </is>
      </c>
      <c r="G226" t="inlineStr">
        <is>
          <t>VÄSTERÅS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46277</v>
      </c>
      <c r="F227" t="inlineStr">
        <is>
          <t>VÄSTMANLANDS LÄN</t>
        </is>
      </c>
      <c r="G227" t="inlineStr">
        <is>
          <t>VÄSTERÅS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44610</v>
      </c>
      <c r="E228" s="1" t="n">
        <v>46277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44635</v>
      </c>
      <c r="E229" s="1" t="n">
        <v>46277</v>
      </c>
      <c r="F229" t="inlineStr">
        <is>
          <t>VÄSTMANLANDS LÄN</t>
        </is>
      </c>
      <c r="G229" t="inlineStr">
        <is>
          <t>VÄSTERÅS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46277</v>
      </c>
      <c r="F230" t="inlineStr">
        <is>
          <t>VÄSTMANLANDS LÄN</t>
        </is>
      </c>
      <c r="G230" t="inlineStr">
        <is>
          <t>VÄSTERÅS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44708</v>
      </c>
      <c r="E231" s="1" t="n">
        <v>46277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46277</v>
      </c>
      <c r="F232" t="inlineStr">
        <is>
          <t>VÄSTMANLANDS LÄN</t>
        </is>
      </c>
      <c r="G232" t="inlineStr">
        <is>
          <t>VÄSTERÅS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46277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46277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46277</v>
      </c>
      <c r="F235" t="inlineStr">
        <is>
          <t>VÄSTMANLANDS LÄN</t>
        </is>
      </c>
      <c r="G235" t="inlineStr">
        <is>
          <t>VÄSTERÅS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46277</v>
      </c>
      <c r="F236" t="inlineStr">
        <is>
          <t>VÄSTMANLANDS LÄN</t>
        </is>
      </c>
      <c r="G236" t="inlineStr">
        <is>
          <t>VÄSTERÅS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46277</v>
      </c>
      <c r="F237" t="inlineStr">
        <is>
          <t>VÄSTMANLANDS LÄN</t>
        </is>
      </c>
      <c r="G237" t="inlineStr">
        <is>
          <t>VÄSTERÅS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44680</v>
      </c>
      <c r="E238" s="1" t="n">
        <v>46277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45274</v>
      </c>
      <c r="E239" s="1" t="n">
        <v>46277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46277</v>
      </c>
      <c r="F240" t="inlineStr">
        <is>
          <t>VÄSTMANLANDS LÄN</t>
        </is>
      </c>
      <c r="G240" t="inlineStr">
        <is>
          <t>VÄSTERÅS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46277</v>
      </c>
      <c r="F241" t="inlineStr">
        <is>
          <t>VÄSTMANLANDS LÄN</t>
        </is>
      </c>
      <c r="G241" t="inlineStr">
        <is>
          <t>VÄSTERÅS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46277</v>
      </c>
      <c r="F242" t="inlineStr">
        <is>
          <t>VÄSTMANLANDS LÄN</t>
        </is>
      </c>
      <c r="G242" t="inlineStr">
        <is>
          <t>VÄSTERÅS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46277</v>
      </c>
      <c r="F243" t="inlineStr">
        <is>
          <t>VÄSTMANLANDS LÄN</t>
        </is>
      </c>
      <c r="G243" t="inlineStr">
        <is>
          <t>VÄSTERÅS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44664</v>
      </c>
      <c r="E244" s="1" t="n">
        <v>46277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46277</v>
      </c>
      <c r="F245" t="inlineStr">
        <is>
          <t>VÄSTMANLANDS LÄN</t>
        </is>
      </c>
      <c r="G245" t="inlineStr">
        <is>
          <t>VÄSTERÅS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46277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46277</v>
      </c>
      <c r="F247" t="inlineStr">
        <is>
          <t>VÄSTMANLANDS LÄN</t>
        </is>
      </c>
      <c r="G247" t="inlineStr">
        <is>
          <t>VÄSTERÅS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64202-2023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46277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46277</v>
      </c>
      <c r="F249" t="inlineStr">
        <is>
          <t>VÄSTMANLANDS LÄN</t>
        </is>
      </c>
      <c r="G249" t="inlineStr">
        <is>
          <t>VÄSTERÅS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46277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46277</v>
      </c>
      <c r="F251" t="inlineStr">
        <is>
          <t>VÄSTMANLANDS LÄN</t>
        </is>
      </c>
      <c r="G251" t="inlineStr">
        <is>
          <t>VÄSTERÅS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46277</v>
      </c>
      <c r="F252" t="inlineStr">
        <is>
          <t>VÄSTMANLANDS LÄN</t>
        </is>
      </c>
      <c r="G252" t="inlineStr">
        <is>
          <t>VÄSTERÅS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44648</v>
      </c>
      <c r="E253" s="1" t="n">
        <v>46277</v>
      </c>
      <c r="F253" t="inlineStr">
        <is>
          <t>VÄSTMANLANDS LÄN</t>
        </is>
      </c>
      <c r="G253" t="inlineStr">
        <is>
          <t>VÄSTERÅS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44847</v>
      </c>
      <c r="E254" s="1" t="n">
        <v>46277</v>
      </c>
      <c r="F254" t="inlineStr">
        <is>
          <t>VÄSTMANLANDS LÄN</t>
        </is>
      </c>
      <c r="G254" t="inlineStr">
        <is>
          <t>VÄSTERÅS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46277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46277</v>
      </c>
      <c r="F256" t="inlineStr">
        <is>
          <t>VÄSTMANLANDS LÄN</t>
        </is>
      </c>
      <c r="G256" t="inlineStr">
        <is>
          <t>VÄSTERÅS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44961</v>
      </c>
      <c r="E257" s="1" t="n">
        <v>46277</v>
      </c>
      <c r="F257" t="inlineStr">
        <is>
          <t>VÄSTMANLANDS LÄN</t>
        </is>
      </c>
      <c r="G257" t="inlineStr">
        <is>
          <t>VÄSTERÅS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46277</v>
      </c>
      <c r="F258" t="inlineStr">
        <is>
          <t>VÄSTMANLANDS LÄN</t>
        </is>
      </c>
      <c r="G258" t="inlineStr">
        <is>
          <t>VÄSTERÅS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67352-2021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44523</v>
      </c>
      <c r="E259" s="1" t="n">
        <v>46277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Övriga Aktiebolag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44671</v>
      </c>
      <c r="E260" s="1" t="n">
        <v>46277</v>
      </c>
      <c r="F260" t="inlineStr">
        <is>
          <t>VÄSTMANLANDS LÄN</t>
        </is>
      </c>
      <c r="G260" t="inlineStr">
        <is>
          <t>VÄSTERÅS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46277</v>
      </c>
      <c r="F261" t="inlineStr">
        <is>
          <t>VÄSTMANLANDS LÄN</t>
        </is>
      </c>
      <c r="G261" t="inlineStr">
        <is>
          <t>VÄSTERÅS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46277</v>
      </c>
      <c r="F262" t="inlineStr">
        <is>
          <t>VÄSTMANLANDS LÄN</t>
        </is>
      </c>
      <c r="G262" t="inlineStr">
        <is>
          <t>VÄSTERÅS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46277</v>
      </c>
      <c r="F263" t="inlineStr">
        <is>
          <t>VÄSTMANLANDS LÄN</t>
        </is>
      </c>
      <c r="G263" t="inlineStr">
        <is>
          <t>VÄSTERÅS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44657</v>
      </c>
      <c r="E264" s="1" t="n">
        <v>46277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46277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11137-2023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44987</v>
      </c>
      <c r="E266" s="1" t="n">
        <v>46277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45019</v>
      </c>
      <c r="E267" s="1" t="n">
        <v>46277</v>
      </c>
      <c r="F267" t="inlineStr">
        <is>
          <t>VÄSTMANLANDS LÄN</t>
        </is>
      </c>
      <c r="G267" t="inlineStr">
        <is>
          <t>VÄSTERÅS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44610</v>
      </c>
      <c r="E268" s="1" t="n">
        <v>46277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46277</v>
      </c>
      <c r="F269" t="inlineStr">
        <is>
          <t>VÄSTMANLANDS LÄN</t>
        </is>
      </c>
      <c r="G269" t="inlineStr">
        <is>
          <t>VÄSTERÅS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46277</v>
      </c>
      <c r="F270" t="inlineStr">
        <is>
          <t>VÄSTMANLANDS LÄN</t>
        </is>
      </c>
      <c r="G270" t="inlineStr">
        <is>
          <t>VÄSTERÅS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46277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Kyrkan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46277</v>
      </c>
      <c r="F272" t="inlineStr">
        <is>
          <t>VÄSTMANLANDS LÄN</t>
        </is>
      </c>
      <c r="G272" t="inlineStr">
        <is>
          <t>VÄSTERÅS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44600</v>
      </c>
      <c r="E273" s="1" t="n">
        <v>46277</v>
      </c>
      <c r="F273" t="inlineStr">
        <is>
          <t>VÄSTMANLANDS LÄN</t>
        </is>
      </c>
      <c r="G273" t="inlineStr">
        <is>
          <t>VÄSTERÅS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46277</v>
      </c>
      <c r="F274" t="inlineStr">
        <is>
          <t>VÄSTMANLANDS LÄN</t>
        </is>
      </c>
      <c r="G274" t="inlineStr">
        <is>
          <t>VÄSTERÅS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46277</v>
      </c>
      <c r="F275" t="inlineStr">
        <is>
          <t>VÄSTMANLANDS LÄN</t>
        </is>
      </c>
      <c r="G275" t="inlineStr">
        <is>
          <t>VÄSTERÅS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61249-2021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46277</v>
      </c>
      <c r="F276" t="inlineStr">
        <is>
          <t>VÄSTMANLANDS LÄN</t>
        </is>
      </c>
      <c r="G276" t="inlineStr">
        <is>
          <t>VÄSTERÅS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8727-2023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44978</v>
      </c>
      <c r="E277" s="1" t="n">
        <v>46277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46277</v>
      </c>
      <c r="F278" t="inlineStr">
        <is>
          <t>VÄSTMANLANDS LÄN</t>
        </is>
      </c>
      <c r="G278" t="inlineStr">
        <is>
          <t>VÄSTERÅS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46277</v>
      </c>
      <c r="F279" t="inlineStr">
        <is>
          <t>VÄSTMANLANDS LÄN</t>
        </is>
      </c>
      <c r="G279" t="inlineStr">
        <is>
          <t>VÄSTERÅS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46277</v>
      </c>
      <c r="F280" t="inlineStr">
        <is>
          <t>VÄSTMANLANDS LÄN</t>
        </is>
      </c>
      <c r="G280" t="inlineStr">
        <is>
          <t>VÄSTERÅS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46277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46277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46213</v>
      </c>
      <c r="E283" s="1" t="n">
        <v>46277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46277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46277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46277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46277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44659</v>
      </c>
      <c r="E288" s="1" t="n">
        <v>46277</v>
      </c>
      <c r="F288" t="inlineStr">
        <is>
          <t>VÄSTMANLANDS LÄN</t>
        </is>
      </c>
      <c r="G288" t="inlineStr">
        <is>
          <t>VÄSTERÅS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46277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44574</v>
      </c>
      <c r="E290" s="1" t="n">
        <v>46277</v>
      </c>
      <c r="F290" t="inlineStr">
        <is>
          <t>VÄSTMANLANDS LÄN</t>
        </is>
      </c>
      <c r="G290" t="inlineStr">
        <is>
          <t>VÄSTERÅS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46217</v>
      </c>
      <c r="E291" s="1" t="n">
        <v>46277</v>
      </c>
      <c r="F291" t="inlineStr">
        <is>
          <t>VÄSTMANLANDS LÄN</t>
        </is>
      </c>
      <c r="G291" t="inlineStr">
        <is>
          <t>VÄSTERÅS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46277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46277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46277</v>
      </c>
      <c r="F294" t="inlineStr">
        <is>
          <t>VÄSTMANLANDS LÄN</t>
        </is>
      </c>
      <c r="G294" t="inlineStr">
        <is>
          <t>VÄSTERÅS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46277</v>
      </c>
      <c r="F295" t="inlineStr">
        <is>
          <t>VÄSTMANLANDS LÄN</t>
        </is>
      </c>
      <c r="G295" t="inlineStr">
        <is>
          <t>VÄSTERÅS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46277</v>
      </c>
      <c r="F296" t="inlineStr">
        <is>
          <t>VÄSTMANLANDS LÄN</t>
        </is>
      </c>
      <c r="G296" t="inlineStr">
        <is>
          <t>VÄSTERÅS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55684-2023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45232</v>
      </c>
      <c r="E297" s="1" t="n">
        <v>46277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29.4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46277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46277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46265</v>
      </c>
      <c r="E300" s="1" t="n">
        <v>46277</v>
      </c>
      <c r="F300" t="inlineStr">
        <is>
          <t>VÄSTMANLANDS LÄN</t>
        </is>
      </c>
      <c r="G300" t="inlineStr">
        <is>
          <t>VÄSTERÅS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45019</v>
      </c>
      <c r="E301" s="1" t="n">
        <v>46277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18467-2023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45042</v>
      </c>
      <c r="E302" s="1" t="n">
        <v>46277</v>
      </c>
      <c r="F302" t="inlineStr">
        <is>
          <t>VÄSTMANLANDS LÄN</t>
        </is>
      </c>
      <c r="G302" t="inlineStr">
        <is>
          <t>VÄSTERÅS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46277</v>
      </c>
      <c r="F303" t="inlineStr">
        <is>
          <t>VÄSTMANLANDS LÄN</t>
        </is>
      </c>
      <c r="G303" t="inlineStr">
        <is>
          <t>VÄSTERÅS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45370</v>
      </c>
      <c r="E304" s="1" t="n">
        <v>46277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46277</v>
      </c>
      <c r="F305" t="inlineStr">
        <is>
          <t>VÄSTMANLANDS LÄN</t>
        </is>
      </c>
      <c r="G305" t="inlineStr">
        <is>
          <t>VÄSTERÅS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46277</v>
      </c>
      <c r="F306" t="inlineStr">
        <is>
          <t>VÄSTMANLANDS LÄN</t>
        </is>
      </c>
      <c r="G306" t="inlineStr">
        <is>
          <t>VÄSTERÅS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46277</v>
      </c>
      <c r="F307" t="inlineStr">
        <is>
          <t>VÄSTMANLANDS LÄN</t>
        </is>
      </c>
      <c r="G307" t="inlineStr">
        <is>
          <t>VÄSTERÅS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46274</v>
      </c>
      <c r="E308" s="1" t="n">
        <v>46277</v>
      </c>
      <c r="F308" t="inlineStr">
        <is>
          <t>VÄSTMANLANDS LÄN</t>
        </is>
      </c>
      <c r="G308" t="inlineStr">
        <is>
          <t>VÄSTERÅS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46277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46277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46272</v>
      </c>
      <c r="E311" s="1" t="n">
        <v>46277</v>
      </c>
      <c r="F311" t="inlineStr">
        <is>
          <t>VÄSTMANLANDS LÄN</t>
        </is>
      </c>
      <c r="G311" t="inlineStr">
        <is>
          <t>VÄSTERÅS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46277</v>
      </c>
      <c r="F312" t="inlineStr">
        <is>
          <t>VÄSTMANLANDS LÄN</t>
        </is>
      </c>
      <c r="G312" t="inlineStr">
        <is>
          <t>VÄSTERÅS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46277</v>
      </c>
      <c r="F313" t="inlineStr">
        <is>
          <t>VÄSTMANLANDS LÄN</t>
        </is>
      </c>
      <c r="G313" t="inlineStr">
        <is>
          <t>VÄSTERÅS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46277</v>
      </c>
      <c r="F314" t="inlineStr">
        <is>
          <t>VÄSTMANLANDS LÄN</t>
        </is>
      </c>
      <c r="G314" t="inlineStr">
        <is>
          <t>VÄSTERÅS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46277</v>
      </c>
      <c r="F315" t="inlineStr">
        <is>
          <t>VÄSTMANLANDS LÄN</t>
        </is>
      </c>
      <c r="G315" t="inlineStr">
        <is>
          <t>VÄSTERÅS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46277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46277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Kommuner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46277</v>
      </c>
      <c r="F318" t="inlineStr">
        <is>
          <t>VÄSTMANLANDS LÄN</t>
        </is>
      </c>
      <c r="G318" t="inlineStr">
        <is>
          <t>VÄSTERÅS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56076-2023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45235</v>
      </c>
      <c r="E319" s="1" t="n">
        <v>46277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37.8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46277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46277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46277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46277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46277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46277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46277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46277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46277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2026-09-12T02:11:10Z</dcterms:created>
  <dcterms:modified xmlns:dcterms="http://purl.org/dc/terms/" xmlns:xsi="http://www.w3.org/2001/XMLSchema-instance" xsi:type="dcterms:W3CDTF">2026-09-12T02:11:11Z</dcterms:modified>
</cp:coreProperties>
</file>