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46224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46224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46224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46224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46224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46224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46224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46224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46224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46224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46224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46224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Knärot
Blåmossa
Vedticka
Mattlummer
Revlummer</t>
        </is>
      </c>
      <c r="W13">
        <f>HYPERLINK("https://klasma.github.io/Logging_1980/artfynd/A 26563-2026 artfynd.xlsx", "A 26563-2026")</f>
        <v/>
      </c>
      <c r="X13">
        <f>HYPERLINK("https://klasma.github.io/Logging_1980/kartor/A 26563-2026 karta.png", "A 26563-2026")</f>
        <v/>
      </c>
      <c r="Y13">
        <f>HYPERLINK("https://klasma.github.io/Logging_1980/kartor_geotiff/A 26563-2026 georefererad karta.tif", "A 26563-2026")</f>
        <v/>
      </c>
      <c r="Z13">
        <f>HYPERLINK("https://klasma.github.io/Logging_1980/knärot/A 26563-2026 karta knärot.png", "A 26563-2026")</f>
        <v/>
      </c>
      <c r="AA13">
        <f>HYPERLINK("https://klasma.github.io/Logging_1980/klagomål/A 26563-2026 FSC-klagomål.docx", "A 26563-2026")</f>
        <v/>
      </c>
      <c r="AB13">
        <f>HYPERLINK("https://klasma.github.io/Logging_1980/klagomålsmail/A 26563-2026 FSC-klagomål mail.docx", "A 26563-2026")</f>
        <v/>
      </c>
      <c r="AC13">
        <f>HYPERLINK("https://klasma.github.io/Logging_1980/tillsyn/A 26563-2026 tillsynsbegäran.docx", "A 26563-2026")</f>
        <v/>
      </c>
      <c r="AD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46224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46224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46224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46224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46224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46224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46224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46224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46224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Vithornad barkskinnbagge
Xyletinus ater
Mindre märgborre
Fiskgjuse</t>
        </is>
      </c>
      <c r="W22">
        <f>HYPERLINK("https://klasma.github.io/Logging_1980/artfynd/A 47228-2022 artfynd.xlsx", "A 47228-2022")</f>
        <v/>
      </c>
      <c r="X22">
        <f>HYPERLINK("https://klasma.github.io/Logging_1980/kartor/A 47228-2022 karta.png", "A 47228-2022")</f>
        <v/>
      </c>
      <c r="Y22">
        <f>HYPERLINK("https://klasma.github.io/Logging_1980/kartor_geotiff/A 47228-2022 georefererad karta.tif", "A 47228-2022")</f>
        <v/>
      </c>
      <c r="AA22">
        <f>HYPERLINK("https://klasma.github.io/Logging_1980/klagomål/A 47228-2022 FSC-klagomål.docx", "A 47228-2022")</f>
        <v/>
      </c>
      <c r="AB22">
        <f>HYPERLINK("https://klasma.github.io/Logging_1980/klagomålsmail/A 47228-2022 FSC-klagomål mail.docx", "A 47228-2022")</f>
        <v/>
      </c>
      <c r="AC22">
        <f>HYPERLINK("https://klasma.github.io/Logging_1980/tillsyn/A 47228-2022 tillsynsbegäran.docx", "A 47228-2022")</f>
        <v/>
      </c>
      <c r="AD22">
        <f>HYPERLINK("https://klasma.github.io/Logging_1980/tillsynsmail/A 47228-2022 tillsynsbegäran mail.docx", "A 47228-2022")</f>
        <v/>
      </c>
      <c r="AE22">
        <f>HYPERLINK("https://klasma.github.io/Logging_1980/fåglar/A 47228-2022 prioriterade fågelarter.docx", "A 47228-2022")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46224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46224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46224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46224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46224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46224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46224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Svart trolldruva
Nattviol</t>
        </is>
      </c>
      <c r="W29">
        <f>HYPERLINK("https://klasma.github.io/Logging_1980/artfynd/A 11804-2022 artfynd.xlsx", "A 11804-2022")</f>
        <v/>
      </c>
      <c r="X29">
        <f>HYPERLINK("https://klasma.github.io/Logging_1980/kartor/A 11804-2022 karta.png", "A 11804-2022")</f>
        <v/>
      </c>
      <c r="Y29">
        <f>HYPERLINK("https://klasma.github.io/Logging_1980/kartor_geotiff/A 11804-2022 georefererad karta.tif", "A 11804-2022")</f>
        <v/>
      </c>
      <c r="AA29">
        <f>HYPERLINK("https://klasma.github.io/Logging_1980/klagomål/A 11804-2022 FSC-klagomål.docx", "A 11804-2022")</f>
        <v/>
      </c>
      <c r="AB29">
        <f>HYPERLINK("https://klasma.github.io/Logging_1980/klagomålsmail/A 11804-2022 FSC-klagomål mail.docx", "A 11804-2022")</f>
        <v/>
      </c>
      <c r="AC29">
        <f>HYPERLINK("https://klasma.github.io/Logging_1980/tillsyn/A 11804-2022 tillsynsbegäran.docx", "A 11804-2022")</f>
        <v/>
      </c>
      <c r="AD29">
        <f>HYPERLINK("https://klasma.github.io/Logging_1980/tillsynsmail/A 11804-2022 tillsynsbegäran mail.docx", "A 11804-2022")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46224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46224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46224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46224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46224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46224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46224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46224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46224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46224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37464-2021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44398</v>
      </c>
      <c r="E40" s="1" t="n">
        <v>46224</v>
      </c>
      <c r="F40" t="inlineStr">
        <is>
          <t>VÄSTMANLANDS LÄN</t>
        </is>
      </c>
      <c r="G40" t="inlineStr">
        <is>
          <t>VÄSTERÅS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Mistel</t>
        </is>
      </c>
      <c r="W40">
        <f>HYPERLINK("https://klasma.github.io/Logging_1980/artfynd/A 37464-2021 artfynd.xlsx", "A 37464-2021")</f>
        <v/>
      </c>
      <c r="X40">
        <f>HYPERLINK("https://klasma.github.io/Logging_1980/kartor/A 37464-2021 karta.png", "A 37464-2021")</f>
        <v/>
      </c>
      <c r="Y40">
        <f>HYPERLINK("https://klasma.github.io/Logging_1980/kartor_geotiff/A 37464-2021 georefererad karta.tif", "A 37464-2021")</f>
        <v/>
      </c>
      <c r="AA40">
        <f>HYPERLINK("https://klasma.github.io/Logging_1980/klagomål/A 37464-2021 FSC-klagomål.docx", "A 37464-2021")</f>
        <v/>
      </c>
      <c r="AB40">
        <f>HYPERLINK("https://klasma.github.io/Logging_1980/klagomålsmail/A 37464-2021 FSC-klagomål mail.docx", "A 37464-2021")</f>
        <v/>
      </c>
      <c r="AC40">
        <f>HYPERLINK("https://klasma.github.io/Logging_1980/tillsyn/A 37464-2021 tillsynsbegäran.docx", "A 37464-2021")</f>
        <v/>
      </c>
      <c r="AD40">
        <f>HYPERLINK("https://klasma.github.io/Logging_1980/tillsynsmail/A 37464-2021 tillsynsbegäran mail.docx", "A 37464-2021")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46224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HYPERLINK("https://klasma.github.io/Logging_1980/artfynd/A 30761-2022 artfynd.xlsx", "A 30761-2022")</f>
        <v/>
      </c>
      <c r="X41">
        <f>HYPERLINK("https://klasma.github.io/Logging_1980/kartor/A 30761-2022 karta.png", "A 30761-2022")</f>
        <v/>
      </c>
      <c r="Y41">
        <f>HYPERLINK("https://klasma.github.io/Logging_1980/kartor_geotiff/A 30761-2022 georefererad karta.tif", "A 30761-2022")</f>
        <v/>
      </c>
      <c r="AA41">
        <f>HYPERLINK("https://klasma.github.io/Logging_1980/klagomål/A 30761-2022 FSC-klagomål.docx", "A 30761-2022")</f>
        <v/>
      </c>
      <c r="AB41">
        <f>HYPERLINK("https://klasma.github.io/Logging_1980/klagomålsmail/A 30761-2022 FSC-klagomål mail.docx", "A 30761-2022")</f>
        <v/>
      </c>
      <c r="AC41">
        <f>HYPERLINK("https://klasma.github.io/Logging_1980/tillsyn/A 30761-2022 tillsynsbegäran.docx", "A 30761-2022")</f>
        <v/>
      </c>
      <c r="AD41">
        <f>HYPERLINK("https://klasma.github.io/Logging_1980/tillsynsmail/A 30761-2022 tillsynsbegäran mail.docx", "A 30761-2022")</f>
        <v/>
      </c>
      <c r="AE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46224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HYPERLINK("https://klasma.github.io/Logging_1980/artfynd/A 7534-2022 artfynd.xlsx", "A 7534-2022")</f>
        <v/>
      </c>
      <c r="X42">
        <f>HYPERLINK("https://klasma.github.io/Logging_1980/kartor/A 7534-2022 karta.png", "A 7534-2022")</f>
        <v/>
      </c>
      <c r="Y42">
        <f>HYPERLINK("https://klasma.github.io/Logging_1980/kartor_geotiff/A 7534-2022 georefererad karta.tif", "A 7534-2022")</f>
        <v/>
      </c>
      <c r="AA42">
        <f>HYPERLINK("https://klasma.github.io/Logging_1980/klagomål/A 7534-2022 FSC-klagomål.docx", "A 7534-2022")</f>
        <v/>
      </c>
      <c r="AB42">
        <f>HYPERLINK("https://klasma.github.io/Logging_1980/klagomålsmail/A 7534-2022 FSC-klagomål mail.docx", "A 7534-2022")</f>
        <v/>
      </c>
      <c r="AC42">
        <f>HYPERLINK("https://klasma.github.io/Logging_1980/tillsyn/A 7534-2022 tillsynsbegäran.docx", "A 7534-2022")</f>
        <v/>
      </c>
      <c r="AD42">
        <f>HYPERLINK("https://klasma.github.io/Logging_1980/tillsynsmail/A 7534-2022 tillsynsbegäran mail.docx", "A 7534-2022")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46224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46224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46224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46224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46224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51147-2023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46224</v>
      </c>
      <c r="F48" t="inlineStr">
        <is>
          <t>VÄSTMANLANDS LÄN</t>
        </is>
      </c>
      <c r="G48" t="inlineStr">
        <is>
          <t>VÄSTERÅS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Mindre märgborre</t>
        </is>
      </c>
      <c r="W48">
        <f>HYPERLINK("https://klasma.github.io/Logging_1980/artfynd/A 51147-2023 artfynd.xlsx", "A 51147-2023")</f>
        <v/>
      </c>
      <c r="X48">
        <f>HYPERLINK("https://klasma.github.io/Logging_1980/kartor/A 51147-2023 karta.png", "A 51147-2023")</f>
        <v/>
      </c>
      <c r="Y48">
        <f>HYPERLINK("https://klasma.github.io/Logging_1980/kartor_geotiff/A 51147-2023 georefererad karta.tif", "A 51147-2023")</f>
        <v/>
      </c>
      <c r="AA48">
        <f>HYPERLINK("https://klasma.github.io/Logging_1980/klagomål/A 51147-2023 FSC-klagomål.docx", "A 51147-2023")</f>
        <v/>
      </c>
      <c r="AB48">
        <f>HYPERLINK("https://klasma.github.io/Logging_1980/klagomålsmail/A 51147-2023 FSC-klagomål mail.docx", "A 51147-2023")</f>
        <v/>
      </c>
      <c r="AC48">
        <f>HYPERLINK("https://klasma.github.io/Logging_1980/tillsyn/A 51147-2023 tillsynsbegäran.docx", "A 51147-2023")</f>
        <v/>
      </c>
      <c r="AD48">
        <f>HYPERLINK("https://klasma.github.io/Logging_1980/tillsynsmail/A 51147-2023 tillsynsbegäran mail.docx", "A 51147-2023")</f>
        <v/>
      </c>
    </row>
    <row r="49" ht="15" customHeight="1">
      <c r="A49" t="inlineStr">
        <is>
          <t>A 16374-2025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46224</v>
      </c>
      <c r="F49" t="inlineStr">
        <is>
          <t>VÄSTMANLANDS LÄN</t>
        </is>
      </c>
      <c r="G49" t="inlineStr">
        <is>
          <t>VÄSTERÅS</t>
        </is>
      </c>
      <c r="I49" t="n">
        <v>0.6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Lönnlav</t>
        </is>
      </c>
      <c r="W49">
        <f>HYPERLINK("https://klasma.github.io/Logging_1980/artfynd/A 16374-2025 artfynd.xlsx", "A 16374-2025")</f>
        <v/>
      </c>
      <c r="X49">
        <f>HYPERLINK("https://klasma.github.io/Logging_1980/kartor/A 16374-2025 karta.png", "A 16374-2025")</f>
        <v/>
      </c>
      <c r="Y49">
        <f>HYPERLINK("https://klasma.github.io/Logging_1980/kartor_geotiff/A 16374-2025 georefererad karta.tif", "A 16374-2025")</f>
        <v/>
      </c>
      <c r="AA49">
        <f>HYPERLINK("https://klasma.github.io/Logging_1980/klagomål/A 16374-2025 FSC-klagomål.docx", "A 16374-2025")</f>
        <v/>
      </c>
      <c r="AB49">
        <f>HYPERLINK("https://klasma.github.io/Logging_1980/klagomålsmail/A 16374-2025 FSC-klagomål mail.docx", "A 16374-2025")</f>
        <v/>
      </c>
      <c r="AC49">
        <f>HYPERLINK("https://klasma.github.io/Logging_1980/tillsyn/A 16374-2025 tillsynsbegäran.docx", "A 16374-2025")</f>
        <v/>
      </c>
      <c r="AD49">
        <f>HYPERLINK("https://klasma.github.io/Logging_1980/tillsynsmail/A 16374-2025 tillsynsbegäran mail.docx", "A 16374-2025")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46224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45692</v>
      </c>
      <c r="E51" s="1" t="n">
        <v>46224</v>
      </c>
      <c r="F51" t="inlineStr">
        <is>
          <t>VÄSTMANLANDS LÄN</t>
        </is>
      </c>
      <c r="G51" t="inlineStr">
        <is>
          <t>VÄSTERÅS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Brunklöver</t>
        </is>
      </c>
      <c r="W51">
        <f>HYPERLINK("https://klasma.github.io/Logging_1980/artfynd/A 5363-2025 artfynd.xlsx", "A 5363-2025")</f>
        <v/>
      </c>
      <c r="X51">
        <f>HYPERLINK("https://klasma.github.io/Logging_1980/kartor/A 5363-2025 karta.png", "A 5363-2025")</f>
        <v/>
      </c>
      <c r="Y51">
        <f>HYPERLINK("https://klasma.github.io/Logging_1980/kartor_geotiff/A 5363-2025 georefererad karta.tif", "A 5363-2025")</f>
        <v/>
      </c>
      <c r="AA51">
        <f>HYPERLINK("https://klasma.github.io/Logging_1980/klagomål/A 5363-2025 FSC-klagomål.docx", "A 5363-2025")</f>
        <v/>
      </c>
      <c r="AB51">
        <f>HYPERLINK("https://klasma.github.io/Logging_1980/klagomålsmail/A 5363-2025 FSC-klagomål mail.docx", "A 5363-2025")</f>
        <v/>
      </c>
      <c r="AC51">
        <f>HYPERLINK("https://klasma.github.io/Logging_1980/tillsyn/A 5363-2025 tillsynsbegäran.docx", "A 5363-2025")</f>
        <v/>
      </c>
      <c r="AD51">
        <f>HYPERLINK("https://klasma.github.io/Logging_1980/tillsynsmail/A 5363-2025 tillsynsbegäran mail.docx", "A 5363-2025")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46224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Bandad skulderbock</t>
        </is>
      </c>
      <c r="W52">
        <f>HYPERLINK("https://klasma.github.io/Logging_1980/artfynd/A 61059-2024 artfynd.xlsx", "A 61059-2024")</f>
        <v/>
      </c>
      <c r="X52">
        <f>HYPERLINK("https://klasma.github.io/Logging_1980/kartor/A 61059-2024 karta.png", "A 61059-2024")</f>
        <v/>
      </c>
      <c r="Y52">
        <f>HYPERLINK("https://klasma.github.io/Logging_1980/kartor_geotiff/A 61059-2024 georefererad karta.tif", "A 61059-2024")</f>
        <v/>
      </c>
      <c r="AA52">
        <f>HYPERLINK("https://klasma.github.io/Logging_1980/klagomål/A 61059-2024 FSC-klagomål.docx", "A 61059-2024")</f>
        <v/>
      </c>
      <c r="AB52">
        <f>HYPERLINK("https://klasma.github.io/Logging_1980/klagomålsmail/A 61059-2024 FSC-klagomål mail.docx", "A 61059-2024")</f>
        <v/>
      </c>
      <c r="AC52">
        <f>HYPERLINK("https://klasma.github.io/Logging_1980/tillsyn/A 61059-2024 tillsynsbegäran.docx", "A 61059-2024")</f>
        <v/>
      </c>
      <c r="AD52">
        <f>HYPERLINK("https://klasma.github.io/Logging_1980/tillsynsmail/A 61059-2024 tillsynsbegäran mail.docx", "A 61059-2024")</f>
        <v/>
      </c>
    </row>
    <row r="53" ht="15" customHeight="1">
      <c r="A53" t="inlineStr">
        <is>
          <t>A 59140-2025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46224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HYPERLINK("https://klasma.github.io/Logging_1980/artfynd/A 59140-2025 artfynd.xlsx", "A 59140-2025")</f>
        <v/>
      </c>
      <c r="X53">
        <f>HYPERLINK("https://klasma.github.io/Logging_1980/kartor/A 59140-2025 karta.png", "A 59140-2025")</f>
        <v/>
      </c>
      <c r="Y53">
        <f>HYPERLINK("https://klasma.github.io/Logging_1980/kartor_geotiff/A 59140-2025 georefererad karta.tif", "A 59140-2025")</f>
        <v/>
      </c>
      <c r="AA53">
        <f>HYPERLINK("https://klasma.github.io/Logging_1980/klagomål/A 59140-2025 FSC-klagomål.docx", "A 59140-2025")</f>
        <v/>
      </c>
      <c r="AB53">
        <f>HYPERLINK("https://klasma.github.io/Logging_1980/klagomålsmail/A 59140-2025 FSC-klagomål mail.docx", "A 59140-2025")</f>
        <v/>
      </c>
      <c r="AC53">
        <f>HYPERLINK("https://klasma.github.io/Logging_1980/tillsyn/A 59140-2025 tillsynsbegäran.docx", "A 59140-2025")</f>
        <v/>
      </c>
      <c r="AD53">
        <f>HYPERLINK("https://klasma.github.io/Logging_1980/tillsynsmail/A 59140-2025 tillsynsbegäran mail.docx", "A 59140-2025")</f>
        <v/>
      </c>
      <c r="AE53">
        <f>HYPERLINK("https://klasma.github.io/Logging_1980/fåglar/A 59140-2025 prioriterade fågelarter.docx", "A 59140-2025")</f>
        <v/>
      </c>
    </row>
    <row r="54" ht="15" customHeight="1">
      <c r="A54" t="inlineStr">
        <is>
          <t>A 59144-2025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46224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HYPERLINK("https://klasma.github.io/Logging_1980/artfynd/A 59144-2025 artfynd.xlsx", "A 59144-2025")</f>
        <v/>
      </c>
      <c r="X54">
        <f>HYPERLINK("https://klasma.github.io/Logging_1980/kartor/A 59144-2025 karta.png", "A 59144-2025")</f>
        <v/>
      </c>
      <c r="Y54">
        <f>HYPERLINK("https://klasma.github.io/Logging_1980/kartor_geotiff/A 59144-2025 georefererad karta.tif", "A 59144-2025")</f>
        <v/>
      </c>
      <c r="AA54">
        <f>HYPERLINK("https://klasma.github.io/Logging_1980/klagomål/A 59144-2025 FSC-klagomål.docx", "A 59144-2025")</f>
        <v/>
      </c>
      <c r="AB54">
        <f>HYPERLINK("https://klasma.github.io/Logging_1980/klagomålsmail/A 59144-2025 FSC-klagomål mail.docx", "A 59144-2025")</f>
        <v/>
      </c>
      <c r="AC54">
        <f>HYPERLINK("https://klasma.github.io/Logging_1980/tillsyn/A 59144-2025 tillsynsbegäran.docx", "A 59144-2025")</f>
        <v/>
      </c>
      <c r="AD54">
        <f>HYPERLINK("https://klasma.github.io/Logging_1980/tillsynsmail/A 59144-2025 tillsynsbegäran mail.docx", "A 59144-2025")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46224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HYPERLINK("https://klasma.github.io/Logging_1980/artfynd/A 29787-2023 artfynd.xlsx", "A 29787-2023")</f>
        <v/>
      </c>
      <c r="X55">
        <f>HYPERLINK("https://klasma.github.io/Logging_1980/kartor/A 29787-2023 karta.png", "A 29787-2023")</f>
        <v/>
      </c>
      <c r="Y55">
        <f>HYPERLINK("https://klasma.github.io/Logging_1980/kartor_geotiff/A 29787-2023 georefererad karta.tif", "A 29787-2023")</f>
        <v/>
      </c>
      <c r="AA55">
        <f>HYPERLINK("https://klasma.github.io/Logging_1980/klagomål/A 29787-2023 FSC-klagomål.docx", "A 29787-2023")</f>
        <v/>
      </c>
      <c r="AB55">
        <f>HYPERLINK("https://klasma.github.io/Logging_1980/klagomålsmail/A 29787-2023 FSC-klagomål mail.docx", "A 29787-2023")</f>
        <v/>
      </c>
      <c r="AC55">
        <f>HYPERLINK("https://klasma.github.io/Logging_1980/tillsyn/A 29787-2023 tillsynsbegäran.docx", "A 29787-2023")</f>
        <v/>
      </c>
      <c r="AD55">
        <f>HYPERLINK("https://klasma.github.io/Logging_1980/tillsynsmail/A 29787-2023 tillsynsbegäran mail.docx", "A 29787-2023")</f>
        <v/>
      </c>
    </row>
    <row r="56" ht="15" customHeight="1">
      <c r="A56" t="inlineStr">
        <is>
          <t>A 12058-2026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46086</v>
      </c>
      <c r="E56" s="1" t="n">
        <v>46224</v>
      </c>
      <c r="F56" t="inlineStr">
        <is>
          <t>VÄSTMANLANDS LÄN</t>
        </is>
      </c>
      <c r="G56" t="inlineStr">
        <is>
          <t>VÄSTERÅS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Törnskata</t>
        </is>
      </c>
      <c r="W56">
        <f>HYPERLINK("https://klasma.github.io/Logging_1980/artfynd/A 12058-2026 artfynd.xlsx", "A 12058-2026")</f>
        <v/>
      </c>
      <c r="X56">
        <f>HYPERLINK("https://klasma.github.io/Logging_1980/kartor/A 12058-2026 karta.png", "A 12058-2026")</f>
        <v/>
      </c>
      <c r="Y56">
        <f>HYPERLINK("https://klasma.github.io/Logging_1980/kartor_geotiff/A 12058-2026 georefererad karta.tif", "A 12058-2026")</f>
        <v/>
      </c>
      <c r="AA56">
        <f>HYPERLINK("https://klasma.github.io/Logging_1980/klagomål/A 12058-2026 FSC-klagomål.docx", "A 12058-2026")</f>
        <v/>
      </c>
      <c r="AB56">
        <f>HYPERLINK("https://klasma.github.io/Logging_1980/klagomålsmail/A 12058-2026 FSC-klagomål mail.docx", "A 12058-2026")</f>
        <v/>
      </c>
      <c r="AC56">
        <f>HYPERLINK("https://klasma.github.io/Logging_1980/tillsyn/A 12058-2026 tillsynsbegäran.docx", "A 12058-2026")</f>
        <v/>
      </c>
      <c r="AD56">
        <f>HYPERLINK("https://klasma.github.io/Logging_1980/tillsynsmail/A 12058-2026 tillsynsbegäran mail.docx", "A 12058-2026")</f>
        <v/>
      </c>
      <c r="AE56">
        <f>HYPERLINK("https://klasma.github.io/Logging_1980/fåglar/A 12058-2026 prioriterade fågelarter.docx", "A 12058-2026")</f>
        <v/>
      </c>
    </row>
    <row r="57" ht="15" customHeight="1">
      <c r="A57" t="inlineStr">
        <is>
          <t>A 58395-2022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46224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HYPERLINK("https://klasma.github.io/Logging_1980/artfynd/A 58395-2022 artfynd.xlsx", "A 58395-2022")</f>
        <v/>
      </c>
      <c r="X57">
        <f>HYPERLINK("https://klasma.github.io/Logging_1980/kartor/A 58395-2022 karta.png", "A 58395-2022")</f>
        <v/>
      </c>
      <c r="Y57">
        <f>HYPERLINK("https://klasma.github.io/Logging_1980/kartor_geotiff/A 58395-2022 georefererad karta.tif", "A 58395-2022")</f>
        <v/>
      </c>
      <c r="AA57">
        <f>HYPERLINK("https://klasma.github.io/Logging_1980/klagomål/A 58395-2022 FSC-klagomål.docx", "A 58395-2022")</f>
        <v/>
      </c>
      <c r="AB57">
        <f>HYPERLINK("https://klasma.github.io/Logging_1980/klagomålsmail/A 58395-2022 FSC-klagomål mail.docx", "A 58395-2022")</f>
        <v/>
      </c>
      <c r="AC57">
        <f>HYPERLINK("https://klasma.github.io/Logging_1980/tillsyn/A 58395-2022 tillsynsbegäran.docx", "A 58395-2022")</f>
        <v/>
      </c>
      <c r="AD57">
        <f>HYPERLINK("https://klasma.github.io/Logging_1980/tillsynsmail/A 58395-2022 tillsynsbegäran mail.docx", "A 58395-2022")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46224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HYPERLINK("https://klasma.github.io/Logging_1980/artfynd/A 1594-2023 artfynd.xlsx", "A 1594-2023")</f>
        <v/>
      </c>
      <c r="X58">
        <f>HYPERLINK("https://klasma.github.io/Logging_1980/kartor/A 1594-2023 karta.png", "A 1594-2023")</f>
        <v/>
      </c>
      <c r="Y58">
        <f>HYPERLINK("https://klasma.github.io/Logging_1980/kartor_geotiff/A 1594-2023 georefererad karta.tif", "A 1594-2023")</f>
        <v/>
      </c>
      <c r="AA58">
        <f>HYPERLINK("https://klasma.github.io/Logging_1980/klagomål/A 1594-2023 FSC-klagomål.docx", "A 1594-2023")</f>
        <v/>
      </c>
      <c r="AB58">
        <f>HYPERLINK("https://klasma.github.io/Logging_1980/klagomålsmail/A 1594-2023 FSC-klagomål mail.docx", "A 1594-2023")</f>
        <v/>
      </c>
      <c r="AC58">
        <f>HYPERLINK("https://klasma.github.io/Logging_1980/tillsyn/A 1594-2023 tillsynsbegäran.docx", "A 1594-2023")</f>
        <v/>
      </c>
      <c r="AD58">
        <f>HYPERLINK("https://klasma.github.io/Logging_1980/tillsynsmail/A 1594-2023 tillsynsbegäran mail.docx", "A 1594-2023")</f>
        <v/>
      </c>
      <c r="AE58">
        <f>HYPERLINK("https://klasma.github.io/Logging_1980/fåglar/A 1594-2023 prioriterade fågelarter.docx", "A 1594-2023")</f>
        <v/>
      </c>
    </row>
    <row r="59" ht="15" customHeight="1">
      <c r="A59" t="inlineStr">
        <is>
          <t>A 22378-2026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46224</v>
      </c>
      <c r="F59" t="inlineStr">
        <is>
          <t>VÄSTMANLANDS LÄN</t>
        </is>
      </c>
      <c r="G59" t="inlineStr">
        <is>
          <t>VÄSTERÅS</t>
        </is>
      </c>
      <c r="I59" t="n">
        <v>5.6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Igelkott</t>
        </is>
      </c>
      <c r="W59">
        <f>HYPERLINK("https://klasma.github.io/Logging_1980/artfynd/A 22378-2026 artfynd.xlsx", "A 22378-2026")</f>
        <v/>
      </c>
      <c r="X59">
        <f>HYPERLINK("https://klasma.github.io/Logging_1980/kartor/A 22378-2026 karta.png", "A 22378-2026")</f>
        <v/>
      </c>
      <c r="Y59">
        <f>HYPERLINK("https://klasma.github.io/Logging_1980/kartor_geotiff/A 22378-2026 georefererad karta.tif", "A 22378-2026")</f>
        <v/>
      </c>
      <c r="AA59">
        <f>HYPERLINK("https://klasma.github.io/Logging_1980/klagomål/A 22378-2026 FSC-klagomål.docx", "A 22378-2026")</f>
        <v/>
      </c>
      <c r="AB59">
        <f>HYPERLINK("https://klasma.github.io/Logging_1980/klagomålsmail/A 22378-2026 FSC-klagomål mail.docx", "A 22378-2026")</f>
        <v/>
      </c>
      <c r="AC59">
        <f>HYPERLINK("https://klasma.github.io/Logging_1980/tillsyn/A 22378-2026 tillsynsbegäran.docx", "A 22378-2026")</f>
        <v/>
      </c>
      <c r="AD59">
        <f>HYPERLINK("https://klasma.github.io/Logging_1980/tillsynsmail/A 22378-2026 tillsynsbegäran mail.docx", "A 22378-2026")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46224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46224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46224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HYPERLINK("https://klasma.github.io/Logging_1980/artfynd/A 59520-2024 artfynd.xlsx", "A 59520-2024")</f>
        <v/>
      </c>
      <c r="X62">
        <f>HYPERLINK("https://klasma.github.io/Logging_1980/kartor/A 59520-2024 karta.png", "A 59520-2024")</f>
        <v/>
      </c>
      <c r="Y62">
        <f>HYPERLINK("https://klasma.github.io/Logging_1980/kartor_geotiff/A 59520-2024 georefererad karta.tif", "A 59520-2024")</f>
        <v/>
      </c>
      <c r="AA62">
        <f>HYPERLINK("https://klasma.github.io/Logging_1980/klagomål/A 59520-2024 FSC-klagomål.docx", "A 59520-2024")</f>
        <v/>
      </c>
      <c r="AB62">
        <f>HYPERLINK("https://klasma.github.io/Logging_1980/klagomålsmail/A 59520-2024 FSC-klagomål mail.docx", "A 59520-2024")</f>
        <v/>
      </c>
      <c r="AC62">
        <f>HYPERLINK("https://klasma.github.io/Logging_1980/tillsyn/A 59520-2024 tillsynsbegäran.docx", "A 59520-2024")</f>
        <v/>
      </c>
      <c r="AD62">
        <f>HYPERLINK("https://klasma.github.io/Logging_1980/tillsynsmail/A 59520-2024 tillsynsbegäran mail.docx", "A 59520-2024")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46224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46224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46224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46224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46224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46224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46224</v>
      </c>
      <c r="F69" t="inlineStr">
        <is>
          <t>VÄSTMANLANDS LÄN</t>
        </is>
      </c>
      <c r="G69" t="inlineStr">
        <is>
          <t>VÄSTERÅS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46224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46224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46224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46224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46224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46224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46224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46224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46224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46224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46224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46224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46224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46224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46224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46224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46224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46224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46224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46224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46224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46224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46224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46224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46224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46224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46224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46224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55676-2023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46224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37.9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46224</v>
      </c>
      <c r="F99" t="inlineStr">
        <is>
          <t>VÄSTMANLANDS LÄN</t>
        </is>
      </c>
      <c r="G99" t="inlineStr">
        <is>
          <t>VÄSTERÅS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46224</v>
      </c>
      <c r="F100" t="inlineStr">
        <is>
          <t>VÄSTMANLANDS LÄN</t>
        </is>
      </c>
      <c r="G100" t="inlineStr">
        <is>
          <t>VÄSTERÅS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55684-2023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45232</v>
      </c>
      <c r="E101" s="1" t="n">
        <v>46224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29.4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46224</v>
      </c>
      <c r="F102" t="inlineStr">
        <is>
          <t>VÄSTMANLANDS LÄN</t>
        </is>
      </c>
      <c r="G102" t="inlineStr">
        <is>
          <t>VÄSTERÅS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46224</v>
      </c>
      <c r="F103" t="inlineStr">
        <is>
          <t>VÄSTMANLANDS LÄN</t>
        </is>
      </c>
      <c r="G103" t="inlineStr">
        <is>
          <t>VÄSTERÅS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45110</v>
      </c>
      <c r="E104" s="1" t="n">
        <v>46224</v>
      </c>
      <c r="F104" t="inlineStr">
        <is>
          <t>VÄSTMANLANDS LÄN</t>
        </is>
      </c>
      <c r="G104" t="inlineStr">
        <is>
          <t>VÄSTERÅS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74314-2021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46224</v>
      </c>
      <c r="F105" t="inlineStr">
        <is>
          <t>VÄSTMANLANDS LÄN</t>
        </is>
      </c>
      <c r="G105" t="inlineStr">
        <is>
          <t>VÄSTERÅS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46224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46224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46224</v>
      </c>
      <c r="F108" t="inlineStr">
        <is>
          <t>VÄSTMANLANDS LÄN</t>
        </is>
      </c>
      <c r="G108" t="inlineStr">
        <is>
          <t>VÄSTERÅS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44552</v>
      </c>
      <c r="E109" s="1" t="n">
        <v>46224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46224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45639</v>
      </c>
      <c r="E111" s="1" t="n">
        <v>46224</v>
      </c>
      <c r="F111" t="inlineStr">
        <is>
          <t>VÄSTMANLANDS LÄN</t>
        </is>
      </c>
      <c r="G111" t="inlineStr">
        <is>
          <t>VÄSTERÅS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46224</v>
      </c>
      <c r="F112" t="inlineStr">
        <is>
          <t>VÄSTMANLANDS LÄN</t>
        </is>
      </c>
      <c r="G112" t="inlineStr">
        <is>
          <t>VÄSTERÅS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44961</v>
      </c>
      <c r="E113" s="1" t="n">
        <v>46224</v>
      </c>
      <c r="F113" t="inlineStr">
        <is>
          <t>VÄSTMANLANDS LÄN</t>
        </is>
      </c>
      <c r="G113" t="inlineStr">
        <is>
          <t>VÄSTERÅS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44428</v>
      </c>
      <c r="E114" s="1" t="n">
        <v>46224</v>
      </c>
      <c r="F114" t="inlineStr">
        <is>
          <t>VÄSTMANLANDS LÄN</t>
        </is>
      </c>
      <c r="G114" t="inlineStr">
        <is>
          <t>VÄSTERÅS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45506</v>
      </c>
      <c r="E115" s="1" t="n">
        <v>46224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Kommuner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44662</v>
      </c>
      <c r="E116" s="1" t="n">
        <v>46224</v>
      </c>
      <c r="F116" t="inlineStr">
        <is>
          <t>VÄSTMANLANDS LÄN</t>
        </is>
      </c>
      <c r="G116" t="inlineStr">
        <is>
          <t>VÄSTERÅS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45545</v>
      </c>
      <c r="E117" s="1" t="n">
        <v>46224</v>
      </c>
      <c r="F117" t="inlineStr">
        <is>
          <t>VÄSTMANLANDS LÄN</t>
        </is>
      </c>
      <c r="G117" t="inlineStr">
        <is>
          <t>VÄSTERÅS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46224</v>
      </c>
      <c r="F118" t="inlineStr">
        <is>
          <t>VÄSTMANLANDS LÄN</t>
        </is>
      </c>
      <c r="G118" t="inlineStr">
        <is>
          <t>VÄSTERÅS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45595</v>
      </c>
      <c r="E119" s="1" t="n">
        <v>46224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Övriga Aktiebolag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45072</v>
      </c>
      <c r="E120" s="1" t="n">
        <v>46224</v>
      </c>
      <c r="F120" t="inlineStr">
        <is>
          <t>VÄSTMANLANDS LÄN</t>
        </is>
      </c>
      <c r="G120" t="inlineStr">
        <is>
          <t>VÄSTERÅS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46224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45705</v>
      </c>
      <c r="E122" s="1" t="n">
        <v>46224</v>
      </c>
      <c r="F122" t="inlineStr">
        <is>
          <t>VÄSTMANLANDS LÄN</t>
        </is>
      </c>
      <c r="G122" t="inlineStr">
        <is>
          <t>VÄSTERÅS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45370</v>
      </c>
      <c r="E123" s="1" t="n">
        <v>46224</v>
      </c>
      <c r="F123" t="inlineStr">
        <is>
          <t>VÄSTMANLANDS LÄN</t>
        </is>
      </c>
      <c r="G123" t="inlineStr">
        <is>
          <t>VÄSTERÅS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38538-2023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46224</v>
      </c>
      <c r="F124" t="inlineStr">
        <is>
          <t>VÄSTMANLANDS LÄN</t>
        </is>
      </c>
      <c r="G124" t="inlineStr">
        <is>
          <t>VÄSTERÅS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45019</v>
      </c>
      <c r="E125" s="1" t="n">
        <v>46224</v>
      </c>
      <c r="F125" t="inlineStr">
        <is>
          <t>VÄSTMANLANDS LÄN</t>
        </is>
      </c>
      <c r="G125" t="inlineStr">
        <is>
          <t>VÄSTERÅS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45223</v>
      </c>
      <c r="E126" s="1" t="n">
        <v>46224</v>
      </c>
      <c r="F126" t="inlineStr">
        <is>
          <t>VÄSTMANLANDS LÄN</t>
        </is>
      </c>
      <c r="G126" t="inlineStr">
        <is>
          <t>VÄSTERÅS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56945-2024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45628</v>
      </c>
      <c r="E127" s="1" t="n">
        <v>46224</v>
      </c>
      <c r="F127" t="inlineStr">
        <is>
          <t>VÄSTMANLANDS LÄN</t>
        </is>
      </c>
      <c r="G127" t="inlineStr">
        <is>
          <t>VÄSTERÅS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56076-2023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45235</v>
      </c>
      <c r="E128" s="1" t="n">
        <v>46224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37.8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46224</v>
      </c>
      <c r="F129" t="inlineStr">
        <is>
          <t>VÄSTMANLANDS LÄN</t>
        </is>
      </c>
      <c r="G129" t="inlineStr">
        <is>
          <t>VÄSTERÅS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46224</v>
      </c>
      <c r="F130" t="inlineStr">
        <is>
          <t>VÄSTMANLANDS LÄN</t>
        </is>
      </c>
      <c r="G130" t="inlineStr">
        <is>
          <t>VÄSTERÅS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46224</v>
      </c>
      <c r="F131" t="inlineStr">
        <is>
          <t>VÄSTMANLANDS LÄN</t>
        </is>
      </c>
      <c r="G131" t="inlineStr">
        <is>
          <t>VÄSTERÅS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45603</v>
      </c>
      <c r="E132" s="1" t="n">
        <v>46224</v>
      </c>
      <c r="F132" t="inlineStr">
        <is>
          <t>VÄSTMANLANDS LÄN</t>
        </is>
      </c>
      <c r="G132" t="inlineStr">
        <is>
          <t>VÄSTERÅS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45453</v>
      </c>
      <c r="E133" s="1" t="n">
        <v>46224</v>
      </c>
      <c r="F133" t="inlineStr">
        <is>
          <t>VÄSTMANLANDS LÄN</t>
        </is>
      </c>
      <c r="G133" t="inlineStr">
        <is>
          <t>VÄSTERÅS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45506</v>
      </c>
      <c r="E134" s="1" t="n">
        <v>46224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Kommuner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46224</v>
      </c>
      <c r="F135" t="inlineStr">
        <is>
          <t>VÄSTMANLANDS LÄN</t>
        </is>
      </c>
      <c r="G135" t="inlineStr">
        <is>
          <t>VÄSTERÅS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44875</v>
      </c>
      <c r="E136" s="1" t="n">
        <v>46224</v>
      </c>
      <c r="F136" t="inlineStr">
        <is>
          <t>VÄSTMANLANDS LÄN</t>
        </is>
      </c>
      <c r="G136" t="inlineStr">
        <is>
          <t>VÄSTERÅS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46224</v>
      </c>
      <c r="F137" t="inlineStr">
        <is>
          <t>VÄSTMANLANDS LÄN</t>
        </is>
      </c>
      <c r="G137" t="inlineStr">
        <is>
          <t>VÄSTERÅS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45617</v>
      </c>
      <c r="E138" s="1" t="n">
        <v>46224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46224</v>
      </c>
      <c r="F139" t="inlineStr">
        <is>
          <t>VÄSTMANLANDS LÄN</t>
        </is>
      </c>
      <c r="G139" t="inlineStr">
        <is>
          <t>VÄSTERÅS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11137-2023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44987</v>
      </c>
      <c r="E140" s="1" t="n">
        <v>46224</v>
      </c>
      <c r="F140" t="inlineStr">
        <is>
          <t>VÄSTMANLANDS LÄN</t>
        </is>
      </c>
      <c r="G140" t="inlineStr">
        <is>
          <t>VÄSTERÅS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46224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Övriga statliga verk och myndigheter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46224</v>
      </c>
      <c r="F142" t="inlineStr">
        <is>
          <t>VÄSTMANLANDS LÄN</t>
        </is>
      </c>
      <c r="G142" t="inlineStr">
        <is>
          <t>VÄSTERÅS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44999</v>
      </c>
      <c r="E143" s="1" t="n">
        <v>46224</v>
      </c>
      <c r="F143" t="inlineStr">
        <is>
          <t>VÄSTMANLANDS LÄN</t>
        </is>
      </c>
      <c r="G143" t="inlineStr">
        <is>
          <t>VÄSTERÅS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46224</v>
      </c>
      <c r="F144" t="inlineStr">
        <is>
          <t>VÄSTMANLANDS LÄN</t>
        </is>
      </c>
      <c r="G144" t="inlineStr">
        <is>
          <t>VÄSTERÅS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64207-2023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45279</v>
      </c>
      <c r="E145" s="1" t="n">
        <v>46224</v>
      </c>
      <c r="F145" t="inlineStr">
        <is>
          <t>VÄSTMANLANDS LÄN</t>
        </is>
      </c>
      <c r="G145" t="inlineStr">
        <is>
          <t>VÄSTERÅS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46224</v>
      </c>
      <c r="F146" t="inlineStr">
        <is>
          <t>VÄSTMANLANDS LÄN</t>
        </is>
      </c>
      <c r="G146" t="inlineStr">
        <is>
          <t>VÄSTERÅS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44635</v>
      </c>
      <c r="E147" s="1" t="n">
        <v>46224</v>
      </c>
      <c r="F147" t="inlineStr">
        <is>
          <t>VÄSTMANLANDS LÄN</t>
        </is>
      </c>
      <c r="G147" t="inlineStr">
        <is>
          <t>VÄSTERÅS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45516</v>
      </c>
      <c r="E148" s="1" t="n">
        <v>46224</v>
      </c>
      <c r="F148" t="inlineStr">
        <is>
          <t>VÄSTMANLANDS LÄN</t>
        </is>
      </c>
      <c r="G148" t="inlineStr">
        <is>
          <t>VÄSTERÅS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46224</v>
      </c>
      <c r="F149" t="inlineStr">
        <is>
          <t>VÄSTMANLANDS LÄN</t>
        </is>
      </c>
      <c r="G149" t="inlineStr">
        <is>
          <t>VÄSTERÅS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46224</v>
      </c>
      <c r="F150" t="inlineStr">
        <is>
          <t>VÄSTMANLANDS LÄN</t>
        </is>
      </c>
      <c r="G150" t="inlineStr">
        <is>
          <t>VÄSTERÅS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46224</v>
      </c>
      <c r="F151" t="inlineStr">
        <is>
          <t>VÄSTMANLANDS LÄN</t>
        </is>
      </c>
      <c r="G151" t="inlineStr">
        <is>
          <t>VÄSTERÅS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46224</v>
      </c>
      <c r="F152" t="inlineStr">
        <is>
          <t>VÄSTMANLANDS LÄN</t>
        </is>
      </c>
      <c r="G152" t="inlineStr">
        <is>
          <t>VÄSTERÅS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44880</v>
      </c>
      <c r="E153" s="1" t="n">
        <v>46224</v>
      </c>
      <c r="F153" t="inlineStr">
        <is>
          <t>VÄSTMANLANDS LÄN</t>
        </is>
      </c>
      <c r="G153" t="inlineStr">
        <is>
          <t>VÄSTERÅS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46224</v>
      </c>
      <c r="F154" t="inlineStr">
        <is>
          <t>VÄSTMANLANDS LÄN</t>
        </is>
      </c>
      <c r="G154" t="inlineStr">
        <is>
          <t>VÄSTERÅS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46224</v>
      </c>
      <c r="F155" t="inlineStr">
        <is>
          <t>VÄSTMANLANDS LÄN</t>
        </is>
      </c>
      <c r="G155" t="inlineStr">
        <is>
          <t>VÄSTERÅS</t>
        </is>
      </c>
      <c r="H155" t="inlineStr">
        <is>
          <t>Övriga statliga verk och myndigheter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45833</v>
      </c>
      <c r="E156" s="1" t="n">
        <v>46224</v>
      </c>
      <c r="F156" t="inlineStr">
        <is>
          <t>VÄSTMANLANDS LÄN</t>
        </is>
      </c>
      <c r="G156" t="inlineStr">
        <is>
          <t>VÄSTERÅS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46224</v>
      </c>
      <c r="F157" t="inlineStr">
        <is>
          <t>VÄSTMANLANDS LÄN</t>
        </is>
      </c>
      <c r="G157" t="inlineStr">
        <is>
          <t>VÄSTERÅS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46224</v>
      </c>
      <c r="F158" t="inlineStr">
        <is>
          <t>VÄSTMANLANDS LÄN</t>
        </is>
      </c>
      <c r="G158" t="inlineStr">
        <is>
          <t>VÄSTERÅS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46224</v>
      </c>
      <c r="F159" t="inlineStr">
        <is>
          <t>VÄSTMANLANDS LÄN</t>
        </is>
      </c>
      <c r="G159" t="inlineStr">
        <is>
          <t>VÄSTERÅS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46224</v>
      </c>
      <c r="F160" t="inlineStr">
        <is>
          <t>VÄSTMANLANDS LÄN</t>
        </is>
      </c>
      <c r="G160" t="inlineStr">
        <is>
          <t>VÄSTERÅS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45125</v>
      </c>
      <c r="E161" s="1" t="n">
        <v>46224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44743</v>
      </c>
      <c r="E162" s="1" t="n">
        <v>46224</v>
      </c>
      <c r="F162" t="inlineStr">
        <is>
          <t>VÄSTMANLANDS LÄN</t>
        </is>
      </c>
      <c r="G162" t="inlineStr">
        <is>
          <t>VÄSTERÅS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64208-2023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45279</v>
      </c>
      <c r="E163" s="1" t="n">
        <v>46224</v>
      </c>
      <c r="F163" t="inlineStr">
        <is>
          <t>VÄSTMANLANDS LÄN</t>
        </is>
      </c>
      <c r="G163" t="inlineStr">
        <is>
          <t>VÄSTERÅS</t>
        </is>
      </c>
      <c r="I163" t="n">
        <v>13.9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39127-2022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44816</v>
      </c>
      <c r="E164" s="1" t="n">
        <v>46224</v>
      </c>
      <c r="F164" t="inlineStr">
        <is>
          <t>VÄSTMANLANDS LÄN</t>
        </is>
      </c>
      <c r="G164" t="inlineStr">
        <is>
          <t>VÄSTERÅS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46224</v>
      </c>
      <c r="F165" t="inlineStr">
        <is>
          <t>VÄSTMANLANDS LÄN</t>
        </is>
      </c>
      <c r="G165" t="inlineStr">
        <is>
          <t>VÄSTERÅS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46224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Allmännings- och besparingsskogar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56016-2025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46224</v>
      </c>
      <c r="F167" t="inlineStr">
        <is>
          <t>VÄSTMANLANDS LÄN</t>
        </is>
      </c>
      <c r="G167" t="inlineStr">
        <is>
          <t>VÄSTERÅS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46224</v>
      </c>
      <c r="F168" t="inlineStr">
        <is>
          <t>VÄSTMANLANDS LÄN</t>
        </is>
      </c>
      <c r="G168" t="inlineStr">
        <is>
          <t>VÄSTERÅS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32053-2023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46224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Sveaskog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44645</v>
      </c>
      <c r="E170" s="1" t="n">
        <v>46224</v>
      </c>
      <c r="F170" t="inlineStr">
        <is>
          <t>VÄSTMANLANDS LÄN</t>
        </is>
      </c>
      <c r="G170" t="inlineStr">
        <is>
          <t>VÄSTERÅS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13614-2022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46224</v>
      </c>
      <c r="F171" t="inlineStr">
        <is>
          <t>VÄSTMANLANDS LÄN</t>
        </is>
      </c>
      <c r="G171" t="inlineStr">
        <is>
          <t>VÄSTERÅS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46224</v>
      </c>
      <c r="F172" t="inlineStr">
        <is>
          <t>VÄSTMANLANDS LÄN</t>
        </is>
      </c>
      <c r="G172" t="inlineStr">
        <is>
          <t>VÄSTERÅS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45219</v>
      </c>
      <c r="E173" s="1" t="n">
        <v>46224</v>
      </c>
      <c r="F173" t="inlineStr">
        <is>
          <t>VÄSTMANLANDS LÄN</t>
        </is>
      </c>
      <c r="G173" t="inlineStr">
        <is>
          <t>VÄSTERÅS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45979</v>
      </c>
      <c r="E174" s="1" t="n">
        <v>46224</v>
      </c>
      <c r="F174" t="inlineStr">
        <is>
          <t>VÄSTMANLANDS LÄN</t>
        </is>
      </c>
      <c r="G174" t="inlineStr">
        <is>
          <t>VÄSTERÅS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44635</v>
      </c>
      <c r="E175" s="1" t="n">
        <v>46224</v>
      </c>
      <c r="F175" t="inlineStr">
        <is>
          <t>VÄSTMANLANDS LÄN</t>
        </is>
      </c>
      <c r="G175" t="inlineStr">
        <is>
          <t>VÄSTERÅS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11989-2022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44635</v>
      </c>
      <c r="E176" s="1" t="n">
        <v>46224</v>
      </c>
      <c r="F176" t="inlineStr">
        <is>
          <t>VÄSTMANLANDS LÄN</t>
        </is>
      </c>
      <c r="G176" t="inlineStr">
        <is>
          <t>VÄSTERÅS</t>
        </is>
      </c>
      <c r="I176" t="n">
        <v>12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46224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Sveaskog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46224</v>
      </c>
      <c r="F178" t="inlineStr">
        <is>
          <t>VÄSTMANLANDS LÄN</t>
        </is>
      </c>
      <c r="G178" t="inlineStr">
        <is>
          <t>VÄSTERÅS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44908</v>
      </c>
      <c r="E179" s="1" t="n">
        <v>46224</v>
      </c>
      <c r="F179" t="inlineStr">
        <is>
          <t>VÄSTMANLANDS LÄN</t>
        </is>
      </c>
      <c r="G179" t="inlineStr">
        <is>
          <t>VÄSTERÅS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45174</v>
      </c>
      <c r="E180" s="1" t="n">
        <v>46224</v>
      </c>
      <c r="F180" t="inlineStr">
        <is>
          <t>VÄSTMANLANDS LÄN</t>
        </is>
      </c>
      <c r="G180" t="inlineStr">
        <is>
          <t>VÄSTERÅS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45027</v>
      </c>
      <c r="E181" s="1" t="n">
        <v>46224</v>
      </c>
      <c r="F181" t="inlineStr">
        <is>
          <t>VÄSTMANLANDS LÄN</t>
        </is>
      </c>
      <c r="G181" t="inlineStr">
        <is>
          <t>VÄSTERÅS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45027</v>
      </c>
      <c r="E182" s="1" t="n">
        <v>46224</v>
      </c>
      <c r="F182" t="inlineStr">
        <is>
          <t>VÄSTMANLANDS LÄN</t>
        </is>
      </c>
      <c r="G182" t="inlineStr">
        <is>
          <t>VÄSTERÅS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46224</v>
      </c>
      <c r="F183" t="inlineStr">
        <is>
          <t>VÄSTMANLANDS LÄN</t>
        </is>
      </c>
      <c r="G183" t="inlineStr">
        <is>
          <t>VÄSTERÅS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52015-2024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45607</v>
      </c>
      <c r="E184" s="1" t="n">
        <v>46224</v>
      </c>
      <c r="F184" t="inlineStr">
        <is>
          <t>VÄSTMANLANDS LÄN</t>
        </is>
      </c>
      <c r="G184" t="inlineStr">
        <is>
          <t>VÄSTERÅS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44999</v>
      </c>
      <c r="E185" s="1" t="n">
        <v>46224</v>
      </c>
      <c r="F185" t="inlineStr">
        <is>
          <t>VÄSTMANLANDS LÄN</t>
        </is>
      </c>
      <c r="G185" t="inlineStr">
        <is>
          <t>VÄSTERÅS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46059</v>
      </c>
      <c r="E186" s="1" t="n">
        <v>46224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7797-2026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46062</v>
      </c>
      <c r="E187" s="1" t="n">
        <v>46224</v>
      </c>
      <c r="F187" t="inlineStr">
        <is>
          <t>VÄSTMANLANDS LÄN</t>
        </is>
      </c>
      <c r="G187" t="inlineStr">
        <is>
          <t>VÄSTERÅS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45219</v>
      </c>
      <c r="E188" s="1" t="n">
        <v>46224</v>
      </c>
      <c r="F188" t="inlineStr">
        <is>
          <t>VÄSTMANLANDS LÄN</t>
        </is>
      </c>
      <c r="G188" t="inlineStr">
        <is>
          <t>VÄSTERÅS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46224</v>
      </c>
      <c r="F189" t="inlineStr">
        <is>
          <t>VÄSTMANLANDS LÄN</t>
        </is>
      </c>
      <c r="G189" t="inlineStr">
        <is>
          <t>VÄSTERÅS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46224</v>
      </c>
      <c r="F190" t="inlineStr">
        <is>
          <t>VÄSTMANLANDS LÄN</t>
        </is>
      </c>
      <c r="G190" t="inlineStr">
        <is>
          <t>VÄSTERÅS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46224</v>
      </c>
      <c r="F191" t="inlineStr">
        <is>
          <t>VÄSTMANLANDS LÄN</t>
        </is>
      </c>
      <c r="G191" t="inlineStr">
        <is>
          <t>VÄSTERÅS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3118-2022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44582</v>
      </c>
      <c r="E192" s="1" t="n">
        <v>46224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Övriga Aktiebolag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46224</v>
      </c>
      <c r="F193" t="inlineStr">
        <is>
          <t>VÄSTMANLANDS LÄN</t>
        </is>
      </c>
      <c r="G193" t="inlineStr">
        <is>
          <t>VÄSTERÅS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38381-2022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44812</v>
      </c>
      <c r="E194" s="1" t="n">
        <v>46224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46224</v>
      </c>
      <c r="F195" t="inlineStr">
        <is>
          <t>VÄSTMANLANDS LÄN</t>
        </is>
      </c>
      <c r="G195" t="inlineStr">
        <is>
          <t>VÄSTERÅS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52027-2025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45952</v>
      </c>
      <c r="E196" s="1" t="n">
        <v>46224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Övriga statliga verk och myndigheter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46079</v>
      </c>
      <c r="E197" s="1" t="n">
        <v>46224</v>
      </c>
      <c r="F197" t="inlineStr">
        <is>
          <t>VÄSTMANLANDS LÄN</t>
        </is>
      </c>
      <c r="G197" t="inlineStr">
        <is>
          <t>VÄSTERÅS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46224</v>
      </c>
      <c r="F198" t="inlineStr">
        <is>
          <t>VÄSTMANLANDS LÄN</t>
        </is>
      </c>
      <c r="G198" t="inlineStr">
        <is>
          <t>VÄSTERÅS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17258-2024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45414</v>
      </c>
      <c r="E199" s="1" t="n">
        <v>46224</v>
      </c>
      <c r="F199" t="inlineStr">
        <is>
          <t>VÄSTMANLANDS LÄN</t>
        </is>
      </c>
      <c r="G199" t="inlineStr">
        <is>
          <t>VÄSTERÅS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46224</v>
      </c>
      <c r="F200" t="inlineStr">
        <is>
          <t>VÄSTMANLANDS LÄN</t>
        </is>
      </c>
      <c r="G200" t="inlineStr">
        <is>
          <t>VÄSTERÅS</t>
        </is>
      </c>
      <c r="I200" t="n">
        <v>20.3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11739-2026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46084</v>
      </c>
      <c r="E201" s="1" t="n">
        <v>46224</v>
      </c>
      <c r="F201" t="inlineStr">
        <is>
          <t>VÄSTMANLANDS LÄN</t>
        </is>
      </c>
      <c r="G201" t="inlineStr">
        <is>
          <t>VÄSTERÅS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18465-2023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45042</v>
      </c>
      <c r="E202" s="1" t="n">
        <v>46224</v>
      </c>
      <c r="F202" t="inlineStr">
        <is>
          <t>VÄSTMANLANDS LÄN</t>
        </is>
      </c>
      <c r="G202" t="inlineStr">
        <is>
          <t>VÄSTERÅS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46078</v>
      </c>
      <c r="E203" s="1" t="n">
        <v>46224</v>
      </c>
      <c r="F203" t="inlineStr">
        <is>
          <t>VÄSTMANLANDS LÄN</t>
        </is>
      </c>
      <c r="G203" t="inlineStr">
        <is>
          <t>VÄSTERÅS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64202-2023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45279</v>
      </c>
      <c r="E204" s="1" t="n">
        <v>46224</v>
      </c>
      <c r="F204" t="inlineStr">
        <is>
          <t>VÄSTMANLANDS LÄN</t>
        </is>
      </c>
      <c r="G204" t="inlineStr">
        <is>
          <t>VÄSTERÅS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46224</v>
      </c>
      <c r="F205" t="inlineStr">
        <is>
          <t>VÄSTMANLANDS LÄN</t>
        </is>
      </c>
      <c r="G205" t="inlineStr">
        <is>
          <t>VÄSTERÅS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12625-2026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46224</v>
      </c>
      <c r="F206" t="inlineStr">
        <is>
          <t>VÄSTMANLANDS LÄN</t>
        </is>
      </c>
      <c r="G206" t="inlineStr">
        <is>
          <t>VÄSTERÅS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45553</v>
      </c>
      <c r="E207" s="1" t="n">
        <v>46224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Kyrkan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45160</v>
      </c>
      <c r="E208" s="1" t="n">
        <v>46224</v>
      </c>
      <c r="F208" t="inlineStr">
        <is>
          <t>VÄSTMANLANDS LÄN</t>
        </is>
      </c>
      <c r="G208" t="inlineStr">
        <is>
          <t>VÄSTERÅS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44659</v>
      </c>
      <c r="E209" s="1" t="n">
        <v>46224</v>
      </c>
      <c r="F209" t="inlineStr">
        <is>
          <t>VÄSTMANLANDS LÄN</t>
        </is>
      </c>
      <c r="G209" t="inlineStr">
        <is>
          <t>VÄSTERÅS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46224</v>
      </c>
      <c r="F210" t="inlineStr">
        <is>
          <t>VÄSTMANLANDS LÄN</t>
        </is>
      </c>
      <c r="G210" t="inlineStr">
        <is>
          <t>VÄSTERÅS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14885-2026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46104</v>
      </c>
      <c r="E211" s="1" t="n">
        <v>46224</v>
      </c>
      <c r="F211" t="inlineStr">
        <is>
          <t>VÄSTMANLANDS LÄN</t>
        </is>
      </c>
      <c r="G211" t="inlineStr">
        <is>
          <t>VÄSTERÅS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46080</v>
      </c>
      <c r="E212" s="1" t="n">
        <v>46224</v>
      </c>
      <c r="F212" t="inlineStr">
        <is>
          <t>VÄSTMANLANDS LÄN</t>
        </is>
      </c>
      <c r="G212" t="inlineStr">
        <is>
          <t>VÄSTERÅS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46080</v>
      </c>
      <c r="E213" s="1" t="n">
        <v>46224</v>
      </c>
      <c r="F213" t="inlineStr">
        <is>
          <t>VÄSTMANLANDS LÄN</t>
        </is>
      </c>
      <c r="G213" t="inlineStr">
        <is>
          <t>VÄSTERÅS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46112</v>
      </c>
      <c r="E214" s="1" t="n">
        <v>46224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46224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46224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46224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46224</v>
      </c>
      <c r="F218" t="inlineStr">
        <is>
          <t>VÄSTMANLANDS LÄN</t>
        </is>
      </c>
      <c r="G218" t="inlineStr">
        <is>
          <t>VÄSTERÅS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17499-2026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46120</v>
      </c>
      <c r="E219" s="1" t="n">
        <v>46224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Allmännings- och besparingsskogar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46224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Kommuner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63851-2021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44509</v>
      </c>
      <c r="E221" s="1" t="n">
        <v>46224</v>
      </c>
      <c r="F221" t="inlineStr">
        <is>
          <t>VÄSTMANLANDS LÄN</t>
        </is>
      </c>
      <c r="G221" t="inlineStr">
        <is>
          <t>VÄSTERÅS</t>
        </is>
      </c>
      <c r="I221" t="n">
        <v>11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46224</v>
      </c>
      <c r="F222" t="inlineStr">
        <is>
          <t>VÄSTMANLANDS LÄN</t>
        </is>
      </c>
      <c r="G222" t="inlineStr">
        <is>
          <t>VÄSTERÅS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46224</v>
      </c>
      <c r="F223" t="inlineStr">
        <is>
          <t>VÄSTMANLANDS LÄN</t>
        </is>
      </c>
      <c r="G223" t="inlineStr">
        <is>
          <t>VÄSTERÅS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18457-2023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45042</v>
      </c>
      <c r="E224" s="1" t="n">
        <v>46224</v>
      </c>
      <c r="F224" t="inlineStr">
        <is>
          <t>VÄSTMANLANDS LÄN</t>
        </is>
      </c>
      <c r="G224" t="inlineStr">
        <is>
          <t>VÄSTERÅS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44717</v>
      </c>
      <c r="E225" s="1" t="n">
        <v>46224</v>
      </c>
      <c r="F225" t="inlineStr">
        <is>
          <t>VÄSTMANLANDS LÄN</t>
        </is>
      </c>
      <c r="G225" t="inlineStr">
        <is>
          <t>VÄSTERÅS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46135</v>
      </c>
      <c r="E226" s="1" t="n">
        <v>46224</v>
      </c>
      <c r="F226" t="inlineStr">
        <is>
          <t>VÄSTMANLANDS LÄN</t>
        </is>
      </c>
      <c r="G226" t="inlineStr">
        <is>
          <t>VÄSTERÅS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46224</v>
      </c>
      <c r="F227" t="inlineStr">
        <is>
          <t>VÄSTMANLANDS LÄN</t>
        </is>
      </c>
      <c r="G227" t="inlineStr">
        <is>
          <t>VÄSTERÅS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17725-2022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44680</v>
      </c>
      <c r="E228" s="1" t="n">
        <v>46224</v>
      </c>
      <c r="F228" t="inlineStr">
        <is>
          <t>VÄSTMANLANDS LÄN</t>
        </is>
      </c>
      <c r="G228" t="inlineStr">
        <is>
          <t>VÄSTERÅS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41469-2024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45560</v>
      </c>
      <c r="E229" s="1" t="n">
        <v>46224</v>
      </c>
      <c r="F229" t="inlineStr">
        <is>
          <t>VÄSTMANLANDS LÄN</t>
        </is>
      </c>
      <c r="G229" t="inlineStr">
        <is>
          <t>VÄSTERÅS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46224</v>
      </c>
      <c r="F230" t="inlineStr">
        <is>
          <t>VÄSTMANLANDS LÄN</t>
        </is>
      </c>
      <c r="G230" t="inlineStr">
        <is>
          <t>VÄSTERÅS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46224</v>
      </c>
      <c r="F231" t="inlineStr">
        <is>
          <t>VÄSTMANLANDS LÄN</t>
        </is>
      </c>
      <c r="G231" t="inlineStr">
        <is>
          <t>VÄSTERÅS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46224</v>
      </c>
      <c r="F232" t="inlineStr">
        <is>
          <t>VÄSTMANLANDS LÄN</t>
        </is>
      </c>
      <c r="G232" t="inlineStr">
        <is>
          <t>VÄSTERÅS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46224</v>
      </c>
      <c r="F233" t="inlineStr">
        <is>
          <t>VÄSTMANLANDS LÄN</t>
        </is>
      </c>
      <c r="G233" t="inlineStr">
        <is>
          <t>VÄSTERÅS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44986</v>
      </c>
      <c r="E234" s="1" t="n">
        <v>46224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44899</v>
      </c>
      <c r="E235" s="1" t="n">
        <v>46224</v>
      </c>
      <c r="F235" t="inlineStr">
        <is>
          <t>VÄSTMANLANDS LÄN</t>
        </is>
      </c>
      <c r="G235" t="inlineStr">
        <is>
          <t>VÄSTERÅS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47101-2025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46224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38329-2021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44405</v>
      </c>
      <c r="E237" s="1" t="n">
        <v>46224</v>
      </c>
      <c r="F237" t="inlineStr">
        <is>
          <t>VÄSTMANLANDS LÄN</t>
        </is>
      </c>
      <c r="G237" t="inlineStr">
        <is>
          <t>VÄSTERÅS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45019</v>
      </c>
      <c r="E238" s="1" t="n">
        <v>46224</v>
      </c>
      <c r="F238" t="inlineStr">
        <is>
          <t>VÄSTMANLANDS LÄN</t>
        </is>
      </c>
      <c r="G238" t="inlineStr">
        <is>
          <t>VÄSTERÅS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12143-2022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44636</v>
      </c>
      <c r="E239" s="1" t="n">
        <v>46224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Kommuner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12148-2022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44636</v>
      </c>
      <c r="E240" s="1" t="n">
        <v>46224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Kommuner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19927-2026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46224</v>
      </c>
      <c r="F241" t="inlineStr">
        <is>
          <t>VÄSTMANLANDS LÄN</t>
        </is>
      </c>
      <c r="G241" t="inlineStr">
        <is>
          <t>VÄSTERÅS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44840</v>
      </c>
      <c r="E242" s="1" t="n">
        <v>46224</v>
      </c>
      <c r="F242" t="inlineStr">
        <is>
          <t>VÄSTMANLANDS LÄN</t>
        </is>
      </c>
      <c r="G242" t="inlineStr">
        <is>
          <t>VÄSTERÅS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44574</v>
      </c>
      <c r="E243" s="1" t="n">
        <v>46224</v>
      </c>
      <c r="F243" t="inlineStr">
        <is>
          <t>VÄSTMANLANDS LÄN</t>
        </is>
      </c>
      <c r="G243" t="inlineStr">
        <is>
          <t>VÄSTERÅS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44893</v>
      </c>
      <c r="E244" s="1" t="n">
        <v>46224</v>
      </c>
      <c r="F244" t="inlineStr">
        <is>
          <t>VÄSTMANLANDS LÄN</t>
        </is>
      </c>
      <c r="G244" t="inlineStr">
        <is>
          <t>VÄSTERÅS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15889-2022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44664</v>
      </c>
      <c r="E245" s="1" t="n">
        <v>46224</v>
      </c>
      <c r="F245" t="inlineStr">
        <is>
          <t>VÄSTMANLANDS LÄN</t>
        </is>
      </c>
      <c r="G245" t="inlineStr">
        <is>
          <t>VÄSTERÅS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46224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Allmännings- och besparingsskogar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45110</v>
      </c>
      <c r="E247" s="1" t="n">
        <v>46224</v>
      </c>
      <c r="F247" t="inlineStr">
        <is>
          <t>VÄSTMANLANDS LÄN</t>
        </is>
      </c>
      <c r="G247" t="inlineStr">
        <is>
          <t>VÄSTERÅS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46224</v>
      </c>
      <c r="F248" t="inlineStr">
        <is>
          <t>VÄSTMANLANDS LÄN</t>
        </is>
      </c>
      <c r="G248" t="inlineStr">
        <is>
          <t>VÄSTERÅS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45019</v>
      </c>
      <c r="E249" s="1" t="n">
        <v>46224</v>
      </c>
      <c r="F249" t="inlineStr">
        <is>
          <t>VÄSTMANLANDS LÄN</t>
        </is>
      </c>
      <c r="G249" t="inlineStr">
        <is>
          <t>VÄSTERÅS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18482-2023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45042</v>
      </c>
      <c r="E250" s="1" t="n">
        <v>46224</v>
      </c>
      <c r="F250" t="inlineStr">
        <is>
          <t>VÄSTMANLANDS LÄN</t>
        </is>
      </c>
      <c r="G250" t="inlineStr">
        <is>
          <t>VÄSTERÅS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58085-2022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46224</v>
      </c>
      <c r="F251" t="inlineStr">
        <is>
          <t>VÄSTMANLANDS LÄN</t>
        </is>
      </c>
      <c r="G251" t="inlineStr">
        <is>
          <t>VÄSTERÅS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45761</v>
      </c>
      <c r="E252" s="1" t="n">
        <v>46224</v>
      </c>
      <c r="F252" t="inlineStr">
        <is>
          <t>VÄSTMANLANDS LÄN</t>
        </is>
      </c>
      <c r="G252" t="inlineStr">
        <is>
          <t>VÄSTERÅS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46224</v>
      </c>
      <c r="F253" t="inlineStr">
        <is>
          <t>VÄSTMANLANDS LÄN</t>
        </is>
      </c>
      <c r="G253" t="inlineStr">
        <is>
          <t>VÄSTERÅS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45083</v>
      </c>
      <c r="E254" s="1" t="n">
        <v>46224</v>
      </c>
      <c r="F254" t="inlineStr">
        <is>
          <t>VÄSTMANLANDS LÄN</t>
        </is>
      </c>
      <c r="G254" t="inlineStr">
        <is>
          <t>VÄSTERÅS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46224</v>
      </c>
      <c r="F255" t="inlineStr">
        <is>
          <t>VÄSTMANLANDS LÄN</t>
        </is>
      </c>
      <c r="G255" t="inlineStr">
        <is>
          <t>VÄSTERÅS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46224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45400</v>
      </c>
      <c r="E257" s="1" t="n">
        <v>46224</v>
      </c>
      <c r="F257" t="inlineStr">
        <is>
          <t>VÄSTMANLANDS LÄN</t>
        </is>
      </c>
      <c r="G257" t="inlineStr">
        <is>
          <t>VÄSTERÅS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44606</v>
      </c>
      <c r="E258" s="1" t="n">
        <v>46224</v>
      </c>
      <c r="F258" t="inlineStr">
        <is>
          <t>VÄSTMANLANDS LÄN</t>
        </is>
      </c>
      <c r="G258" t="inlineStr">
        <is>
          <t>VÄSTERÅS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46188</v>
      </c>
      <c r="E259" s="1" t="n">
        <v>46224</v>
      </c>
      <c r="F259" t="inlineStr">
        <is>
          <t>VÄSTMANLANDS LÄN</t>
        </is>
      </c>
      <c r="G259" t="inlineStr">
        <is>
          <t>VÄSTERÅS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46224</v>
      </c>
      <c r="F260" t="inlineStr">
        <is>
          <t>VÄSTMANLANDS LÄN</t>
        </is>
      </c>
      <c r="G260" t="inlineStr">
        <is>
          <t>VÄSTERÅS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44978</v>
      </c>
      <c r="E261" s="1" t="n">
        <v>46224</v>
      </c>
      <c r="F261" t="inlineStr">
        <is>
          <t>VÄSTMANLANDS LÄN</t>
        </is>
      </c>
      <c r="G261" t="inlineStr">
        <is>
          <t>VÄSTERÅS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67352-2021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44523</v>
      </c>
      <c r="E262" s="1" t="n">
        <v>46224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Övriga Aktiebolag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45532</v>
      </c>
      <c r="E263" s="1" t="n">
        <v>46224</v>
      </c>
      <c r="F263" t="inlineStr">
        <is>
          <t>VÄSTMANLANDS LÄN</t>
        </is>
      </c>
      <c r="G263" t="inlineStr">
        <is>
          <t>VÄSTERÅS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46224</v>
      </c>
      <c r="F264" t="inlineStr">
        <is>
          <t>VÄSTMANLANDS LÄN</t>
        </is>
      </c>
      <c r="G264" t="inlineStr">
        <is>
          <t>VÄSTERÅS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45579</v>
      </c>
      <c r="E265" s="1" t="n">
        <v>46224</v>
      </c>
      <c r="F265" t="inlineStr">
        <is>
          <t>VÄSTMANLANDS LÄN</t>
        </is>
      </c>
      <c r="G265" t="inlineStr">
        <is>
          <t>VÄSTERÅS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44874</v>
      </c>
      <c r="E266" s="1" t="n">
        <v>46224</v>
      </c>
      <c r="F266" t="inlineStr">
        <is>
          <t>VÄSTMANLANDS LÄN</t>
        </is>
      </c>
      <c r="G266" t="inlineStr">
        <is>
          <t>VÄSTERÅS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58231-2022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44901</v>
      </c>
      <c r="E267" s="1" t="n">
        <v>46224</v>
      </c>
      <c r="F267" t="inlineStr">
        <is>
          <t>VÄSTMANLANDS LÄN</t>
        </is>
      </c>
      <c r="G267" t="inlineStr">
        <is>
          <t>VÄSTERÅS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46149</v>
      </c>
      <c r="E268" s="1" t="n">
        <v>46224</v>
      </c>
      <c r="F268" t="inlineStr">
        <is>
          <t>VÄSTMANLANDS LÄN</t>
        </is>
      </c>
      <c r="G268" t="inlineStr">
        <is>
          <t>VÄSTERÅS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50948-2023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45218</v>
      </c>
      <c r="E269" s="1" t="n">
        <v>46224</v>
      </c>
      <c r="F269" t="inlineStr">
        <is>
          <t>VÄSTMANLANDS LÄN</t>
        </is>
      </c>
      <c r="G269" t="inlineStr">
        <is>
          <t>VÄSTERÅS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45264</v>
      </c>
      <c r="E270" s="1" t="n">
        <v>46224</v>
      </c>
      <c r="F270" t="inlineStr">
        <is>
          <t>VÄSTMANLANDS LÄN</t>
        </is>
      </c>
      <c r="G270" t="inlineStr">
        <is>
          <t>VÄSTERÅS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46224</v>
      </c>
      <c r="F271" t="inlineStr">
        <is>
          <t>VÄSTMANLANDS LÄN</t>
        </is>
      </c>
      <c r="G271" t="inlineStr">
        <is>
          <t>VÄSTERÅS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18467-2023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45042</v>
      </c>
      <c r="E272" s="1" t="n">
        <v>46224</v>
      </c>
      <c r="F272" t="inlineStr">
        <is>
          <t>VÄSTMANLANDS LÄN</t>
        </is>
      </c>
      <c r="G272" t="inlineStr">
        <is>
          <t>VÄSTERÅS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45457</v>
      </c>
      <c r="E273" s="1" t="n">
        <v>46224</v>
      </c>
      <c r="F273" t="inlineStr">
        <is>
          <t>VÄSTMANLANDS LÄN</t>
        </is>
      </c>
      <c r="G273" t="inlineStr">
        <is>
          <t>VÄSTERÅS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22370-2026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46224</v>
      </c>
      <c r="F274" t="inlineStr">
        <is>
          <t>VÄSTMANLANDS LÄN</t>
        </is>
      </c>
      <c r="G274" t="inlineStr">
        <is>
          <t>VÄSTERÅS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39817-2024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46224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Kyrkan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46154</v>
      </c>
      <c r="E276" s="1" t="n">
        <v>46224</v>
      </c>
      <c r="F276" t="inlineStr">
        <is>
          <t>VÄSTMANLANDS LÄN</t>
        </is>
      </c>
      <c r="G276" t="inlineStr">
        <is>
          <t>VÄSTERÅS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46224</v>
      </c>
      <c r="F277" t="inlineStr">
        <is>
          <t>VÄSTMANLANDS LÄN</t>
        </is>
      </c>
      <c r="G277" t="inlineStr">
        <is>
          <t>VÄSTERÅS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46224</v>
      </c>
      <c r="F278" t="inlineStr">
        <is>
          <t>VÄSTMANLANDS LÄN</t>
        </is>
      </c>
      <c r="G278" t="inlineStr">
        <is>
          <t>VÄSTERÅS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28341-2026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46196</v>
      </c>
      <c r="E279" s="1" t="n">
        <v>46224</v>
      </c>
      <c r="F279" t="inlineStr">
        <is>
          <t>VÄSTMANLANDS LÄN</t>
        </is>
      </c>
      <c r="G279" t="inlineStr">
        <is>
          <t>VÄSTERÅS</t>
        </is>
      </c>
      <c r="I279" t="n">
        <v>14.1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46224</v>
      </c>
      <c r="F280" t="inlineStr">
        <is>
          <t>VÄSTMANLANDS LÄN</t>
        </is>
      </c>
      <c r="G280" t="inlineStr">
        <is>
          <t>VÄSTERÅS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46224</v>
      </c>
      <c r="F281" t="inlineStr">
        <is>
          <t>VÄSTMANLANDS LÄN</t>
        </is>
      </c>
      <c r="G281" t="inlineStr">
        <is>
          <t>VÄSTERÅS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67350-2021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44523</v>
      </c>
      <c r="E282" s="1" t="n">
        <v>46224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Aktiebolag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10496-2022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44623</v>
      </c>
      <c r="E283" s="1" t="n">
        <v>46224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45033</v>
      </c>
      <c r="E284" s="1" t="n">
        <v>46224</v>
      </c>
      <c r="F284" t="inlineStr">
        <is>
          <t>VÄSTMANLANDS LÄN</t>
        </is>
      </c>
      <c r="G284" t="inlineStr">
        <is>
          <t>VÄSTERÅS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73994-2021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44556</v>
      </c>
      <c r="E285" s="1" t="n">
        <v>46224</v>
      </c>
      <c r="F285" t="inlineStr">
        <is>
          <t>VÄSTMANLANDS LÄN</t>
        </is>
      </c>
      <c r="G285" t="inlineStr">
        <is>
          <t>VÄSTERÅS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45761</v>
      </c>
      <c r="E286" s="1" t="n">
        <v>46224</v>
      </c>
      <c r="F286" t="inlineStr">
        <is>
          <t>VÄSTMANLANDS LÄN</t>
        </is>
      </c>
      <c r="G286" t="inlineStr">
        <is>
          <t>VÄSTERÅS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46224</v>
      </c>
      <c r="F287" t="inlineStr">
        <is>
          <t>VÄSTMANLANDS LÄN</t>
        </is>
      </c>
      <c r="G287" t="inlineStr">
        <is>
          <t>VÄSTERÅS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46224</v>
      </c>
      <c r="F288" t="inlineStr">
        <is>
          <t>VÄSTMANLANDS LÄN</t>
        </is>
      </c>
      <c r="G288" t="inlineStr">
        <is>
          <t>VÄSTERÅS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34461-2022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44792</v>
      </c>
      <c r="E289" s="1" t="n">
        <v>46224</v>
      </c>
      <c r="F289" t="inlineStr">
        <is>
          <t>VÄSTMANLANDS LÄN</t>
        </is>
      </c>
      <c r="G289" t="inlineStr">
        <is>
          <t>VÄSTERÅS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45222</v>
      </c>
      <c r="E290" s="1" t="n">
        <v>46224</v>
      </c>
      <c r="F290" t="inlineStr">
        <is>
          <t>VÄSTMANLANDS LÄN</t>
        </is>
      </c>
      <c r="G290" t="inlineStr">
        <is>
          <t>VÄSTERÅS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46162</v>
      </c>
      <c r="E291" s="1" t="n">
        <v>46224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52569-2022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44874</v>
      </c>
      <c r="E292" s="1" t="n">
        <v>46224</v>
      </c>
      <c r="F292" t="inlineStr">
        <is>
          <t>VÄSTMANLANDS LÄN</t>
        </is>
      </c>
      <c r="G292" t="inlineStr">
        <is>
          <t>VÄSTERÅS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44708</v>
      </c>
      <c r="E293" s="1" t="n">
        <v>46224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Sveaskog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29746-2022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44755</v>
      </c>
      <c r="E294" s="1" t="n">
        <v>46224</v>
      </c>
      <c r="F294" t="inlineStr">
        <is>
          <t>VÄSTMANLANDS LÄN</t>
        </is>
      </c>
      <c r="G294" t="inlineStr">
        <is>
          <t>VÄSTERÅS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67353-2021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44523</v>
      </c>
      <c r="E295" s="1" t="n">
        <v>46224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Övriga Aktiebolag</t>
        </is>
      </c>
      <c r="I295" t="n">
        <v>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46224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23497-2026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46224</v>
      </c>
      <c r="F297" t="inlineStr">
        <is>
          <t>VÄSTMANLANDS LÄN</t>
        </is>
      </c>
      <c r="G297" t="inlineStr">
        <is>
          <t>VÄSTERÅS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56980-2021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44482</v>
      </c>
      <c r="E298" s="1" t="n">
        <v>46224</v>
      </c>
      <c r="F298" t="inlineStr">
        <is>
          <t>VÄSTMANLANDS LÄN</t>
        </is>
      </c>
      <c r="G298" t="inlineStr">
        <is>
          <t>VÄSTERÅS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45705</v>
      </c>
      <c r="E299" s="1" t="n">
        <v>46224</v>
      </c>
      <c r="F299" t="inlineStr">
        <is>
          <t>VÄSTMANLANDS LÄN</t>
        </is>
      </c>
      <c r="G299" t="inlineStr">
        <is>
          <t>VÄSTERÅS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46224</v>
      </c>
      <c r="F300" t="inlineStr">
        <is>
          <t>VÄSTMANLANDS LÄN</t>
        </is>
      </c>
      <c r="G300" t="inlineStr">
        <is>
          <t>VÄSTERÅS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15201-2022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44658</v>
      </c>
      <c r="E301" s="1" t="n">
        <v>46224</v>
      </c>
      <c r="F301" t="inlineStr">
        <is>
          <t>VÄSTMANLANDS LÄN</t>
        </is>
      </c>
      <c r="G301" t="inlineStr">
        <is>
          <t>VÄSTERÅS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58960-2022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44903</v>
      </c>
      <c r="E302" s="1" t="n">
        <v>46224</v>
      </c>
      <c r="F302" t="inlineStr">
        <is>
          <t>VÄSTMANLANDS LÄN</t>
        </is>
      </c>
      <c r="G302" t="inlineStr">
        <is>
          <t>VÄSTERÅS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46224</v>
      </c>
      <c r="F303" t="inlineStr">
        <is>
          <t>VÄSTMANLANDS LÄN</t>
        </is>
      </c>
      <c r="G303" t="inlineStr">
        <is>
          <t>VÄSTERÅS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24262-2026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46224</v>
      </c>
      <c r="F304" t="inlineStr">
        <is>
          <t>VÄSTMANLANDS LÄN</t>
        </is>
      </c>
      <c r="G304" t="inlineStr">
        <is>
          <t>VÄSTERÅS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46224</v>
      </c>
      <c r="F305" t="inlineStr">
        <is>
          <t>VÄSTMANLANDS LÄN</t>
        </is>
      </c>
      <c r="G305" t="inlineStr">
        <is>
          <t>VÄSTERÅS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64714-2023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45281</v>
      </c>
      <c r="E306" s="1" t="n">
        <v>46224</v>
      </c>
      <c r="F306" t="inlineStr">
        <is>
          <t>VÄSTMANLANDS LÄN</t>
        </is>
      </c>
      <c r="G306" t="inlineStr">
        <is>
          <t>VÄSTERÅS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45274</v>
      </c>
      <c r="E307" s="1" t="n">
        <v>46224</v>
      </c>
      <c r="F307" t="inlineStr">
        <is>
          <t>VÄSTMANLANDS LÄN</t>
        </is>
      </c>
      <c r="G307" t="inlineStr">
        <is>
          <t>VÄSTERÅS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46224</v>
      </c>
      <c r="F308" t="inlineStr">
        <is>
          <t>VÄSTMANLANDS LÄN</t>
        </is>
      </c>
      <c r="G308" t="inlineStr">
        <is>
          <t>VÄSTERÅS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8727-2023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44978</v>
      </c>
      <c r="E309" s="1" t="n">
        <v>46224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Kyrkan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16214-2023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45028</v>
      </c>
      <c r="E310" s="1" t="n">
        <v>46224</v>
      </c>
      <c r="F310" t="inlineStr">
        <is>
          <t>VÄSTMANLANDS LÄN</t>
        </is>
      </c>
      <c r="G310" t="inlineStr">
        <is>
          <t>VÄSTERÅS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46224</v>
      </c>
      <c r="F311" t="inlineStr">
        <is>
          <t>VÄSTMANLANDS LÄN</t>
        </is>
      </c>
      <c r="G311" t="inlineStr">
        <is>
          <t>VÄSTERÅS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46213</v>
      </c>
      <c r="E312" s="1" t="n">
        <v>46224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45398</v>
      </c>
      <c r="E313" s="1" t="n">
        <v>46224</v>
      </c>
      <c r="F313" t="inlineStr">
        <is>
          <t>VÄSTMANLANDS LÄN</t>
        </is>
      </c>
      <c r="G313" t="inlineStr">
        <is>
          <t>VÄSTERÅS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46224</v>
      </c>
      <c r="F314" t="inlineStr">
        <is>
          <t>VÄSTMANLANDS LÄN</t>
        </is>
      </c>
      <c r="G314" t="inlineStr">
        <is>
          <t>VÄSTERÅS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46224</v>
      </c>
      <c r="F315" t="inlineStr">
        <is>
          <t>VÄSTMANLANDS LÄN</t>
        </is>
      </c>
      <c r="G315" t="inlineStr">
        <is>
          <t>VÄSTERÅS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46224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46215</v>
      </c>
      <c r="E317" s="1" t="n">
        <v>46224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31058-2026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46215</v>
      </c>
      <c r="E318" s="1" t="n">
        <v>46224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46217</v>
      </c>
      <c r="E319" s="1" t="n">
        <v>46224</v>
      </c>
      <c r="F319" t="inlineStr">
        <is>
          <t>VÄSTMANLANDS LÄN</t>
        </is>
      </c>
      <c r="G319" t="inlineStr">
        <is>
          <t>VÄSTERÅS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31057-2026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46215</v>
      </c>
      <c r="E320" s="1" t="n">
        <v>46224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46215</v>
      </c>
      <c r="E321" s="1" t="n">
        <v>46224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44994</v>
      </c>
      <c r="E322" s="1" t="n">
        <v>46224</v>
      </c>
      <c r="F322" t="inlineStr">
        <is>
          <t>VÄSTMANLANDS LÄN</t>
        </is>
      </c>
      <c r="G322" t="inlineStr">
        <is>
          <t>VÄSTERÅS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46215</v>
      </c>
      <c r="E323" s="1" t="n">
        <v>46224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70642-2021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46224</v>
      </c>
      <c r="F324" t="inlineStr">
        <is>
          <t>VÄSTMANLANDS LÄN</t>
        </is>
      </c>
      <c r="G324" t="inlineStr">
        <is>
          <t>VÄSTERÅS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23765-2022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44722</v>
      </c>
      <c r="E325" s="1" t="n">
        <v>46224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46224</v>
      </c>
      <c r="F326" t="inlineStr">
        <is>
          <t>VÄSTMANLANDS LÄN</t>
        </is>
      </c>
      <c r="G326" t="inlineStr">
        <is>
          <t>VÄSTERÅS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45296</v>
      </c>
      <c r="E327" s="1" t="n">
        <v>46224</v>
      </c>
      <c r="F327" t="inlineStr">
        <is>
          <t>VÄSTMANLANDS LÄN</t>
        </is>
      </c>
      <c r="G327" t="inlineStr">
        <is>
          <t>VÄSTERÅS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17808-2023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45037</v>
      </c>
      <c r="E328" s="1" t="n">
        <v>46224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51933-2023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45223</v>
      </c>
      <c r="E329" s="1" t="n">
        <v>46224</v>
      </c>
      <c r="F329" t="inlineStr">
        <is>
          <t>VÄSTMANLANDS LÄN</t>
        </is>
      </c>
      <c r="G329" t="inlineStr">
        <is>
          <t>VÄSTERÅS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73597-2021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44552</v>
      </c>
      <c r="E330" s="1" t="n">
        <v>46224</v>
      </c>
      <c r="F330" t="inlineStr">
        <is>
          <t>VÄSTMANLANDS LÄN</t>
        </is>
      </c>
      <c r="G330" t="inlineStr">
        <is>
          <t>VÄSTERÅS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45153</v>
      </c>
      <c r="E331" s="1" t="n">
        <v>46224</v>
      </c>
      <c r="F331" t="inlineStr">
        <is>
          <t>VÄSTMANLANDS LÄN</t>
        </is>
      </c>
      <c r="G331" t="inlineStr">
        <is>
          <t>VÄSTERÅS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45448</v>
      </c>
      <c r="E332" s="1" t="n">
        <v>46224</v>
      </c>
      <c r="F332" t="inlineStr">
        <is>
          <t>VÄSTMANLANDS LÄN</t>
        </is>
      </c>
      <c r="G332" t="inlineStr">
        <is>
          <t>VÄSTERÅS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14926-2022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44657</v>
      </c>
      <c r="E333" s="1" t="n">
        <v>46224</v>
      </c>
      <c r="F333" t="inlineStr">
        <is>
          <t>VÄSTMANLANDS LÄN</t>
        </is>
      </c>
      <c r="G333" t="inlineStr">
        <is>
          <t>VÄSTERÅS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45378</v>
      </c>
      <c r="E334" s="1" t="n">
        <v>46224</v>
      </c>
      <c r="F334" t="inlineStr">
        <is>
          <t>VÄSTMANLANDS LÄN</t>
        </is>
      </c>
      <c r="G334" t="inlineStr">
        <is>
          <t>VÄSTERÅS</t>
        </is>
      </c>
      <c r="I334" t="n">
        <v>15.4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951-2020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43948</v>
      </c>
      <c r="E335" s="1" t="n">
        <v>46224</v>
      </c>
      <c r="F335" t="inlineStr">
        <is>
          <t>VÄSTMANLANDS LÄN</t>
        </is>
      </c>
      <c r="G335" t="inlineStr">
        <is>
          <t>VÄSTERÅS</t>
        </is>
      </c>
      <c r="H335" t="inlineStr">
        <is>
          <t>Kommuner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3639-2022</t>
        </is>
      </c>
      <c r="B336" t="inlineStr">
        <is>
          <t>samrådsanmälan</t>
        </is>
      </c>
      <c r="C336" t="inlineStr">
        <is>
          <t>Skogsbilväg</t>
        </is>
      </c>
      <c r="D336" s="1" t="n">
        <v>44740</v>
      </c>
      <c r="E336" s="1" t="n">
        <v>46224</v>
      </c>
      <c r="F336" t="inlineStr">
        <is>
          <t>VÄSTMANLANDS LÄN</t>
        </is>
      </c>
      <c r="G336" t="inlineStr">
        <is>
          <t>VÄSTERÅS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953-2023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45005</v>
      </c>
      <c r="E337" s="1" t="n">
        <v>46224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1415-2022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44634</v>
      </c>
      <c r="E338" s="1" t="n">
        <v>46224</v>
      </c>
      <c r="F338" t="inlineStr">
        <is>
          <t>VÄSTMANLANDS LÄN</t>
        </is>
      </c>
      <c r="G338" t="inlineStr">
        <is>
          <t>VÄSTERÅS</t>
        </is>
      </c>
      <c r="H338" t="inlineStr">
        <is>
          <t>Kyrkan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696-2026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46091</v>
      </c>
      <c r="E339" s="1" t="n">
        <v>46224</v>
      </c>
      <c r="F339" t="inlineStr">
        <is>
          <t>VÄSTMANLANDS LÄN</t>
        </is>
      </c>
      <c r="G339" t="inlineStr">
        <is>
          <t>VÄSTERÅS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949-2026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46113</v>
      </c>
      <c r="E340" s="1" t="n">
        <v>46224</v>
      </c>
      <c r="F340" t="inlineStr">
        <is>
          <t>VÄSTMANLANDS LÄN</t>
        </is>
      </c>
      <c r="G340" t="inlineStr">
        <is>
          <t>VÄSTERÅS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>
      <c r="A341" t="inlineStr">
        <is>
          <t>S 1468-2026</t>
        </is>
      </c>
      <c r="B341" t="inlineStr">
        <is>
          <t>samrådsanmälan</t>
        </is>
      </c>
      <c r="C341" t="inlineStr">
        <is>
          <t>Dikesrensning</t>
        </is>
      </c>
      <c r="D341" s="1" t="n">
        <v>46134</v>
      </c>
      <c r="E341" s="1" t="n">
        <v>46224</v>
      </c>
      <c r="F341" t="inlineStr">
        <is>
          <t>VÄSTMANLANDS LÄN</t>
        </is>
      </c>
      <c r="G341" t="inlineStr">
        <is>
          <t>VÄSTERÅS</t>
        </is>
      </c>
      <c r="H341" t="inlineStr">
        <is>
          <t>Sveaskog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2026-07-21T01:39:59Z</dcterms:created>
  <dcterms:modified xmlns:dcterms="http://purl.org/dc/terms/" xmlns:xsi="http://www.w3.org/2001/XMLSchema-instance" xsi:type="dcterms:W3CDTF">2026-07-21T01:39:59Z</dcterms:modified>
</cp:coreProperties>
</file>