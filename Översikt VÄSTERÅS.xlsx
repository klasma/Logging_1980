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46235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46235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46235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46235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46235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46235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47695-2023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46235</v>
      </c>
      <c r="F17" t="inlineStr">
        <is>
          <t>VÄSTMANLANDS LÄN</t>
        </is>
      </c>
      <c r="G17" t="inlineStr">
        <is>
          <t>VÄSTERÅS</t>
        </is>
      </c>
      <c r="I17" t="n">
        <v>6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Gullklöver
Svinrot
Hasselticka
Kopparödla</t>
        </is>
      </c>
      <c r="W17">
        <f>HYPERLINK("https://klasma.github.io/Logging_1980/artfynd/A 47695-2023 artfynd.xlsx", "A 47695-2023")</f>
        <v/>
      </c>
      <c r="X17">
        <f>HYPERLINK("https://klasma.github.io/Logging_1980/kartor/A 47695-2023 karta.png", "A 47695-2023")</f>
        <v/>
      </c>
      <c r="Y17">
        <f>HYPERLINK("https://klasma.github.io/Logging_1980/kartor_geotiff/A 47695-2023 georefererad karta.tif", "A 47695-2023")</f>
        <v/>
      </c>
      <c r="AA17">
        <f>HYPERLINK("https://klasma.github.io/Logging_1980/klagomål/A 47695-2023 FSC-klagomål.docx", "A 47695-2023")</f>
        <v/>
      </c>
      <c r="AB17">
        <f>HYPERLINK("https://klasma.github.io/Logging_1980/klagomålsmail/A 47695-2023 FSC-klagomål mail.docx", "A 47695-2023")</f>
        <v/>
      </c>
      <c r="AC17">
        <f>HYPERLINK("https://klasma.github.io/Logging_1980/tillsyn/A 47695-2023 tillsynsbegäran.docx", "A 47695-2023")</f>
        <v/>
      </c>
      <c r="AD17">
        <f>HYPERLINK("https://klasma.github.io/Logging_1980/tillsynsmail/A 47695-2023 tillsynsbegäran mail.docx", "A 47695-2023")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46235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46235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46235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25672-2024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46235</v>
      </c>
      <c r="F21" t="inlineStr">
        <is>
          <t>VÄSTMANLANDS LÄN</t>
        </is>
      </c>
      <c r="G21" t="inlineStr">
        <is>
          <t>VÄSTERÅS</t>
        </is>
      </c>
      <c r="I21" t="n">
        <v>11.3</v>
      </c>
      <c r="J21" t="n">
        <v>1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9</v>
      </c>
      <c r="U21" t="n">
        <v>0</v>
      </c>
      <c r="V21" s="2" t="inlineStr">
        <is>
          <t>Backsippa
Flentimotej
Jungfrulin
Solvända</t>
        </is>
      </c>
      <c r="W21">
        <f>HYPERLINK("https://klasma.github.io/Logging_1980/artfynd/A 25672-2024 artfynd.xlsx", "A 25672-2024")</f>
        <v/>
      </c>
      <c r="X21">
        <f>HYPERLINK("https://klasma.github.io/Logging_1980/kartor/A 25672-2024 karta.png", "A 25672-2024")</f>
        <v/>
      </c>
      <c r="Y21">
        <f>HYPERLINK("https://klasma.github.io/Logging_1980/kartor_geotiff/A 25672-2024 georefererad karta.tif", "A 25672-2024")</f>
        <v/>
      </c>
      <c r="AA21">
        <f>HYPERLINK("https://klasma.github.io/Logging_1980/klagomål/A 25672-2024 FSC-klagomål.docx", "A 25672-2024")</f>
        <v/>
      </c>
      <c r="AB21">
        <f>HYPERLINK("https://klasma.github.io/Logging_1980/klagomålsmail/A 25672-2024 FSC-klagomål mail.docx", "A 25672-2024")</f>
        <v/>
      </c>
      <c r="AC21">
        <f>HYPERLINK("https://klasma.github.io/Logging_1980/tillsyn/A 25672-2024 tillsynsbegäran.docx", "A 25672-2024")</f>
        <v/>
      </c>
      <c r="AD21">
        <f>HYPERLINK("https://klasma.github.io/Logging_1980/tillsynsmail/A 25672-2024 tillsynsbegäran mail.docx", "A 25672-2024")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46235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46235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46235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46235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46235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46235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46235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46235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46235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46235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46235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46235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46235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46235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46235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12.4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Fiskgjuse</t>
        </is>
      </c>
      <c r="W36">
        <f>HYPERLINK("https://klasma.github.io/Logging_1980/artfynd/A 59143-2025 artfynd.xlsx", "A 59143-2025")</f>
        <v/>
      </c>
      <c r="X36">
        <f>HYPERLINK("https://klasma.github.io/Logging_1980/kartor/A 59143-2025 karta.png", "A 59143-2025")</f>
        <v/>
      </c>
      <c r="Y36">
        <f>HYPERLINK("https://klasma.github.io/Logging_1980/kartor_geotiff/A 59143-2025 georefererad karta.tif", "A 59143-2025")</f>
        <v/>
      </c>
      <c r="AA36">
        <f>HYPERLINK("https://klasma.github.io/Logging_1980/klagomål/A 59143-2025 FSC-klagomål.docx", "A 59143-2025")</f>
        <v/>
      </c>
      <c r="AB36">
        <f>HYPERLINK("https://klasma.github.io/Logging_1980/klagomålsmail/A 59143-2025 FSC-klagomål mail.docx", "A 59143-2025")</f>
        <v/>
      </c>
      <c r="AC36">
        <f>HYPERLINK("https://klasma.github.io/Logging_1980/tillsyn/A 59143-2025 tillsynsbegäran.docx", "A 59143-2025")</f>
        <v/>
      </c>
      <c r="AD36">
        <f>HYPERLINK("https://klasma.github.io/Logging_1980/tillsynsmail/A 59143-2025 tillsynsbegäran mail.docx", "A 59143-2025")</f>
        <v/>
      </c>
      <c r="AE36">
        <f>HYPERLINK("https://klasma.github.io/Logging_1980/fåglar/A 59143-2025 prioriterade fågelarter.docx", "A 59143-2025")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46235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46235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46235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46235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46235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46235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50193-2022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44865</v>
      </c>
      <c r="E43" s="1" t="n">
        <v>46235</v>
      </c>
      <c r="F43" t="inlineStr">
        <is>
          <t>VÄSTMANLANDS LÄN</t>
        </is>
      </c>
      <c r="G43" t="inlineStr">
        <is>
          <t>VÄSTERÅS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HYPERLINK("https://klasma.github.io/Logging_1980/artfynd/A 50193-2022 artfynd.xlsx", "A 50193-2022")</f>
        <v/>
      </c>
      <c r="X43">
        <f>HYPERLINK("https://klasma.github.io/Logging_1980/kartor/A 50193-2022 karta.png", "A 50193-2022")</f>
        <v/>
      </c>
      <c r="Y43">
        <f>HYPERLINK("https://klasma.github.io/Logging_1980/kartor_geotiff/A 50193-2022 georefererad karta.tif", "A 50193-2022")</f>
        <v/>
      </c>
      <c r="AA43">
        <f>HYPERLINK("https://klasma.github.io/Logging_1980/klagomål/A 50193-2022 FSC-klagomål.docx", "A 50193-2022")</f>
        <v/>
      </c>
      <c r="AB43">
        <f>HYPERLINK("https://klasma.github.io/Logging_1980/klagomålsmail/A 50193-2022 FSC-klagomål mail.docx", "A 50193-2022")</f>
        <v/>
      </c>
      <c r="AC43">
        <f>HYPERLINK("https://klasma.github.io/Logging_1980/tillsyn/A 50193-2022 tillsynsbegäran.docx", "A 50193-2022")</f>
        <v/>
      </c>
      <c r="AD43">
        <f>HYPERLINK("https://klasma.github.io/Logging_1980/tillsynsmail/A 50193-2022 tillsynsbegäran mail.docx", "A 50193-2022")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46235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1594-2023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44935</v>
      </c>
      <c r="E45" s="1" t="n">
        <v>46235</v>
      </c>
      <c r="F45" t="inlineStr">
        <is>
          <t>VÄSTMANLANDS LÄN</t>
        </is>
      </c>
      <c r="G45" t="inlineStr">
        <is>
          <t>VÄSTERÅS</t>
        </is>
      </c>
      <c r="I45" t="n">
        <v>10.9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Sparvuggla</t>
        </is>
      </c>
      <c r="W45">
        <f>HYPERLINK("https://klasma.github.io/Logging_1980/artfynd/A 1594-2023 artfynd.xlsx", "A 1594-2023")</f>
        <v/>
      </c>
      <c r="X45">
        <f>HYPERLINK("https://klasma.github.io/Logging_1980/kartor/A 1594-2023 karta.png", "A 1594-2023")</f>
        <v/>
      </c>
      <c r="Y45">
        <f>HYPERLINK("https://klasma.github.io/Logging_1980/kartor_geotiff/A 1594-2023 georefererad karta.tif", "A 1594-2023")</f>
        <v/>
      </c>
      <c r="AA45">
        <f>HYPERLINK("https://klasma.github.io/Logging_1980/klagomål/A 1594-2023 FSC-klagomål.docx", "A 1594-2023")</f>
        <v/>
      </c>
      <c r="AB45">
        <f>HYPERLINK("https://klasma.github.io/Logging_1980/klagomålsmail/A 1594-2023 FSC-klagomål mail.docx", "A 1594-2023")</f>
        <v/>
      </c>
      <c r="AC45">
        <f>HYPERLINK("https://klasma.github.io/Logging_1980/tillsyn/A 1594-2023 tillsynsbegäran.docx", "A 1594-2023")</f>
        <v/>
      </c>
      <c r="AD45">
        <f>HYPERLINK("https://klasma.github.io/Logging_1980/tillsynsmail/A 1594-2023 tillsynsbegäran mail.docx", "A 1594-2023")</f>
        <v/>
      </c>
      <c r="AE45">
        <f>HYPERLINK("https://klasma.github.io/Logging_1980/fåglar/A 1594-2023 prioriterade fågelarter.docx", "A 1594-2023")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46235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46235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46235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22378-2026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46235</v>
      </c>
      <c r="F49" t="inlineStr">
        <is>
          <t>VÄSTMANLANDS LÄN</t>
        </is>
      </c>
      <c r="G49" t="inlineStr">
        <is>
          <t>VÄSTERÅS</t>
        </is>
      </c>
      <c r="I49" t="n">
        <v>5.6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HYPERLINK("https://klasma.github.io/Logging_1980/artfynd/A 22378-2026 artfynd.xlsx", "A 22378-2026")</f>
        <v/>
      </c>
      <c r="X49">
        <f>HYPERLINK("https://klasma.github.io/Logging_1980/kartor/A 22378-2026 karta.png", "A 22378-2026")</f>
        <v/>
      </c>
      <c r="Y49">
        <f>HYPERLINK("https://klasma.github.io/Logging_1980/kartor_geotiff/A 22378-2026 georefererad karta.tif", "A 22378-2026")</f>
        <v/>
      </c>
      <c r="AA49">
        <f>HYPERLINK("https://klasma.github.io/Logging_1980/klagomål/A 22378-2026 FSC-klagomål.docx", "A 22378-2026")</f>
        <v/>
      </c>
      <c r="AB49">
        <f>HYPERLINK("https://klasma.github.io/Logging_1980/klagomålsmail/A 22378-2026 FSC-klagomål mail.docx", "A 22378-2026")</f>
        <v/>
      </c>
      <c r="AC49">
        <f>HYPERLINK("https://klasma.github.io/Logging_1980/tillsyn/A 22378-2026 tillsynsbegäran.docx", "A 22378-2026")</f>
        <v/>
      </c>
      <c r="AD49">
        <f>HYPERLINK("https://klasma.github.io/Logging_1980/tillsynsmail/A 22378-2026 tillsynsbegäran mail.docx", "A 22378-2026")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46235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59144-2025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46235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HYPERLINK("https://klasma.github.io/Logging_1980/artfynd/A 59144-2025 artfynd.xlsx", "A 59144-2025")</f>
        <v/>
      </c>
      <c r="X51">
        <f>HYPERLINK("https://klasma.github.io/Logging_1980/kartor/A 59144-2025 karta.png", "A 59144-2025")</f>
        <v/>
      </c>
      <c r="Y51">
        <f>HYPERLINK("https://klasma.github.io/Logging_1980/kartor_geotiff/A 59144-2025 georefererad karta.tif", "A 59144-2025")</f>
        <v/>
      </c>
      <c r="AA51">
        <f>HYPERLINK("https://klasma.github.io/Logging_1980/klagomål/A 59144-2025 FSC-klagomål.docx", "A 59144-2025")</f>
        <v/>
      </c>
      <c r="AB51">
        <f>HYPERLINK("https://klasma.github.io/Logging_1980/klagomålsmail/A 59144-2025 FSC-klagomål mail.docx", "A 59144-2025")</f>
        <v/>
      </c>
      <c r="AC51">
        <f>HYPERLINK("https://klasma.github.io/Logging_1980/tillsyn/A 59144-2025 tillsynsbegäran.docx", "A 59144-2025")</f>
        <v/>
      </c>
      <c r="AD51">
        <f>HYPERLINK("https://klasma.github.io/Logging_1980/tillsynsmail/A 59144-2025 tillsynsbegäran mail.docx", "A 59144-2025")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46235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46235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46235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31976-2026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46232</v>
      </c>
      <c r="E55" s="1" t="n">
        <v>46235</v>
      </c>
      <c r="F55" t="inlineStr">
        <is>
          <t>VÄSTMANLANDS LÄN</t>
        </is>
      </c>
      <c r="G55" t="inlineStr">
        <is>
          <t>VÄSTERÅS</t>
        </is>
      </c>
      <c r="H55" t="inlineStr">
        <is>
          <t>Övriga Aktiebolag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Rostfläck</t>
        </is>
      </c>
      <c r="W55">
        <f>HYPERLINK("https://klasma.github.io/Logging_1980/artfynd/A 31976-2026 artfynd.xlsx", "A 31976-2026")</f>
        <v/>
      </c>
      <c r="X55">
        <f>HYPERLINK("https://klasma.github.io/Logging_1980/kartor/A 31976-2026 karta.png", "A 31976-2026")</f>
        <v/>
      </c>
      <c r="Y55">
        <f>HYPERLINK("https://klasma.github.io/Logging_1980/kartor_geotiff/A 31976-2026 georefererad karta.tif", "A 31976-2026")</f>
        <v/>
      </c>
      <c r="AA55">
        <f>HYPERLINK("https://klasma.github.io/Logging_1980/klagomål/A 31976-2026 FSC-klagomål.docx", "A 31976-2026")</f>
        <v/>
      </c>
      <c r="AB55">
        <f>HYPERLINK("https://klasma.github.io/Logging_1980/klagomålsmail/A 31976-2026 FSC-klagomål mail.docx", "A 31976-2026")</f>
        <v/>
      </c>
      <c r="AC55">
        <f>HYPERLINK("https://klasma.github.io/Logging_1980/tillsyn/A 31976-2026 tillsynsbegäran.docx", "A 31976-2026")</f>
        <v/>
      </c>
      <c r="AD55">
        <f>HYPERLINK("https://klasma.github.io/Logging_1980/tillsynsmail/A 31976-2026 tillsynsbegäran mail.docx", "A 31976-2026")</f>
        <v/>
      </c>
    </row>
    <row r="56" ht="15" customHeight="1">
      <c r="A56" t="inlineStr">
        <is>
          <t>A 46189-2023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45196</v>
      </c>
      <c r="E56" s="1" t="n">
        <v>46235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HYPERLINK("https://klasma.github.io/Logging_1980/artfynd/A 46189-2023 artfynd.xlsx", "A 46189-2023")</f>
        <v/>
      </c>
      <c r="X56">
        <f>HYPERLINK("https://klasma.github.io/Logging_1980/kartor/A 46189-2023 karta.png", "A 46189-2023")</f>
        <v/>
      </c>
      <c r="Y56">
        <f>HYPERLINK("https://klasma.github.io/Logging_1980/kartor_geotiff/A 46189-2023 georefererad karta.tif", "A 46189-2023")</f>
        <v/>
      </c>
      <c r="AA56">
        <f>HYPERLINK("https://klasma.github.io/Logging_1980/klagomål/A 46189-2023 FSC-klagomål.docx", "A 46189-2023")</f>
        <v/>
      </c>
      <c r="AB56">
        <f>HYPERLINK("https://klasma.github.io/Logging_1980/klagomålsmail/A 46189-2023 FSC-klagomål mail.docx", "A 46189-2023")</f>
        <v/>
      </c>
      <c r="AC56">
        <f>HYPERLINK("https://klasma.github.io/Logging_1980/tillsyn/A 46189-2023 tillsynsbegäran.docx", "A 46189-2023")</f>
        <v/>
      </c>
      <c r="AD56">
        <f>HYPERLINK("https://klasma.github.io/Logging_1980/tillsynsmail/A 46189-2023 tillsynsbegäran mail.docx", "A 46189-2023")</f>
        <v/>
      </c>
    </row>
    <row r="57" ht="15" customHeight="1">
      <c r="A57" t="inlineStr">
        <is>
          <t>A 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46235</v>
      </c>
      <c r="F57" t="inlineStr">
        <is>
          <t>VÄSTMANLANDS LÄN</t>
        </is>
      </c>
      <c r="G57" t="inlineStr">
        <is>
          <t>VÄSTERÅS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Brunklöver</t>
        </is>
      </c>
      <c r="W57">
        <f>HYPERLINK("https://klasma.github.io/Logging_1980/artfynd/A 5363-2025 artfynd.xlsx", "A 5363-2025")</f>
        <v/>
      </c>
      <c r="X57">
        <f>HYPERLINK("https://klasma.github.io/Logging_1980/kartor/A 5363-2025 karta.png", "A 5363-2025")</f>
        <v/>
      </c>
      <c r="Y57">
        <f>HYPERLINK("https://klasma.github.io/Logging_1980/kartor_geotiff/A 5363-2025 georefererad karta.tif", "A 5363-2025")</f>
        <v/>
      </c>
      <c r="AA57">
        <f>HYPERLINK("https://klasma.github.io/Logging_1980/klagomål/A 5363-2025 FSC-klagomål.docx", "A 5363-2025")</f>
        <v/>
      </c>
      <c r="AB57">
        <f>HYPERLINK("https://klasma.github.io/Logging_1980/klagomålsmail/A 5363-2025 FSC-klagomål mail.docx", "A 5363-2025")</f>
        <v/>
      </c>
      <c r="AC57">
        <f>HYPERLINK("https://klasma.github.io/Logging_1980/tillsyn/A 5363-2025 tillsynsbegäran.docx", "A 5363-2025")</f>
        <v/>
      </c>
      <c r="AD57">
        <f>HYPERLINK("https://klasma.github.io/Logging_1980/tillsynsmail/A 5363-2025 tillsynsbegäran mail.docx", "A 5363-2025")</f>
        <v/>
      </c>
    </row>
    <row r="58" ht="15" customHeight="1">
      <c r="A58" t="inlineStr">
        <is>
          <t>A 8362-2022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46235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Köpingfibbla</t>
        </is>
      </c>
      <c r="W58">
        <f>HYPERLINK("https://klasma.github.io/Logging_1980/artfynd/A 8362-2022 artfynd.xlsx", "A 8362-2022")</f>
        <v/>
      </c>
      <c r="X58">
        <f>HYPERLINK("https://klasma.github.io/Logging_1980/kartor/A 8362-2022 karta.png", "A 8362-2022")</f>
        <v/>
      </c>
      <c r="Y58">
        <f>HYPERLINK("https://klasma.github.io/Logging_1980/kartor_geotiff/A 8362-2022 georefererad karta.tif", "A 8362-2022")</f>
        <v/>
      </c>
      <c r="AA58">
        <f>HYPERLINK("https://klasma.github.io/Logging_1980/klagomål/A 8362-2022 FSC-klagomål.docx", "A 8362-2022")</f>
        <v/>
      </c>
      <c r="AB58">
        <f>HYPERLINK("https://klasma.github.io/Logging_1980/klagomålsmail/A 8362-2022 FSC-klagomål mail.docx", "A 8362-2022")</f>
        <v/>
      </c>
      <c r="AC58">
        <f>HYPERLINK("https://klasma.github.io/Logging_1980/tillsyn/A 8362-2022 tillsynsbegäran.docx", "A 8362-2022")</f>
        <v/>
      </c>
      <c r="AD58">
        <f>HYPERLINK("https://klasma.github.io/Logging_1980/tillsynsmail/A 8362-2022 tillsynsbegäran mail.docx", "A 8362-2022")</f>
        <v/>
      </c>
    </row>
    <row r="59" ht="15" customHeight="1">
      <c r="A59" t="inlineStr">
        <is>
          <t>A 12058-2026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46235</v>
      </c>
      <c r="F59" t="inlineStr">
        <is>
          <t>VÄSTMANLANDS LÄN</t>
        </is>
      </c>
      <c r="G59" t="inlineStr">
        <is>
          <t>VÄSTERÅS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Törnskata</t>
        </is>
      </c>
      <c r="W59">
        <f>HYPERLINK("https://klasma.github.io/Logging_1980/artfynd/A 12058-2026 artfynd.xlsx", "A 12058-2026")</f>
        <v/>
      </c>
      <c r="X59">
        <f>HYPERLINK("https://klasma.github.io/Logging_1980/kartor/A 12058-2026 karta.png", "A 12058-2026")</f>
        <v/>
      </c>
      <c r="Y59">
        <f>HYPERLINK("https://klasma.github.io/Logging_1980/kartor_geotiff/A 12058-2026 georefererad karta.tif", "A 12058-2026")</f>
        <v/>
      </c>
      <c r="AA59">
        <f>HYPERLINK("https://klasma.github.io/Logging_1980/klagomål/A 12058-2026 FSC-klagomål.docx", "A 12058-2026")</f>
        <v/>
      </c>
      <c r="AB59">
        <f>HYPERLINK("https://klasma.github.io/Logging_1980/klagomålsmail/A 12058-2026 FSC-klagomål mail.docx", "A 12058-2026")</f>
        <v/>
      </c>
      <c r="AC59">
        <f>HYPERLINK("https://klasma.github.io/Logging_1980/tillsyn/A 12058-2026 tillsynsbegäran.docx", "A 12058-2026")</f>
        <v/>
      </c>
      <c r="AD59">
        <f>HYPERLINK("https://klasma.github.io/Logging_1980/tillsynsmail/A 12058-2026 tillsynsbegäran mail.docx", "A 12058-2026")</f>
        <v/>
      </c>
      <c r="AE59">
        <f>HYPERLINK("https://klasma.github.io/Logging_1980/fåglar/A 12058-2026 prioriterade fågelarter.docx", "A 12058-2026")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46235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26568-2022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46235</v>
      </c>
      <c r="F61" t="inlineStr">
        <is>
          <t>VÄSTMANLANDS LÄN</t>
        </is>
      </c>
      <c r="G61" t="inlineStr">
        <is>
          <t>VÄSTERÅS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HYPERLINK("https://klasma.github.io/Logging_1980/artfynd/A 26568-2022 artfynd.xlsx", "A 26568-2022")</f>
        <v/>
      </c>
      <c r="X61">
        <f>HYPERLINK("https://klasma.github.io/Logging_1980/kartor/A 26568-2022 karta.png", "A 26568-2022")</f>
        <v/>
      </c>
      <c r="Y61">
        <f>HYPERLINK("https://klasma.github.io/Logging_1980/kartor_geotiff/A 26568-2022 georefererad karta.tif", "A 26568-2022")</f>
        <v/>
      </c>
      <c r="AA61">
        <f>HYPERLINK("https://klasma.github.io/Logging_1980/klagomål/A 26568-2022 FSC-klagomål.docx", "A 26568-2022")</f>
        <v/>
      </c>
      <c r="AB61">
        <f>HYPERLINK("https://klasma.github.io/Logging_1980/klagomålsmail/A 26568-2022 FSC-klagomål mail.docx", "A 26568-2022")</f>
        <v/>
      </c>
      <c r="AC61">
        <f>HYPERLINK("https://klasma.github.io/Logging_1980/tillsyn/A 26568-2022 tillsynsbegäran.docx", "A 26568-2022")</f>
        <v/>
      </c>
      <c r="AD61">
        <f>HYPERLINK("https://klasma.github.io/Logging_1980/tillsynsmail/A 26568-2022 tillsynsbegäran mail.docx", "A 26568-2022")</f>
        <v/>
      </c>
    </row>
    <row r="62" ht="15" customHeight="1">
      <c r="A62" t="inlineStr">
        <is>
          <t>A 51147-2023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46235</v>
      </c>
      <c r="F62" t="inlineStr">
        <is>
          <t>VÄSTMANLANDS LÄN</t>
        </is>
      </c>
      <c r="G62" t="inlineStr">
        <is>
          <t>VÄSTERÅS</t>
        </is>
      </c>
      <c r="I62" t="n">
        <v>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Mindre märgborre</t>
        </is>
      </c>
      <c r="W62">
        <f>HYPERLINK("https://klasma.github.io/Logging_1980/artfynd/A 51147-2023 artfynd.xlsx", "A 51147-2023")</f>
        <v/>
      </c>
      <c r="X62">
        <f>HYPERLINK("https://klasma.github.io/Logging_1980/kartor/A 51147-2023 karta.png", "A 51147-2023")</f>
        <v/>
      </c>
      <c r="Y62">
        <f>HYPERLINK("https://klasma.github.io/Logging_1980/kartor_geotiff/A 51147-2023 georefererad karta.tif", "A 51147-2023")</f>
        <v/>
      </c>
      <c r="AA62">
        <f>HYPERLINK("https://klasma.github.io/Logging_1980/klagomål/A 51147-2023 FSC-klagomål.docx", "A 51147-2023")</f>
        <v/>
      </c>
      <c r="AB62">
        <f>HYPERLINK("https://klasma.github.io/Logging_1980/klagomålsmail/A 51147-2023 FSC-klagomål mail.docx", "A 51147-2023")</f>
        <v/>
      </c>
      <c r="AC62">
        <f>HYPERLINK("https://klasma.github.io/Logging_1980/tillsyn/A 51147-2023 tillsynsbegäran.docx", "A 51147-2023")</f>
        <v/>
      </c>
      <c r="AD62">
        <f>HYPERLINK("https://klasma.github.io/Logging_1980/tillsynsmail/A 51147-2023 tillsynsbegäran mail.docx", "A 51147-2023")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46235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46235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46235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46235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46235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46235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46235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46235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46235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46235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46235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46235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46235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46235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46235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46235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46235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46235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46235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46235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46235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46235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46235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46235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46235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46235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46235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46235</v>
      </c>
      <c r="F90" t="inlineStr">
        <is>
          <t>VÄSTMANLANDS LÄN</t>
        </is>
      </c>
      <c r="G90" t="inlineStr">
        <is>
          <t>VÄSTERÅS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44657</v>
      </c>
      <c r="E91" s="1" t="n">
        <v>46235</v>
      </c>
      <c r="F91" t="inlineStr">
        <is>
          <t>VÄSTMANLANDS LÄN</t>
        </is>
      </c>
      <c r="G91" t="inlineStr">
        <is>
          <t>VÄSTERÅS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46235</v>
      </c>
      <c r="F92" t="inlineStr">
        <is>
          <t>VÄSTMANLANDS LÄN</t>
        </is>
      </c>
      <c r="G92" t="inlineStr">
        <is>
          <t>VÄSTERÅS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46235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46235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45019</v>
      </c>
      <c r="E95" s="1" t="n">
        <v>46235</v>
      </c>
      <c r="F95" t="inlineStr">
        <is>
          <t>VÄSTMANLANDS LÄN</t>
        </is>
      </c>
      <c r="G95" t="inlineStr">
        <is>
          <t>VÄSTERÅS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46235</v>
      </c>
      <c r="F96" t="inlineStr">
        <is>
          <t>VÄSTMANLANDS LÄN</t>
        </is>
      </c>
      <c r="G96" t="inlineStr">
        <is>
          <t>VÄSTERÅS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46235</v>
      </c>
      <c r="F97" t="inlineStr">
        <is>
          <t>VÄSTMANLANDS LÄN</t>
        </is>
      </c>
      <c r="G97" t="inlineStr">
        <is>
          <t>VÄSTERÅS</t>
        </is>
      </c>
      <c r="I97" t="n">
        <v>13.9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10499-2022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44623</v>
      </c>
      <c r="E98" s="1" t="n">
        <v>46235</v>
      </c>
      <c r="F98" t="inlineStr">
        <is>
          <t>VÄSTMANLANDS LÄN</t>
        </is>
      </c>
      <c r="G98" t="inlineStr">
        <is>
          <t>VÄSTERÅS</t>
        </is>
      </c>
      <c r="H98" t="inlineStr">
        <is>
          <t>Sveaskog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18482-2023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45042</v>
      </c>
      <c r="E99" s="1" t="n">
        <v>46235</v>
      </c>
      <c r="F99" t="inlineStr">
        <is>
          <t>VÄSTMANLANDS LÄN</t>
        </is>
      </c>
      <c r="G99" t="inlineStr">
        <is>
          <t>VÄSTERÅS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55676-2023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45232</v>
      </c>
      <c r="E100" s="1" t="n">
        <v>46235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Övriga Aktiebolag</t>
        </is>
      </c>
      <c r="I100" t="n">
        <v>37.9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44761</v>
      </c>
      <c r="E101" s="1" t="n">
        <v>46235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44755</v>
      </c>
      <c r="E102" s="1" t="n">
        <v>46235</v>
      </c>
      <c r="F102" t="inlineStr">
        <is>
          <t>VÄSTMANLANDS LÄN</t>
        </is>
      </c>
      <c r="G102" t="inlineStr">
        <is>
          <t>VÄSTERÅS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46235</v>
      </c>
      <c r="F103" t="inlineStr">
        <is>
          <t>VÄSTMANLANDS LÄN</t>
        </is>
      </c>
      <c r="G103" t="inlineStr">
        <is>
          <t>VÄSTERÅS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46235</v>
      </c>
      <c r="F104" t="inlineStr">
        <is>
          <t>VÄSTMANLANDS LÄN</t>
        </is>
      </c>
      <c r="G104" t="inlineStr">
        <is>
          <t>VÄSTERÅS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11137-2023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44987</v>
      </c>
      <c r="E105" s="1" t="n">
        <v>46235</v>
      </c>
      <c r="F105" t="inlineStr">
        <is>
          <t>VÄSTMANLANDS LÄN</t>
        </is>
      </c>
      <c r="G105" t="inlineStr">
        <is>
          <t>VÄSTERÅS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46235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46235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46235</v>
      </c>
      <c r="F108" t="inlineStr">
        <is>
          <t>VÄSTMANLANDS LÄN</t>
        </is>
      </c>
      <c r="G108" t="inlineStr">
        <is>
          <t>VÄSTERÅS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67353-2021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46235</v>
      </c>
      <c r="F109" t="inlineStr">
        <is>
          <t>VÄSTMANLANDS LÄN</t>
        </is>
      </c>
      <c r="G109" t="inlineStr">
        <is>
          <t>VÄSTERÅS</t>
        </is>
      </c>
      <c r="H109" t="inlineStr">
        <is>
          <t>Övriga Aktiebolag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70642-2021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46235</v>
      </c>
      <c r="F110" t="inlineStr">
        <is>
          <t>VÄSTMANLANDS LÄN</t>
        </is>
      </c>
      <c r="G110" t="inlineStr">
        <is>
          <t>VÄSTERÅS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46235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46235</v>
      </c>
      <c r="F112" t="inlineStr">
        <is>
          <t>VÄSTMANLANDS LÄN</t>
        </is>
      </c>
      <c r="G112" t="inlineStr">
        <is>
          <t>VÄSTERÅS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46235</v>
      </c>
      <c r="F113" t="inlineStr">
        <is>
          <t>VÄSTMANLANDS LÄN</t>
        </is>
      </c>
      <c r="G113" t="inlineStr">
        <is>
          <t>VÄSTERÅS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18457-2023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45042</v>
      </c>
      <c r="E114" s="1" t="n">
        <v>46235</v>
      </c>
      <c r="F114" t="inlineStr">
        <is>
          <t>VÄSTMANLANDS LÄN</t>
        </is>
      </c>
      <c r="G114" t="inlineStr">
        <is>
          <t>VÄSTERÅS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46235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Kyrkan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46235</v>
      </c>
      <c r="F116" t="inlineStr">
        <is>
          <t>VÄSTMANLANDS LÄN</t>
        </is>
      </c>
      <c r="G116" t="inlineStr">
        <is>
          <t>VÄSTERÅS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44792</v>
      </c>
      <c r="E117" s="1" t="n">
        <v>46235</v>
      </c>
      <c r="F117" t="inlineStr">
        <is>
          <t>VÄSTMANLANDS LÄN</t>
        </is>
      </c>
      <c r="G117" t="inlineStr">
        <is>
          <t>VÄSTERÅS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46235</v>
      </c>
      <c r="F118" t="inlineStr">
        <is>
          <t>VÄSTMANLANDS LÄN</t>
        </is>
      </c>
      <c r="G118" t="inlineStr">
        <is>
          <t>VÄSTERÅS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46235</v>
      </c>
      <c r="F119" t="inlineStr">
        <is>
          <t>VÄSTMANLANDS LÄN</t>
        </is>
      </c>
      <c r="G119" t="inlineStr">
        <is>
          <t>VÄSTERÅS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46235</v>
      </c>
      <c r="F120" t="inlineStr">
        <is>
          <t>VÄSTMANLANDS LÄN</t>
        </is>
      </c>
      <c r="G120" t="inlineStr">
        <is>
          <t>VÄSTERÅS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45414</v>
      </c>
      <c r="E121" s="1" t="n">
        <v>46235</v>
      </c>
      <c r="F121" t="inlineStr">
        <is>
          <t>VÄSTMANLANDS LÄN</t>
        </is>
      </c>
      <c r="G121" t="inlineStr">
        <is>
          <t>VÄSTERÅS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45366</v>
      </c>
      <c r="E122" s="1" t="n">
        <v>46235</v>
      </c>
      <c r="F122" t="inlineStr">
        <is>
          <t>VÄSTMANLANDS LÄN</t>
        </is>
      </c>
      <c r="G122" t="inlineStr">
        <is>
          <t>VÄSTERÅS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46235</v>
      </c>
      <c r="F123" t="inlineStr">
        <is>
          <t>VÄSTMANLANDS LÄN</t>
        </is>
      </c>
      <c r="G123" t="inlineStr">
        <is>
          <t>VÄSTERÅS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46235</v>
      </c>
      <c r="F124" t="inlineStr">
        <is>
          <t>VÄSTMANLANDS LÄN</t>
        </is>
      </c>
      <c r="G124" t="inlineStr">
        <is>
          <t>VÄSTERÅS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45400</v>
      </c>
      <c r="E125" s="1" t="n">
        <v>46235</v>
      </c>
      <c r="F125" t="inlineStr">
        <is>
          <t>VÄSTMANLANDS LÄN</t>
        </is>
      </c>
      <c r="G125" t="inlineStr">
        <is>
          <t>VÄSTERÅS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46235</v>
      </c>
      <c r="F126" t="inlineStr">
        <is>
          <t>VÄSTMANLANDS LÄN</t>
        </is>
      </c>
      <c r="G126" t="inlineStr">
        <is>
          <t>VÄSTERÅS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44914</v>
      </c>
      <c r="E127" s="1" t="n">
        <v>46235</v>
      </c>
      <c r="F127" t="inlineStr">
        <is>
          <t>VÄSTMANLANDS LÄN</t>
        </is>
      </c>
      <c r="G127" t="inlineStr">
        <is>
          <t>VÄSTERÅS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45296</v>
      </c>
      <c r="E128" s="1" t="n">
        <v>46235</v>
      </c>
      <c r="F128" t="inlineStr">
        <is>
          <t>VÄSTMANLANDS LÄN</t>
        </is>
      </c>
      <c r="G128" t="inlineStr">
        <is>
          <t>VÄSTERÅS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46235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46235</v>
      </c>
      <c r="F130" t="inlineStr">
        <is>
          <t>VÄSTMANLANDS LÄN</t>
        </is>
      </c>
      <c r="G130" t="inlineStr">
        <is>
          <t>VÄSTERÅS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45223</v>
      </c>
      <c r="E131" s="1" t="n">
        <v>46235</v>
      </c>
      <c r="F131" t="inlineStr">
        <is>
          <t>VÄSTMANLANDS LÄN</t>
        </is>
      </c>
      <c r="G131" t="inlineStr">
        <is>
          <t>VÄSTERÅS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39127-2022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44816</v>
      </c>
      <c r="E132" s="1" t="n">
        <v>46235</v>
      </c>
      <c r="F132" t="inlineStr">
        <is>
          <t>VÄSTMANLANDS LÄN</t>
        </is>
      </c>
      <c r="G132" t="inlineStr">
        <is>
          <t>VÄSTERÅS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46235</v>
      </c>
      <c r="F133" t="inlineStr">
        <is>
          <t>VÄSTMANLANDS LÄN</t>
        </is>
      </c>
      <c r="G133" t="inlineStr">
        <is>
          <t>VÄSTERÅS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46235</v>
      </c>
      <c r="F134" t="inlineStr">
        <is>
          <t>VÄSTMANLANDS LÄN</t>
        </is>
      </c>
      <c r="G134" t="inlineStr">
        <is>
          <t>VÄSTERÅS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46235</v>
      </c>
      <c r="F135" t="inlineStr">
        <is>
          <t>VÄSTMANLANDS LÄN</t>
        </is>
      </c>
      <c r="G135" t="inlineStr">
        <is>
          <t>VÄSTERÅS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46235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46235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46235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46235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Kommuner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46235</v>
      </c>
      <c r="F140" t="inlineStr">
        <is>
          <t>VÄSTMANLANDS LÄN</t>
        </is>
      </c>
      <c r="G140" t="inlineStr">
        <is>
          <t>VÄSTERÅS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46235</v>
      </c>
      <c r="F141" t="inlineStr">
        <is>
          <t>VÄSTMANLANDS LÄN</t>
        </is>
      </c>
      <c r="G141" t="inlineStr">
        <is>
          <t>VÄSTERÅS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24572-2023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45083</v>
      </c>
      <c r="E142" s="1" t="n">
        <v>46235</v>
      </c>
      <c r="F142" t="inlineStr">
        <is>
          <t>VÄSTMANLANDS LÄN</t>
        </is>
      </c>
      <c r="G142" t="inlineStr">
        <is>
          <t>VÄSTERÅS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46235</v>
      </c>
      <c r="F143" t="inlineStr">
        <is>
          <t>VÄSTMANLANDS LÄN</t>
        </is>
      </c>
      <c r="G143" t="inlineStr">
        <is>
          <t>VÄSTERÅS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46235</v>
      </c>
      <c r="F144" t="inlineStr">
        <is>
          <t>VÄSTMANLANDS LÄN</t>
        </is>
      </c>
      <c r="G144" t="inlineStr">
        <is>
          <t>VÄSTERÅS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46235</v>
      </c>
      <c r="F145" t="inlineStr">
        <is>
          <t>VÄSTMANLANDS LÄN</t>
        </is>
      </c>
      <c r="G145" t="inlineStr">
        <is>
          <t>VÄSTERÅS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42659-2021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44428</v>
      </c>
      <c r="E146" s="1" t="n">
        <v>46235</v>
      </c>
      <c r="F146" t="inlineStr">
        <is>
          <t>VÄSTMANLANDS LÄN</t>
        </is>
      </c>
      <c r="G146" t="inlineStr">
        <is>
          <t>VÄSTERÅS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17808-2023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45037</v>
      </c>
      <c r="E147" s="1" t="n">
        <v>46235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46235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46235</v>
      </c>
      <c r="F149" t="inlineStr">
        <is>
          <t>VÄSTMANLANDS LÄN</t>
        </is>
      </c>
      <c r="G149" t="inlineStr">
        <is>
          <t>VÄSTERÅS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46235</v>
      </c>
      <c r="F150" t="inlineStr">
        <is>
          <t>VÄSTMANLANDS LÄN</t>
        </is>
      </c>
      <c r="G150" t="inlineStr">
        <is>
          <t>VÄSTERÅS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44717</v>
      </c>
      <c r="E151" s="1" t="n">
        <v>46235</v>
      </c>
      <c r="F151" t="inlineStr">
        <is>
          <t>VÄSTMANLANDS LÄN</t>
        </is>
      </c>
      <c r="G151" t="inlineStr">
        <is>
          <t>VÄSTERÅS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46235</v>
      </c>
      <c r="F152" t="inlineStr">
        <is>
          <t>VÄSTMANLANDS LÄN</t>
        </is>
      </c>
      <c r="G152" t="inlineStr">
        <is>
          <t>VÄSTERÅS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8727-2023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44978</v>
      </c>
      <c r="E153" s="1" t="n">
        <v>46235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46235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63851-2021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44509</v>
      </c>
      <c r="E155" s="1" t="n">
        <v>46235</v>
      </c>
      <c r="F155" t="inlineStr">
        <is>
          <t>VÄSTMANLANDS LÄN</t>
        </is>
      </c>
      <c r="G155" t="inlineStr">
        <is>
          <t>VÄSTERÅS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46235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46235</v>
      </c>
      <c r="F157" t="inlineStr">
        <is>
          <t>VÄSTMANLANDS LÄN</t>
        </is>
      </c>
      <c r="G157" t="inlineStr">
        <is>
          <t>VÄSTERÅS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46235</v>
      </c>
      <c r="F158" t="inlineStr">
        <is>
          <t>VÄSTMANLANDS LÄN</t>
        </is>
      </c>
      <c r="G158" t="inlineStr">
        <is>
          <t>VÄSTERÅS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45938</v>
      </c>
      <c r="E159" s="1" t="n">
        <v>46235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45027</v>
      </c>
      <c r="E160" s="1" t="n">
        <v>46235</v>
      </c>
      <c r="F160" t="inlineStr">
        <is>
          <t>VÄSTMANLANDS LÄN</t>
        </is>
      </c>
      <c r="G160" t="inlineStr">
        <is>
          <t>VÄSTERÅS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46235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44826</v>
      </c>
      <c r="E162" s="1" t="n">
        <v>46235</v>
      </c>
      <c r="F162" t="inlineStr">
        <is>
          <t>VÄSTMANLANDS LÄN</t>
        </is>
      </c>
      <c r="G162" t="inlineStr">
        <is>
          <t>VÄSTERÅS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46235</v>
      </c>
      <c r="F163" t="inlineStr">
        <is>
          <t>VÄSTMANLANDS LÄN</t>
        </is>
      </c>
      <c r="G163" t="inlineStr">
        <is>
          <t>VÄSTERÅS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46235</v>
      </c>
      <c r="F164" t="inlineStr">
        <is>
          <t>VÄSTMANLANDS LÄN</t>
        </is>
      </c>
      <c r="G164" t="inlineStr">
        <is>
          <t>VÄSTERÅS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46235</v>
      </c>
      <c r="F165" t="inlineStr">
        <is>
          <t>VÄSTMANLANDS LÄN</t>
        </is>
      </c>
      <c r="G165" t="inlineStr">
        <is>
          <t>VÄSTERÅS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46235</v>
      </c>
      <c r="F166" t="inlineStr">
        <is>
          <t>VÄSTMANLANDS LÄN</t>
        </is>
      </c>
      <c r="G166" t="inlineStr">
        <is>
          <t>VÄSTERÅS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46235</v>
      </c>
      <c r="F167" t="inlineStr">
        <is>
          <t>VÄSTMANLANDS LÄN</t>
        </is>
      </c>
      <c r="G167" t="inlineStr">
        <is>
          <t>VÄSTERÅS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46235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46235</v>
      </c>
      <c r="F169" t="inlineStr">
        <is>
          <t>VÄSTMANLANDS LÄN</t>
        </is>
      </c>
      <c r="G169" t="inlineStr">
        <is>
          <t>VÄSTERÅS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46235</v>
      </c>
      <c r="F170" t="inlineStr">
        <is>
          <t>VÄSTMANLANDS LÄN</t>
        </is>
      </c>
      <c r="G170" t="inlineStr">
        <is>
          <t>VÄSTERÅS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46235</v>
      </c>
      <c r="F171" t="inlineStr">
        <is>
          <t>VÄSTMANLANDS LÄN</t>
        </is>
      </c>
      <c r="G171" t="inlineStr">
        <is>
          <t>VÄSTERÅS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46235</v>
      </c>
      <c r="F172" t="inlineStr">
        <is>
          <t>VÄSTMANLANDS LÄN</t>
        </is>
      </c>
      <c r="G172" t="inlineStr">
        <is>
          <t>VÄSTERÅS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46235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46235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46235</v>
      </c>
      <c r="F175" t="inlineStr">
        <is>
          <t>VÄSTMANLANDS LÄN</t>
        </is>
      </c>
      <c r="G175" t="inlineStr">
        <is>
          <t>VÄSTERÅS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44582</v>
      </c>
      <c r="E176" s="1" t="n">
        <v>46235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Övriga Aktiebolag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46235</v>
      </c>
      <c r="F177" t="inlineStr">
        <is>
          <t>VÄSTMANLANDS LÄN</t>
        </is>
      </c>
      <c r="G177" t="inlineStr">
        <is>
          <t>VÄSTERÅS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46235</v>
      </c>
      <c r="F178" t="inlineStr">
        <is>
          <t>VÄSTMANLANDS LÄN</t>
        </is>
      </c>
      <c r="G178" t="inlineStr">
        <is>
          <t>VÄSTERÅS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46196</v>
      </c>
      <c r="E179" s="1" t="n">
        <v>46235</v>
      </c>
      <c r="F179" t="inlineStr">
        <is>
          <t>VÄSTMANLANDS LÄN</t>
        </is>
      </c>
      <c r="G179" t="inlineStr">
        <is>
          <t>VÄSTERÅS</t>
        </is>
      </c>
      <c r="I179" t="n">
        <v>14.1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45251</v>
      </c>
      <c r="E180" s="1" t="n">
        <v>46235</v>
      </c>
      <c r="F180" t="inlineStr">
        <is>
          <t>VÄSTMANLANDS LÄN</t>
        </is>
      </c>
      <c r="G180" t="inlineStr">
        <is>
          <t>VÄSTERÅS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46235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46235</v>
      </c>
      <c r="F182" t="inlineStr">
        <is>
          <t>VÄSTMANLANDS LÄN</t>
        </is>
      </c>
      <c r="G182" t="inlineStr">
        <is>
          <t>VÄSTERÅS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46235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46235</v>
      </c>
      <c r="F184" t="inlineStr">
        <is>
          <t>VÄSTMANLANDS LÄN</t>
        </is>
      </c>
      <c r="G184" t="inlineStr">
        <is>
          <t>VÄSTERÅS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44695-2022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44840</v>
      </c>
      <c r="E185" s="1" t="n">
        <v>46235</v>
      </c>
      <c r="F185" t="inlineStr">
        <is>
          <t>VÄSTMANLANDS LÄN</t>
        </is>
      </c>
      <c r="G185" t="inlineStr">
        <is>
          <t>VÄSTERÅS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46162</v>
      </c>
      <c r="E186" s="1" t="n">
        <v>46235</v>
      </c>
      <c r="F186" t="inlineStr">
        <is>
          <t>VÄSTMANLANDS LÄN</t>
        </is>
      </c>
      <c r="G186" t="inlineStr">
        <is>
          <t>VÄSTERÅS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46235</v>
      </c>
      <c r="F187" t="inlineStr">
        <is>
          <t>VÄSTMANLANDS LÄN</t>
        </is>
      </c>
      <c r="G187" t="inlineStr">
        <is>
          <t>VÄSTERÅS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46235</v>
      </c>
      <c r="F188" t="inlineStr">
        <is>
          <t>VÄSTMANLANDS LÄN</t>
        </is>
      </c>
      <c r="G188" t="inlineStr">
        <is>
          <t>VÄSTERÅS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46235</v>
      </c>
      <c r="F189" t="inlineStr">
        <is>
          <t>VÄSTMANLANDS LÄN</t>
        </is>
      </c>
      <c r="G189" t="inlineStr">
        <is>
          <t>VÄSTERÅS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46235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46235</v>
      </c>
      <c r="F191" t="inlineStr">
        <is>
          <t>VÄSTMANLANDS LÄN</t>
        </is>
      </c>
      <c r="G191" t="inlineStr">
        <is>
          <t>VÄSTERÅS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46235</v>
      </c>
      <c r="F192" t="inlineStr">
        <is>
          <t>VÄSTMANLANDS LÄN</t>
        </is>
      </c>
      <c r="G192" t="inlineStr">
        <is>
          <t>VÄSTERÅS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46235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46235</v>
      </c>
      <c r="F194" t="inlineStr">
        <is>
          <t>VÄSTMANLANDS LÄN</t>
        </is>
      </c>
      <c r="G194" t="inlineStr">
        <is>
          <t>VÄSTERÅS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46235</v>
      </c>
      <c r="F195" t="inlineStr">
        <is>
          <t>VÄSTMANLANDS LÄN</t>
        </is>
      </c>
      <c r="G195" t="inlineStr">
        <is>
          <t>VÄSTERÅS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46235</v>
      </c>
      <c r="F196" t="inlineStr">
        <is>
          <t>VÄSTMANLANDS LÄN</t>
        </is>
      </c>
      <c r="G196" t="inlineStr">
        <is>
          <t>VÄSTERÅS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44874</v>
      </c>
      <c r="E197" s="1" t="n">
        <v>46235</v>
      </c>
      <c r="F197" t="inlineStr">
        <is>
          <t>VÄSTMANLANDS LÄN</t>
        </is>
      </c>
      <c r="G197" t="inlineStr">
        <is>
          <t>VÄSTERÅS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46235</v>
      </c>
      <c r="F198" t="inlineStr">
        <is>
          <t>VÄSTMANLANDS LÄN</t>
        </is>
      </c>
      <c r="G198" t="inlineStr">
        <is>
          <t>VÄSTERÅS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46235</v>
      </c>
      <c r="F199" t="inlineStr">
        <is>
          <t>VÄSTMANLANDS LÄN</t>
        </is>
      </c>
      <c r="G199" t="inlineStr">
        <is>
          <t>VÄSTERÅS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46235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64207-2023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45279</v>
      </c>
      <c r="E201" s="1" t="n">
        <v>46235</v>
      </c>
      <c r="F201" t="inlineStr">
        <is>
          <t>VÄSTMANLANDS LÄN</t>
        </is>
      </c>
      <c r="G201" t="inlineStr">
        <is>
          <t>VÄSTERÅS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46235</v>
      </c>
      <c r="F202" t="inlineStr">
        <is>
          <t>VÄSTMANLANDS LÄN</t>
        </is>
      </c>
      <c r="G202" t="inlineStr">
        <is>
          <t>VÄSTERÅS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46235</v>
      </c>
      <c r="F203" t="inlineStr">
        <is>
          <t>VÄSTMANLANDS LÄN</t>
        </is>
      </c>
      <c r="G203" t="inlineStr">
        <is>
          <t>VÄSTERÅS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46235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46235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46169</v>
      </c>
      <c r="E206" s="1" t="n">
        <v>46235</v>
      </c>
      <c r="F206" t="inlineStr">
        <is>
          <t>VÄSTMANLANDS LÄN</t>
        </is>
      </c>
      <c r="G206" t="inlineStr">
        <is>
          <t>VÄSTERÅS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46235</v>
      </c>
      <c r="F207" t="inlineStr">
        <is>
          <t>VÄSTMANLANDS LÄN</t>
        </is>
      </c>
      <c r="G207" t="inlineStr">
        <is>
          <t>VÄSTERÅS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46235</v>
      </c>
      <c r="F208" t="inlineStr">
        <is>
          <t>VÄSTMANLANDS LÄN</t>
        </is>
      </c>
      <c r="G208" t="inlineStr">
        <is>
          <t>VÄSTERÅS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45398</v>
      </c>
      <c r="E209" s="1" t="n">
        <v>46235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45274</v>
      </c>
      <c r="E210" s="1" t="n">
        <v>46235</v>
      </c>
      <c r="F210" t="inlineStr">
        <is>
          <t>VÄSTMANLANDS LÄN</t>
        </is>
      </c>
      <c r="G210" t="inlineStr">
        <is>
          <t>VÄSTERÅS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46235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46215</v>
      </c>
      <c r="E212" s="1" t="n">
        <v>46235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46235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55684-2023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45232</v>
      </c>
      <c r="E214" s="1" t="n">
        <v>46235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Övriga Aktiebolag</t>
        </is>
      </c>
      <c r="I214" t="n">
        <v>29.4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46215</v>
      </c>
      <c r="E215" s="1" t="n">
        <v>46235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46215</v>
      </c>
      <c r="E216" s="1" t="n">
        <v>46235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46215</v>
      </c>
      <c r="E217" s="1" t="n">
        <v>46235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46235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46235</v>
      </c>
      <c r="F219" t="inlineStr">
        <is>
          <t>VÄSTMANLANDS LÄN</t>
        </is>
      </c>
      <c r="G219" t="inlineStr">
        <is>
          <t>VÄSTERÅS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46235</v>
      </c>
      <c r="F220" t="inlineStr">
        <is>
          <t>VÄSTMANLANDS LÄN</t>
        </is>
      </c>
      <c r="G220" t="inlineStr">
        <is>
          <t>VÄSTERÅS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46215</v>
      </c>
      <c r="E221" s="1" t="n">
        <v>46235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46235</v>
      </c>
      <c r="F222" t="inlineStr">
        <is>
          <t>VÄSTMANLANDS LÄN</t>
        </is>
      </c>
      <c r="G222" t="inlineStr">
        <is>
          <t>VÄSTERÅS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46215</v>
      </c>
      <c r="E223" s="1" t="n">
        <v>46235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73601-2021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46235</v>
      </c>
      <c r="F224" t="inlineStr">
        <is>
          <t>VÄSTMANLANDS LÄN</t>
        </is>
      </c>
      <c r="G224" t="inlineStr">
        <is>
          <t>VÄSTERÅS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46235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Allmännings- och besparingsskogar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46235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46235</v>
      </c>
      <c r="F227" t="inlineStr">
        <is>
          <t>VÄSTMANLANDS LÄN</t>
        </is>
      </c>
      <c r="G227" t="inlineStr">
        <is>
          <t>VÄSTERÅS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45457</v>
      </c>
      <c r="E228" s="1" t="n">
        <v>46235</v>
      </c>
      <c r="F228" t="inlineStr">
        <is>
          <t>VÄSTMANLANDS LÄN</t>
        </is>
      </c>
      <c r="G228" t="inlineStr">
        <is>
          <t>VÄSTERÅS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46217</v>
      </c>
      <c r="E229" s="1" t="n">
        <v>46235</v>
      </c>
      <c r="F229" t="inlineStr">
        <is>
          <t>VÄSTMANLANDS LÄN</t>
        </is>
      </c>
      <c r="G229" t="inlineStr">
        <is>
          <t>VÄSTERÅS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46235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46235</v>
      </c>
      <c r="F231" t="inlineStr">
        <is>
          <t>VÄSTMANLANDS LÄN</t>
        </is>
      </c>
      <c r="G231" t="inlineStr">
        <is>
          <t>VÄSTERÅS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74314-2021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44559</v>
      </c>
      <c r="E232" s="1" t="n">
        <v>46235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18467-2023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45042</v>
      </c>
      <c r="E233" s="1" t="n">
        <v>46235</v>
      </c>
      <c r="F233" t="inlineStr">
        <is>
          <t>VÄSTMANLANDS LÄN</t>
        </is>
      </c>
      <c r="G233" t="inlineStr">
        <is>
          <t>VÄSTERÅS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44595</v>
      </c>
      <c r="E234" s="1" t="n">
        <v>46235</v>
      </c>
      <c r="F234" t="inlineStr">
        <is>
          <t>VÄSTMANLANDS LÄN</t>
        </is>
      </c>
      <c r="G234" t="inlineStr">
        <is>
          <t>VÄSTERÅS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45033</v>
      </c>
      <c r="E235" s="1" t="n">
        <v>46235</v>
      </c>
      <c r="F235" t="inlineStr">
        <is>
          <t>VÄSTMANLANDS LÄN</t>
        </is>
      </c>
      <c r="G235" t="inlineStr">
        <is>
          <t>VÄSTERÅS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45218</v>
      </c>
      <c r="E236" s="1" t="n">
        <v>46235</v>
      </c>
      <c r="F236" t="inlineStr">
        <is>
          <t>VÄSTMANLANDS LÄN</t>
        </is>
      </c>
      <c r="G236" t="inlineStr">
        <is>
          <t>VÄSTERÅS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44637</v>
      </c>
      <c r="E237" s="1" t="n">
        <v>46235</v>
      </c>
      <c r="F237" t="inlineStr">
        <is>
          <t>VÄSTMANLANDS LÄN</t>
        </is>
      </c>
      <c r="G237" t="inlineStr">
        <is>
          <t>VÄSTERÅS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16214-2023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45028</v>
      </c>
      <c r="E238" s="1" t="n">
        <v>46235</v>
      </c>
      <c r="F238" t="inlineStr">
        <is>
          <t>VÄSTMANLANDS LÄN</t>
        </is>
      </c>
      <c r="G238" t="inlineStr">
        <is>
          <t>VÄSTERÅS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46235</v>
      </c>
      <c r="F239" t="inlineStr">
        <is>
          <t>VÄSTMANLANDS LÄN</t>
        </is>
      </c>
      <c r="G239" t="inlineStr">
        <is>
          <t>VÄSTERÅS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46235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Allmännings- och besparingsskogar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46235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46235</v>
      </c>
      <c r="F242" t="inlineStr">
        <is>
          <t>VÄSTMANLANDS LÄN</t>
        </is>
      </c>
      <c r="G242" t="inlineStr">
        <is>
          <t>VÄSTERÅS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46059</v>
      </c>
      <c r="E243" s="1" t="n">
        <v>46235</v>
      </c>
      <c r="F243" t="inlineStr">
        <is>
          <t>VÄSTMANLANDS LÄN</t>
        </is>
      </c>
      <c r="G243" t="inlineStr">
        <is>
          <t>VÄSTERÅS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7797-2026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46062</v>
      </c>
      <c r="E244" s="1" t="n">
        <v>46235</v>
      </c>
      <c r="F244" t="inlineStr">
        <is>
          <t>VÄSTMANLANDS LÄN</t>
        </is>
      </c>
      <c r="G244" t="inlineStr">
        <is>
          <t>VÄSTERÅS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46235</v>
      </c>
      <c r="F245" t="inlineStr">
        <is>
          <t>VÄSTMANLANDS LÄN</t>
        </is>
      </c>
      <c r="G245" t="inlineStr">
        <is>
          <t>VÄSTERÅS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46235</v>
      </c>
      <c r="F246" t="inlineStr">
        <is>
          <t>VÄSTMANLANDS LÄN</t>
        </is>
      </c>
      <c r="G246" t="inlineStr">
        <is>
          <t>VÄSTERÅS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45125</v>
      </c>
      <c r="E247" s="1" t="n">
        <v>46235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46235</v>
      </c>
      <c r="F248" t="inlineStr">
        <is>
          <t>VÄSTMANLANDS LÄN</t>
        </is>
      </c>
      <c r="G248" t="inlineStr">
        <is>
          <t>VÄSTERÅS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46235</v>
      </c>
      <c r="F249" t="inlineStr">
        <is>
          <t>VÄSTMANLANDS LÄN</t>
        </is>
      </c>
      <c r="G249" t="inlineStr">
        <is>
          <t>VÄSTERÅS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45370</v>
      </c>
      <c r="E250" s="1" t="n">
        <v>46235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46188</v>
      </c>
      <c r="E251" s="1" t="n">
        <v>46235</v>
      </c>
      <c r="F251" t="inlineStr">
        <is>
          <t>VÄSTMANLANDS LÄN</t>
        </is>
      </c>
      <c r="G251" t="inlineStr">
        <is>
          <t>VÄSTERÅS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46235</v>
      </c>
      <c r="F252" t="inlineStr">
        <is>
          <t>VÄSTMANLANDS LÄN</t>
        </is>
      </c>
      <c r="G252" t="inlineStr">
        <is>
          <t>VÄSTERÅS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18465-2023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45042</v>
      </c>
      <c r="E253" s="1" t="n">
        <v>46235</v>
      </c>
      <c r="F253" t="inlineStr">
        <is>
          <t>VÄSTMANLANDS LÄN</t>
        </is>
      </c>
      <c r="G253" t="inlineStr">
        <is>
          <t>VÄSTERÅS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46235</v>
      </c>
      <c r="F254" t="inlineStr">
        <is>
          <t>VÄSTMANLANDS LÄN</t>
        </is>
      </c>
      <c r="G254" t="inlineStr">
        <is>
          <t>VÄSTERÅS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73994-2021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44556</v>
      </c>
      <c r="E255" s="1" t="n">
        <v>46235</v>
      </c>
      <c r="F255" t="inlineStr">
        <is>
          <t>VÄSTMANLANDS LÄN</t>
        </is>
      </c>
      <c r="G255" t="inlineStr">
        <is>
          <t>VÄSTERÅS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46235</v>
      </c>
      <c r="F256" t="inlineStr">
        <is>
          <t>VÄSTMANLANDS LÄN</t>
        </is>
      </c>
      <c r="G256" t="inlineStr">
        <is>
          <t>VÄSTERÅS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73597-2021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44552</v>
      </c>
      <c r="E257" s="1" t="n">
        <v>46235</v>
      </c>
      <c r="F257" t="inlineStr">
        <is>
          <t>VÄSTMANLANDS LÄN</t>
        </is>
      </c>
      <c r="G257" t="inlineStr">
        <is>
          <t>VÄSTERÅS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13376-2022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44645</v>
      </c>
      <c r="E258" s="1" t="n">
        <v>46235</v>
      </c>
      <c r="F258" t="inlineStr">
        <is>
          <t>VÄSTMANLANDS LÄN</t>
        </is>
      </c>
      <c r="G258" t="inlineStr">
        <is>
          <t>VÄSTERÅS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45506</v>
      </c>
      <c r="E259" s="1" t="n">
        <v>46235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Kommuner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46235</v>
      </c>
      <c r="F260" t="inlineStr">
        <is>
          <t>VÄSTMANLANDS LÄN</t>
        </is>
      </c>
      <c r="G260" t="inlineStr">
        <is>
          <t>VÄSTERÅS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67350-2021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44523</v>
      </c>
      <c r="E261" s="1" t="n">
        <v>46235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46235</v>
      </c>
      <c r="F262" t="inlineStr">
        <is>
          <t>VÄSTMANLANDS LÄN</t>
        </is>
      </c>
      <c r="G262" t="inlineStr">
        <is>
          <t>VÄSTERÅS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45952</v>
      </c>
      <c r="E263" s="1" t="n">
        <v>46235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statliga verk och myndigheter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12131-2022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46235</v>
      </c>
      <c r="F264" t="inlineStr">
        <is>
          <t>VÄSTMANLANDS LÄN</t>
        </is>
      </c>
      <c r="G264" t="inlineStr">
        <is>
          <t>VÄSTERÅS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46235</v>
      </c>
      <c r="F265" t="inlineStr">
        <is>
          <t>VÄSTMANLANDS LÄN</t>
        </is>
      </c>
      <c r="G265" t="inlineStr">
        <is>
          <t>VÄSTERÅS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46235</v>
      </c>
      <c r="F266" t="inlineStr">
        <is>
          <t>VÄSTMANLANDS LÄN</t>
        </is>
      </c>
      <c r="G266" t="inlineStr">
        <is>
          <t>VÄSTERÅS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46078</v>
      </c>
      <c r="E267" s="1" t="n">
        <v>46235</v>
      </c>
      <c r="F267" t="inlineStr">
        <is>
          <t>VÄSTMANLANDS LÄN</t>
        </is>
      </c>
      <c r="G267" t="inlineStr">
        <is>
          <t>VÄSTERÅS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46235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46235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44594</v>
      </c>
      <c r="E270" s="1" t="n">
        <v>46235</v>
      </c>
      <c r="F270" t="inlineStr">
        <is>
          <t>VÄSTMANLANDS LÄN</t>
        </is>
      </c>
      <c r="G270" t="inlineStr">
        <is>
          <t>VÄSTERÅS</t>
        </is>
      </c>
      <c r="I270" t="n">
        <v>20.3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46235</v>
      </c>
      <c r="F271" t="inlineStr">
        <is>
          <t>VÄSTMANLANDS LÄN</t>
        </is>
      </c>
      <c r="G271" t="inlineStr">
        <is>
          <t>VÄSTERÅS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44623</v>
      </c>
      <c r="E272" s="1" t="n">
        <v>46235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45019</v>
      </c>
      <c r="E273" s="1" t="n">
        <v>46235</v>
      </c>
      <c r="F273" t="inlineStr">
        <is>
          <t>VÄSTMANLANDS LÄN</t>
        </is>
      </c>
      <c r="G273" t="inlineStr">
        <is>
          <t>VÄSTERÅS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15201-2022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44658</v>
      </c>
      <c r="E274" s="1" t="n">
        <v>46235</v>
      </c>
      <c r="F274" t="inlineStr">
        <is>
          <t>VÄSTMANLANDS LÄN</t>
        </is>
      </c>
      <c r="G274" t="inlineStr">
        <is>
          <t>VÄSTERÅS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44635</v>
      </c>
      <c r="E275" s="1" t="n">
        <v>46235</v>
      </c>
      <c r="F275" t="inlineStr">
        <is>
          <t>VÄSTMANLANDS LÄN</t>
        </is>
      </c>
      <c r="G275" t="inlineStr">
        <is>
          <t>VÄSTERÅS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44635</v>
      </c>
      <c r="E276" s="1" t="n">
        <v>46235</v>
      </c>
      <c r="F276" t="inlineStr">
        <is>
          <t>VÄSTMANLANDS LÄN</t>
        </is>
      </c>
      <c r="G276" t="inlineStr">
        <is>
          <t>VÄSTERÅS</t>
        </is>
      </c>
      <c r="I276" t="n">
        <v>12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8357-2022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44610</v>
      </c>
      <c r="E277" s="1" t="n">
        <v>46235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11950-2022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44635</v>
      </c>
      <c r="E278" s="1" t="n">
        <v>46235</v>
      </c>
      <c r="F278" t="inlineStr">
        <is>
          <t>VÄSTMANLANDS LÄN</t>
        </is>
      </c>
      <c r="G278" t="inlineStr">
        <is>
          <t>VÄSTERÅS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46235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46235</v>
      </c>
      <c r="F280" t="inlineStr">
        <is>
          <t>VÄSTMANLANDS LÄN</t>
        </is>
      </c>
      <c r="G280" t="inlineStr">
        <is>
          <t>VÄSTERÅS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21761-2022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44708</v>
      </c>
      <c r="E281" s="1" t="n">
        <v>46235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45705</v>
      </c>
      <c r="E282" s="1" t="n">
        <v>46235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46235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46235</v>
      </c>
      <c r="F284" t="inlineStr">
        <is>
          <t>VÄSTMANLANDS LÄN</t>
        </is>
      </c>
      <c r="G284" t="inlineStr">
        <is>
          <t>VÄSTERÅS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46235</v>
      </c>
      <c r="F285" t="inlineStr">
        <is>
          <t>VÄSTMANLANDS LÄN</t>
        </is>
      </c>
      <c r="G285" t="inlineStr">
        <is>
          <t>VÄSTERÅS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42257-2023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46235</v>
      </c>
      <c r="F286" t="inlineStr">
        <is>
          <t>VÄSTMANLANDS LÄN</t>
        </is>
      </c>
      <c r="G286" t="inlineStr">
        <is>
          <t>VÄSTERÅS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17725-2022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44680</v>
      </c>
      <c r="E287" s="1" t="n">
        <v>46235</v>
      </c>
      <c r="F287" t="inlineStr">
        <is>
          <t>VÄSTMANLANDS LÄN</t>
        </is>
      </c>
      <c r="G287" t="inlineStr">
        <is>
          <t>VÄSTERÅS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46235</v>
      </c>
      <c r="F288" t="inlineStr">
        <is>
          <t>VÄSTMANLANDS LÄN</t>
        </is>
      </c>
      <c r="G288" t="inlineStr">
        <is>
          <t>VÄSTERÅS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46235</v>
      </c>
      <c r="F289" t="inlineStr">
        <is>
          <t>VÄSTMANLANDS LÄN</t>
        </is>
      </c>
      <c r="G289" t="inlineStr">
        <is>
          <t>VÄSTERÅS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46235</v>
      </c>
      <c r="F290" t="inlineStr">
        <is>
          <t>VÄSTMANLANDS LÄN</t>
        </is>
      </c>
      <c r="G290" t="inlineStr">
        <is>
          <t>VÄSTERÅS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44743</v>
      </c>
      <c r="E291" s="1" t="n">
        <v>46235</v>
      </c>
      <c r="F291" t="inlineStr">
        <is>
          <t>VÄSTMANLANDS LÄN</t>
        </is>
      </c>
      <c r="G291" t="inlineStr">
        <is>
          <t>VÄSTERÅS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45153</v>
      </c>
      <c r="E292" s="1" t="n">
        <v>46235</v>
      </c>
      <c r="F292" t="inlineStr">
        <is>
          <t>VÄSTMANLANDS LÄN</t>
        </is>
      </c>
      <c r="G292" t="inlineStr">
        <is>
          <t>VÄSTERÅS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46235</v>
      </c>
      <c r="F293" t="inlineStr">
        <is>
          <t>VÄSTMANLANDS LÄN</t>
        </is>
      </c>
      <c r="G293" t="inlineStr">
        <is>
          <t>VÄSTERÅS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46235</v>
      </c>
      <c r="F294" t="inlineStr">
        <is>
          <t>VÄSTMANLANDS LÄN</t>
        </is>
      </c>
      <c r="G294" t="inlineStr">
        <is>
          <t>VÄSTERÅS</t>
        </is>
      </c>
      <c r="I294" t="n">
        <v>15.4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46235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44664</v>
      </c>
      <c r="E296" s="1" t="n">
        <v>46235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46235</v>
      </c>
      <c r="F297" t="inlineStr">
        <is>
          <t>VÄSTMANLANDS LÄN</t>
        </is>
      </c>
      <c r="G297" t="inlineStr">
        <is>
          <t>VÄSTERÅS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46235</v>
      </c>
      <c r="F298" t="inlineStr">
        <is>
          <t>VÄSTMANLANDS LÄN</t>
        </is>
      </c>
      <c r="G298" t="inlineStr">
        <is>
          <t>VÄSTERÅS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46235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46235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46235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Kommuner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46235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Allmännings- och besparingsskogar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46235</v>
      </c>
      <c r="F303" t="inlineStr">
        <is>
          <t>VÄSTMANLANDS LÄN</t>
        </is>
      </c>
      <c r="G303" t="inlineStr">
        <is>
          <t>VÄSTERÅS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23765-2022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46235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46235</v>
      </c>
      <c r="F305" t="inlineStr">
        <is>
          <t>VÄSTMANLANDS LÄN</t>
        </is>
      </c>
      <c r="G305" t="inlineStr">
        <is>
          <t>VÄSTERÅS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46235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46235</v>
      </c>
      <c r="F307" t="inlineStr">
        <is>
          <t>VÄSTMANLANDS LÄN</t>
        </is>
      </c>
      <c r="G307" t="inlineStr">
        <is>
          <t>VÄSTERÅS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46235</v>
      </c>
      <c r="F308" t="inlineStr">
        <is>
          <t>VÄSTMANLANDS LÄN</t>
        </is>
      </c>
      <c r="G308" t="inlineStr">
        <is>
          <t>VÄSTERÅS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13614-2022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46235</v>
      </c>
      <c r="F309" t="inlineStr">
        <is>
          <t>VÄSTMANLANDS LÄN</t>
        </is>
      </c>
      <c r="G309" t="inlineStr">
        <is>
          <t>VÄSTERÅS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46235</v>
      </c>
      <c r="F310" t="inlineStr">
        <is>
          <t>VÄSTMANLANDS LÄN</t>
        </is>
      </c>
      <c r="G310" t="inlineStr">
        <is>
          <t>VÄSTERÅS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44847</v>
      </c>
      <c r="E311" s="1" t="n">
        <v>46235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46235</v>
      </c>
      <c r="F312" t="inlineStr">
        <is>
          <t>VÄSTMANLANDS LÄN</t>
        </is>
      </c>
      <c r="G312" t="inlineStr">
        <is>
          <t>VÄSTERÅS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46235</v>
      </c>
      <c r="F313" t="inlineStr">
        <is>
          <t>VÄSTMANLANDS LÄN</t>
        </is>
      </c>
      <c r="G313" t="inlineStr">
        <is>
          <t>VÄSTERÅS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44961</v>
      </c>
      <c r="E314" s="1" t="n">
        <v>46235</v>
      </c>
      <c r="F314" t="inlineStr">
        <is>
          <t>VÄSTMANLANDS LÄN</t>
        </is>
      </c>
      <c r="G314" t="inlineStr">
        <is>
          <t>VÄSTERÅS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67352-2021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44523</v>
      </c>
      <c r="E315" s="1" t="n">
        <v>46235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Övriga Aktiebolag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44671</v>
      </c>
      <c r="E316" s="1" t="n">
        <v>46235</v>
      </c>
      <c r="F316" t="inlineStr">
        <is>
          <t>VÄSTMANLANDS LÄN</t>
        </is>
      </c>
      <c r="G316" t="inlineStr">
        <is>
          <t>VÄSTERÅS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46235</v>
      </c>
      <c r="F317" t="inlineStr">
        <is>
          <t>VÄSTMANLANDS LÄN</t>
        </is>
      </c>
      <c r="G317" t="inlineStr">
        <is>
          <t>VÄSTERÅS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46235</v>
      </c>
      <c r="F318" t="inlineStr">
        <is>
          <t>VÄSTMANLANDS LÄN</t>
        </is>
      </c>
      <c r="G318" t="inlineStr">
        <is>
          <t>VÄSTERÅS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45506</v>
      </c>
      <c r="E319" s="1" t="n">
        <v>46235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Kommuner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46235</v>
      </c>
      <c r="F320" t="inlineStr">
        <is>
          <t>VÄSTMANLANDS LÄN</t>
        </is>
      </c>
      <c r="G320" t="inlineStr">
        <is>
          <t>VÄSTERÅS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56076-2023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45235</v>
      </c>
      <c r="E321" s="1" t="n">
        <v>46235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Övriga Aktiebolag</t>
        </is>
      </c>
      <c r="I321" t="n">
        <v>37.8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46235</v>
      </c>
      <c r="F322" t="inlineStr">
        <is>
          <t>VÄSTMANLANDS LÄN</t>
        </is>
      </c>
      <c r="G322" t="inlineStr">
        <is>
          <t>VÄSTERÅS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46235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46235</v>
      </c>
      <c r="F324" t="inlineStr">
        <is>
          <t>VÄSTMANLANDS LÄN</t>
        </is>
      </c>
      <c r="G324" t="inlineStr">
        <is>
          <t>VÄSTERÅS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46235</v>
      </c>
      <c r="F325" t="inlineStr">
        <is>
          <t>VÄSTMANLANDS LÄN</t>
        </is>
      </c>
      <c r="G325" t="inlineStr">
        <is>
          <t>VÄSTERÅS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46235</v>
      </c>
      <c r="F326" t="inlineStr">
        <is>
          <t>VÄSTMANLANDS LÄN</t>
        </is>
      </c>
      <c r="G326" t="inlineStr">
        <is>
          <t>VÄSTERÅS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46235</v>
      </c>
      <c r="F327" t="inlineStr">
        <is>
          <t>VÄSTMANLANDS LÄN</t>
        </is>
      </c>
      <c r="G327" t="inlineStr">
        <is>
          <t>VÄSTERÅS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46235</v>
      </c>
      <c r="F328" t="inlineStr">
        <is>
          <t>VÄSTMANLANDS LÄN</t>
        </is>
      </c>
      <c r="G328" t="inlineStr">
        <is>
          <t>VÄSTERÅS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46235</v>
      </c>
      <c r="F329" t="inlineStr">
        <is>
          <t>VÄSTMANLANDS LÄN</t>
        </is>
      </c>
      <c r="G329" t="inlineStr">
        <is>
          <t>VÄSTERÅS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46235</v>
      </c>
      <c r="F330" t="inlineStr">
        <is>
          <t>VÄSTMANLANDS LÄN</t>
        </is>
      </c>
      <c r="G330" t="inlineStr">
        <is>
          <t>VÄSTERÅS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951-2020</t>
        </is>
      </c>
      <c r="B331" t="inlineStr">
        <is>
          <t>samrådsanmälan</t>
        </is>
      </c>
      <c r="C331" t="inlineStr">
        <is>
          <t>Åtgärd i nyckelbiotop</t>
        </is>
      </c>
      <c r="D331" s="1" t="n">
        <v>43948</v>
      </c>
      <c r="E331" s="1" t="n">
        <v>46235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3639-2022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44740</v>
      </c>
      <c r="E332" s="1" t="n">
        <v>46235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1415-2022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44634</v>
      </c>
      <c r="E333" s="1" t="n">
        <v>46235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Kyrkan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953-2023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45005</v>
      </c>
      <c r="E334" s="1" t="n">
        <v>46235</v>
      </c>
      <c r="F334" t="inlineStr">
        <is>
          <t>VÄSTMANLANDS LÄN</t>
        </is>
      </c>
      <c r="G334" t="inlineStr">
        <is>
          <t>VÄSTERÅS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696-2026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46091</v>
      </c>
      <c r="E335" s="1" t="n">
        <v>46235</v>
      </c>
      <c r="F335" t="inlineStr">
        <is>
          <t>VÄSTMANLANDS LÄN</t>
        </is>
      </c>
      <c r="G335" t="inlineStr">
        <is>
          <t>VÄSTERÅS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949-2026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46113</v>
      </c>
      <c r="E336" s="1" t="n">
        <v>46235</v>
      </c>
      <c r="F336" t="inlineStr">
        <is>
          <t>VÄSTMANLANDS LÄN</t>
        </is>
      </c>
      <c r="G336" t="inlineStr">
        <is>
          <t>VÄSTERÅS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1468-2026</t>
        </is>
      </c>
      <c r="B337" t="inlineStr">
        <is>
          <t>samrådsanmälan</t>
        </is>
      </c>
      <c r="C337" t="inlineStr">
        <is>
          <t>Dikesrensning</t>
        </is>
      </c>
      <c r="D337" s="1" t="n">
        <v>46134</v>
      </c>
      <c r="E337" s="1" t="n">
        <v>46235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Sveaskog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2026-08-01T01:49:21Z</dcterms:created>
  <dcterms:modified xmlns:dcterms="http://purl.org/dc/terms/" xmlns:xsi="http://www.w3.org/2001/XMLSchema-instance" xsi:type="dcterms:W3CDTF">2026-08-01T01:49:22Z</dcterms:modified>
</cp:coreProperties>
</file>