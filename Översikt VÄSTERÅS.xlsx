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46298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46298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46298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46298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46298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46298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16686-2026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46298</v>
      </c>
      <c r="F17" t="inlineStr">
        <is>
          <t>VÄSTMANLANDS LÄN</t>
        </is>
      </c>
      <c r="G17" t="inlineStr">
        <is>
          <t>VÄSTERÅS</t>
        </is>
      </c>
      <c r="I17" t="n">
        <v>2.1</v>
      </c>
      <c r="J17" t="n">
        <v>1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11</v>
      </c>
      <c r="U17" t="n">
        <v>0</v>
      </c>
      <c r="V17" s="2" t="inlineStr">
        <is>
          <t>Knärot
Motaggsvamp
Blomkålssvamp
Grönpyrola</t>
        </is>
      </c>
      <c r="W17">
        <f>HYPERLINK("https://klasma.github.io/Logging_1980/artfynd/A 16686-2026 artfynd.xlsx", "A 16686-2026")</f>
        <v/>
      </c>
      <c r="X17">
        <f>HYPERLINK("https://klasma.github.io/Logging_1980/kartor/A 16686-2026 karta.png", "A 16686-2026")</f>
        <v/>
      </c>
      <c r="Y17">
        <f>HYPERLINK("https://klasma.github.io/Logging_1980/kartor_geotiff/A 16686-2026 georefererad karta.tif", "A 16686-2026")</f>
        <v/>
      </c>
      <c r="Z17">
        <f>HYPERLINK("https://klasma.github.io/Logging_1980/knärot/A 16686-2026 karta knärot.png", "A 16686-2026")</f>
        <v/>
      </c>
      <c r="AA17">
        <f>HYPERLINK("https://klasma.github.io/Logging_1980/klagomål/A 16686-2026 FSC-klagomål.docx", "A 16686-2026")</f>
        <v/>
      </c>
      <c r="AB17">
        <f>HYPERLINK("https://klasma.github.io/Logging_1980/klagomålsmail/A 16686-2026 FSC-klagomål mail.docx", "A 16686-2026")</f>
        <v/>
      </c>
      <c r="AC17">
        <f>HYPERLINK("https://klasma.github.io/Logging_1980/tillsyn/A 16686-2026 tillsynsbegäran.docx", "A 16686-2026")</f>
        <v/>
      </c>
      <c r="AD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46298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22449-2026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46298</v>
      </c>
      <c r="F19" t="inlineStr">
        <is>
          <t>VÄSTMANLANDS LÄN</t>
        </is>
      </c>
      <c r="G19" t="inlineStr">
        <is>
          <t>VÄSTERÅS</t>
        </is>
      </c>
      <c r="I19" t="n">
        <v>1.5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Nordfladdermus
Gråskimlig fladdermus
Större brunfladdermus
Vattenfladdermus</t>
        </is>
      </c>
      <c r="W19">
        <f>HYPERLINK("https://klasma.github.io/Logging_1980/artfynd/A 22449-2026 artfynd.xlsx", "A 22449-2026")</f>
        <v/>
      </c>
      <c r="X19">
        <f>HYPERLINK("https://klasma.github.io/Logging_1980/kartor/A 22449-2026 karta.png", "A 22449-2026")</f>
        <v/>
      </c>
      <c r="Y19">
        <f>HYPERLINK("https://klasma.github.io/Logging_1980/kartor_geotiff/A 22449-2026 georefererad karta.tif", "A 22449-2026")</f>
        <v/>
      </c>
      <c r="AA19">
        <f>HYPERLINK("https://klasma.github.io/Logging_1980/klagomål/A 22449-2026 FSC-klagomål.docx", "A 22449-2026")</f>
        <v/>
      </c>
      <c r="AB19">
        <f>HYPERLINK("https://klasma.github.io/Logging_1980/klagomålsmail/A 22449-2026 FSC-klagomål mail.docx", "A 22449-2026")</f>
        <v/>
      </c>
      <c r="AC19">
        <f>HYPERLINK("https://klasma.github.io/Logging_1980/tillsyn/A 22449-2026 tillsynsbegäran.docx", "A 22449-2026")</f>
        <v/>
      </c>
      <c r="AD19">
        <f>HYPERLINK("https://klasma.github.io/Logging_1980/tillsynsmail/A 22449-2026 tillsynsbegäran mail.docx", "A 22449-2026")</f>
        <v/>
      </c>
    </row>
    <row r="20" ht="15" customHeight="1">
      <c r="A20" t="inlineStr">
        <is>
          <t>A 41262-2023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45174</v>
      </c>
      <c r="E20" s="1" t="n">
        <v>46298</v>
      </c>
      <c r="F20" t="inlineStr">
        <is>
          <t>VÄSTMANLANDS LÄN</t>
        </is>
      </c>
      <c r="G20" t="inlineStr">
        <is>
          <t>VÄSTERÅS</t>
        </is>
      </c>
      <c r="H20" t="inlineStr">
        <is>
          <t>Kommuner</t>
        </is>
      </c>
      <c r="I20" t="n">
        <v>11.4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2</v>
      </c>
      <c r="V20" s="2" t="inlineStr">
        <is>
          <t>Grönsångare
Gulsparv
Kungsfågel
Vanlig groda</t>
        </is>
      </c>
      <c r="W20">
        <f>HYPERLINK("https://klasma.github.io/Logging_1980/artfynd/A 41262-2023 artfynd.xlsx", "A 41262-2023")</f>
        <v/>
      </c>
      <c r="X20">
        <f>HYPERLINK("https://klasma.github.io/Logging_1980/kartor/A 41262-2023 karta.png", "A 41262-2023")</f>
        <v/>
      </c>
      <c r="Y20">
        <f>HYPERLINK("https://klasma.github.io/Logging_1980/kartor_geotiff/A 41262-2023 georefererad karta.tif", "A 41262-2023")</f>
        <v/>
      </c>
      <c r="AA20">
        <f>HYPERLINK("https://klasma.github.io/Logging_1980/klagomål/A 41262-2023 FSC-klagomål.docx", "A 41262-2023")</f>
        <v/>
      </c>
      <c r="AB20">
        <f>HYPERLINK("https://klasma.github.io/Logging_1980/klagomålsmail/A 41262-2023 FSC-klagomål mail.docx", "A 41262-2023")</f>
        <v/>
      </c>
      <c r="AC20">
        <f>HYPERLINK("https://klasma.github.io/Logging_1980/tillsyn/A 41262-2023 tillsynsbegäran.docx", "A 41262-2023")</f>
        <v/>
      </c>
      <c r="AD20">
        <f>HYPERLINK("https://klasma.github.io/Logging_1980/tillsynsmail/A 41262-2023 tillsynsbegäran mail.docx", "A 41262-2023")</f>
        <v/>
      </c>
      <c r="AE20">
        <f>HYPERLINK("https://klasma.github.io/Logging_1980/fåglar/A 41262-2023 prioriterade fågelarter.docx", "A 41262-2023")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46298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46298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Gullklöver
Svinrot
Hasselticka
Kopparödla</t>
        </is>
      </c>
      <c r="W22">
        <f>HYPERLINK("https://klasma.github.io/Logging_1980/artfynd/A 47695-2023 artfynd.xlsx", "A 47695-2023")</f>
        <v/>
      </c>
      <c r="X22">
        <f>HYPERLINK("https://klasma.github.io/Logging_1980/kartor/A 47695-2023 karta.png", "A 47695-2023")</f>
        <v/>
      </c>
      <c r="Y22">
        <f>HYPERLINK("https://klasma.github.io/Logging_1980/kartor_geotiff/A 47695-2023 georefererad karta.tif", "A 47695-2023")</f>
        <v/>
      </c>
      <c r="AA22">
        <f>HYPERLINK("https://klasma.github.io/Logging_1980/klagomål/A 47695-2023 FSC-klagomål.docx", "A 47695-2023")</f>
        <v/>
      </c>
      <c r="AB22">
        <f>HYPERLINK("https://klasma.github.io/Logging_1980/klagomålsmail/A 47695-2023 FSC-klagomål mail.docx", "A 47695-2023")</f>
        <v/>
      </c>
      <c r="AC22">
        <f>HYPERLINK("https://klasma.github.io/Logging_1980/tillsyn/A 47695-2023 tillsynsbegäran.docx", "A 47695-2023")</f>
        <v/>
      </c>
      <c r="AD22">
        <f>HYPERLINK("https://klasma.github.io/Logging_1980/tillsynsmail/A 47695-2023 tillsynsbegäran mail.docx", "A 47695-2023")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46298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46298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46298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46298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59143-2025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46298</v>
      </c>
      <c r="F27" t="inlineStr">
        <is>
          <t>VÄSTMANLANDS LÄN</t>
        </is>
      </c>
      <c r="G27" t="inlineStr">
        <is>
          <t>VÄSTERÅS</t>
        </is>
      </c>
      <c r="H27" t="inlineStr">
        <is>
          <t>Sveaskog</t>
        </is>
      </c>
      <c r="I27" t="n">
        <v>12.4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1</v>
      </c>
      <c r="V27" s="2" t="inlineStr">
        <is>
          <t>Grönpyrola
Järpe
Fiskgjuse</t>
        </is>
      </c>
      <c r="W27">
        <f>HYPERLINK("https://klasma.github.io/Logging_1980/artfynd/A 59143-2025 artfynd.xlsx", "A 59143-2025")</f>
        <v/>
      </c>
      <c r="X27">
        <f>HYPERLINK("https://klasma.github.io/Logging_1980/kartor/A 59143-2025 karta.png", "A 59143-2025")</f>
        <v/>
      </c>
      <c r="Y27">
        <f>HYPERLINK("https://klasma.github.io/Logging_1980/kartor_geotiff/A 59143-2025 georefererad karta.tif", "A 59143-2025")</f>
        <v/>
      </c>
      <c r="AA27">
        <f>HYPERLINK("https://klasma.github.io/Logging_1980/klagomål/A 59143-2025 FSC-klagomål.docx", "A 59143-2025")</f>
        <v/>
      </c>
      <c r="AB27">
        <f>HYPERLINK("https://klasma.github.io/Logging_1980/klagomålsmail/A 59143-2025 FSC-klagomål mail.docx", "A 59143-2025")</f>
        <v/>
      </c>
      <c r="AC27">
        <f>HYPERLINK("https://klasma.github.io/Logging_1980/tillsyn/A 59143-2025 tillsynsbegäran.docx", "A 59143-2025")</f>
        <v/>
      </c>
      <c r="AD27">
        <f>HYPERLINK("https://klasma.github.io/Logging_1980/tillsynsmail/A 59143-2025 tillsynsbegäran mail.docx", "A 59143-2025")</f>
        <v/>
      </c>
      <c r="AE27">
        <f>HYPERLINK("https://klasma.github.io/Logging_1980/fåglar/A 59143-2025 prioriterade fågelarter.docx", "A 59143-2025")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46298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46298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14265-2025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45740</v>
      </c>
      <c r="E30" s="1" t="n">
        <v>46298</v>
      </c>
      <c r="F30" t="inlineStr">
        <is>
          <t>VÄSTMANLANDS LÄN</t>
        </is>
      </c>
      <c r="G30" t="inlineStr">
        <is>
          <t>VÄSTERÅS</t>
        </is>
      </c>
      <c r="I30" t="n">
        <v>2.1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9</v>
      </c>
      <c r="U30" t="n">
        <v>0</v>
      </c>
      <c r="V30" s="2" t="inlineStr">
        <is>
          <t>Knärot
Tallticka
Blåsippa</t>
        </is>
      </c>
      <c r="W30">
        <f>HYPERLINK("https://klasma.github.io/Logging_1980/artfynd/A 14265-2025 artfynd.xlsx", "A 14265-2025")</f>
        <v/>
      </c>
      <c r="X30">
        <f>HYPERLINK("https://klasma.github.io/Logging_1980/kartor/A 14265-2025 karta.png", "A 14265-2025")</f>
        <v/>
      </c>
      <c r="Y30">
        <f>HYPERLINK("https://klasma.github.io/Logging_1980/kartor_geotiff/A 14265-2025 georefererad karta.tif", "A 14265-2025")</f>
        <v/>
      </c>
      <c r="Z30">
        <f>HYPERLINK("https://klasma.github.io/Logging_1980/knärot/A 14265-2025 karta knärot.png", "A 14265-2025")</f>
        <v/>
      </c>
      <c r="AA30">
        <f>HYPERLINK("https://klasma.github.io/Logging_1980/klagomål/A 14265-2025 FSC-klagomål.docx", "A 14265-2025")</f>
        <v/>
      </c>
      <c r="AB30">
        <f>HYPERLINK("https://klasma.github.io/Logging_1980/klagomålsmail/A 14265-2025 FSC-klagomål mail.docx", "A 14265-2025")</f>
        <v/>
      </c>
      <c r="AC30">
        <f>HYPERLINK("https://klasma.github.io/Logging_1980/tillsyn/A 14265-2025 tillsynsbegäran.docx", "A 14265-2025")</f>
        <v/>
      </c>
      <c r="AD30">
        <f>HYPERLINK("https://klasma.github.io/Logging_1980/tillsynsmail/A 14265-2025 tillsynsbegäran mail.docx", "A 14265-2025")</f>
        <v/>
      </c>
    </row>
    <row r="31" ht="15" customHeight="1">
      <c r="A31" t="inlineStr">
        <is>
          <t>A 11804-2022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44634</v>
      </c>
      <c r="E31" s="1" t="n">
        <v>46298</v>
      </c>
      <c r="F31" t="inlineStr">
        <is>
          <t>VÄSTMANLANDS LÄN</t>
        </is>
      </c>
      <c r="G31" t="inlineStr">
        <is>
          <t>VÄSTERÅS</t>
        </is>
      </c>
      <c r="I31" t="n">
        <v>10.6</v>
      </c>
      <c r="J31" t="n">
        <v>1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Ask
Svart trolldruva
Nattviol</t>
        </is>
      </c>
      <c r="W31">
        <f>HYPERLINK("https://klasma.github.io/Logging_1980/artfynd/A 11804-2022 artfynd.xlsx", "A 11804-2022")</f>
        <v/>
      </c>
      <c r="X31">
        <f>HYPERLINK("https://klasma.github.io/Logging_1980/kartor/A 11804-2022 karta.png", "A 11804-2022")</f>
        <v/>
      </c>
      <c r="Y31">
        <f>HYPERLINK("https://klasma.github.io/Logging_1980/kartor_geotiff/A 11804-2022 georefererad karta.tif", "A 11804-2022")</f>
        <v/>
      </c>
      <c r="AA31">
        <f>HYPERLINK("https://klasma.github.io/Logging_1980/klagomål/A 11804-2022 FSC-klagomål.docx", "A 11804-2022")</f>
        <v/>
      </c>
      <c r="AB31">
        <f>HYPERLINK("https://klasma.github.io/Logging_1980/klagomålsmail/A 11804-2022 FSC-klagomål mail.docx", "A 11804-2022")</f>
        <v/>
      </c>
      <c r="AC31">
        <f>HYPERLINK("https://klasma.github.io/Logging_1980/tillsyn/A 11804-2022 tillsynsbegäran.docx", "A 11804-2022")</f>
        <v/>
      </c>
      <c r="AD31">
        <f>HYPERLINK("https://klasma.github.io/Logging_1980/tillsynsmail/A 11804-2022 tillsynsbegäran mail.docx", "A 11804-2022")</f>
        <v/>
      </c>
    </row>
    <row r="32" ht="15" customHeight="1">
      <c r="A32" t="inlineStr">
        <is>
          <t>S 4578-2023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45281</v>
      </c>
      <c r="E32" s="1" t="n">
        <v>46298</v>
      </c>
      <c r="F32" t="inlineStr">
        <is>
          <t>VÄSTMANLANDS LÄN</t>
        </is>
      </c>
      <c r="G32" t="inlineStr">
        <is>
          <t>VÄSTERÅS</t>
        </is>
      </c>
      <c r="H32" t="inlineStr">
        <is>
          <t>Övriga Aktiebolag</t>
        </is>
      </c>
      <c r="I32" t="n">
        <v>4.1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Backsippa
Vårstarr
Gullviva</t>
        </is>
      </c>
      <c r="W32">
        <f>HYPERLINK("https://klasma.github.io/Logging_1980/artfynd/S 4578-2023 artfynd.xlsx", "S 4578-2023")</f>
        <v/>
      </c>
      <c r="X32">
        <f>HYPERLINK("https://klasma.github.io/Logging_1980/kartor/S 4578-2023 karta.png", "S 4578-2023")</f>
        <v/>
      </c>
      <c r="Y32">
        <f>HYPERLINK("https://klasma.github.io/Logging_1980/kartor_geotiff/S 4578-2023 georefererad karta.tif", "S 4578-2023")</f>
        <v/>
      </c>
      <c r="AA32">
        <f>HYPERLINK("https://klasma.github.io/Logging_1980/klagomål/S 4578-2023 FSC-klagomål.docx", "S 4578-2023")</f>
        <v/>
      </c>
      <c r="AB32">
        <f>HYPERLINK("https://klasma.github.io/Logging_1980/klagomålsmail/S 4578-2023 FSC-klagomål mail.docx", "S 4578-2023")</f>
        <v/>
      </c>
      <c r="AC32">
        <f>HYPERLINK("https://klasma.github.io/Logging_1980/tillsyn/S 4578-2023 tillsynsbegäran.docx", "S 4578-2023")</f>
        <v/>
      </c>
      <c r="AD32">
        <f>HYPERLINK("https://klasma.github.io/Logging_1980/tillsynsmail/S 4578-2023 tillsynsbegäran mail.docx", "S 4578-2023")</f>
        <v/>
      </c>
    </row>
    <row r="33" ht="15" customHeight="1">
      <c r="A33" t="inlineStr">
        <is>
          <t>A 17261-2022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44678</v>
      </c>
      <c r="E33" s="1" t="n">
        <v>46298</v>
      </c>
      <c r="F33" t="inlineStr">
        <is>
          <t>VÄSTMANLANDS LÄN</t>
        </is>
      </c>
      <c r="G33" t="inlineStr">
        <is>
          <t>VÄSTERÅS</t>
        </is>
      </c>
      <c r="I33" t="n">
        <v>1.1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Skumticka
Svartöra</t>
        </is>
      </c>
      <c r="W33">
        <f>HYPERLINK("https://klasma.github.io/Logging_1980/artfynd/A 17261-2022 artfynd.xlsx", "A 17261-2022")</f>
        <v/>
      </c>
      <c r="X33">
        <f>HYPERLINK("https://klasma.github.io/Logging_1980/kartor/A 17261-2022 karta.png", "A 17261-2022")</f>
        <v/>
      </c>
      <c r="Y33">
        <f>HYPERLINK("https://klasma.github.io/Logging_1980/kartor_geotiff/A 17261-2022 georefererad karta.tif", "A 17261-2022")</f>
        <v/>
      </c>
      <c r="AA33">
        <f>HYPERLINK("https://klasma.github.io/Logging_1980/klagomål/A 17261-2022 FSC-klagomål.docx", "A 17261-2022")</f>
        <v/>
      </c>
      <c r="AB33">
        <f>HYPERLINK("https://klasma.github.io/Logging_1980/klagomålsmail/A 17261-2022 FSC-klagomål mail.docx", "A 17261-2022")</f>
        <v/>
      </c>
      <c r="AC33">
        <f>HYPERLINK("https://klasma.github.io/Logging_1980/tillsyn/A 17261-2022 tillsynsbegäran.docx", "A 17261-2022")</f>
        <v/>
      </c>
      <c r="AD33">
        <f>HYPERLINK("https://klasma.github.io/Logging_1980/tillsynsmail/A 17261-2022 tillsynsbegäran mail.docx", "A 17261-2022")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46298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59140-2025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46298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3.6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Järpe
Fiskgjuse</t>
        </is>
      </c>
      <c r="W35">
        <f>HYPERLINK("https://klasma.github.io/Logging_1980/artfynd/A 59140-2025 artfynd.xlsx", "A 59140-2025")</f>
        <v/>
      </c>
      <c r="X35">
        <f>HYPERLINK("https://klasma.github.io/Logging_1980/kartor/A 59140-2025 karta.png", "A 59140-2025")</f>
        <v/>
      </c>
      <c r="Y35">
        <f>HYPERLINK("https://klasma.github.io/Logging_1980/kartor_geotiff/A 59140-2025 georefererad karta.tif", "A 59140-2025")</f>
        <v/>
      </c>
      <c r="AA35">
        <f>HYPERLINK("https://klasma.github.io/Logging_1980/klagomål/A 59140-2025 FSC-klagomål.docx", "A 59140-2025")</f>
        <v/>
      </c>
      <c r="AB35">
        <f>HYPERLINK("https://klasma.github.io/Logging_1980/klagomålsmail/A 59140-2025 FSC-klagomål mail.docx", "A 59140-2025")</f>
        <v/>
      </c>
      <c r="AC35">
        <f>HYPERLINK("https://klasma.github.io/Logging_1980/tillsyn/A 59140-2025 tillsynsbegäran.docx", "A 59140-2025")</f>
        <v/>
      </c>
      <c r="AD35">
        <f>HYPERLINK("https://klasma.github.io/Logging_1980/tillsynsmail/A 59140-2025 tillsynsbegäran mail.docx", "A 59140-2025")</f>
        <v/>
      </c>
      <c r="AE35">
        <f>HYPERLINK("https://klasma.github.io/Logging_1980/fåglar/A 59140-2025 prioriterade fågelarter.docx", "A 59140-2025")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46298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46298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46298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46298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46298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46298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46298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46298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46298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55676-2023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45232</v>
      </c>
      <c r="E45" s="1" t="n">
        <v>46298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37.9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Havsörn</t>
        </is>
      </c>
      <c r="W45">
        <f>HYPERLINK("https://klasma.github.io/Logging_1980/artfynd/A 55676-2023 artfynd.xlsx", "A 55676-2023")</f>
        <v/>
      </c>
      <c r="X45">
        <f>HYPERLINK("https://klasma.github.io/Logging_1980/kartor/A 55676-2023 karta.png", "A 55676-2023")</f>
        <v/>
      </c>
      <c r="Y45">
        <f>HYPERLINK("https://klasma.github.io/Logging_1980/kartor_geotiff/A 55676-2023 georefererad karta.tif", "A 55676-2023")</f>
        <v/>
      </c>
      <c r="AA45">
        <f>HYPERLINK("https://klasma.github.io/Logging_1980/klagomål/A 55676-2023 FSC-klagomål.docx", "A 55676-2023")</f>
        <v/>
      </c>
      <c r="AB45">
        <f>HYPERLINK("https://klasma.github.io/Logging_1980/klagomålsmail/A 55676-2023 FSC-klagomål mail.docx", "A 55676-2023")</f>
        <v/>
      </c>
      <c r="AC45">
        <f>HYPERLINK("https://klasma.github.io/Logging_1980/tillsyn/A 55676-2023 tillsynsbegäran.docx", "A 55676-2023")</f>
        <v/>
      </c>
      <c r="AD45">
        <f>HYPERLINK("https://klasma.github.io/Logging_1980/tillsynsmail/A 55676-2023 tillsynsbegäran mail.docx", "A 55676-2023")</f>
        <v/>
      </c>
      <c r="AE45">
        <f>HYPERLINK("https://klasma.github.io/Logging_1980/fåglar/A 55676-2023 prioriterade fågelarter.docx", "A 55676-2023")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46298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26568-2022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46298</v>
      </c>
      <c r="F47" t="inlineStr">
        <is>
          <t>VÄSTMANLANDS LÄN</t>
        </is>
      </c>
      <c r="G47" t="inlineStr">
        <is>
          <t>VÄSTERÅS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Mistel</t>
        </is>
      </c>
      <c r="W47">
        <f>HYPERLINK("https://klasma.github.io/Logging_1980/artfynd/A 26568-2022 artfynd.xlsx", "A 26568-2022")</f>
        <v/>
      </c>
      <c r="X47">
        <f>HYPERLINK("https://klasma.github.io/Logging_1980/kartor/A 26568-2022 karta.png", "A 26568-2022")</f>
        <v/>
      </c>
      <c r="Y47">
        <f>HYPERLINK("https://klasma.github.io/Logging_1980/kartor_geotiff/A 26568-2022 georefererad karta.tif", "A 26568-2022")</f>
        <v/>
      </c>
      <c r="AA47">
        <f>HYPERLINK("https://klasma.github.io/Logging_1980/klagomål/A 26568-2022 FSC-klagomål.docx", "A 26568-2022")</f>
        <v/>
      </c>
      <c r="AB47">
        <f>HYPERLINK("https://klasma.github.io/Logging_1980/klagomålsmail/A 26568-2022 FSC-klagomål mail.docx", "A 26568-2022")</f>
        <v/>
      </c>
      <c r="AC47">
        <f>HYPERLINK("https://klasma.github.io/Logging_1980/tillsyn/A 26568-2022 tillsynsbegäran.docx", "A 26568-2022")</f>
        <v/>
      </c>
      <c r="AD47">
        <f>HYPERLINK("https://klasma.github.io/Logging_1980/tillsynsmail/A 26568-2022 tillsynsbegäran mail.docx", "A 26568-2022")</f>
        <v/>
      </c>
    </row>
    <row r="48" ht="15" customHeight="1">
      <c r="A48" t="inlineStr">
        <is>
          <t>A 12905-2022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44641</v>
      </c>
      <c r="E48" s="1" t="n">
        <v>46298</v>
      </c>
      <c r="F48" t="inlineStr">
        <is>
          <t>VÄSTMANLANDS LÄN</t>
        </is>
      </c>
      <c r="G48" t="inlineStr">
        <is>
          <t>VÄSTERÅS</t>
        </is>
      </c>
      <c r="H48" t="inlineStr">
        <is>
          <t>Övriga Aktiebolag</t>
        </is>
      </c>
      <c r="I48" t="n">
        <v>23.9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HYPERLINK("https://klasma.github.io/Logging_1980/artfynd/A 12905-2022 artfynd.xlsx", "A 12905-2022")</f>
        <v/>
      </c>
      <c r="X48">
        <f>HYPERLINK("https://klasma.github.io/Logging_1980/kartor/A 12905-2022 karta.png", "A 12905-2022")</f>
        <v/>
      </c>
      <c r="Y48">
        <f>HYPERLINK("https://klasma.github.io/Logging_1980/kartor_geotiff/A 12905-2022 georefererad karta.tif", "A 12905-2022")</f>
        <v/>
      </c>
      <c r="AA48">
        <f>HYPERLINK("https://klasma.github.io/Logging_1980/klagomål/A 12905-2022 FSC-klagomål.docx", "A 12905-2022")</f>
        <v/>
      </c>
      <c r="AB48">
        <f>HYPERLINK("https://klasma.github.io/Logging_1980/klagomålsmail/A 12905-2022 FSC-klagomål mail.docx", "A 12905-2022")</f>
        <v/>
      </c>
      <c r="AC48">
        <f>HYPERLINK("https://klasma.github.io/Logging_1980/tillsyn/A 12905-2022 tillsynsbegäran.docx", "A 12905-2022")</f>
        <v/>
      </c>
      <c r="AD48">
        <f>HYPERLINK("https://klasma.github.io/Logging_1980/tillsynsmail/A 12905-2022 tillsynsbegäran mail.docx", "A 12905-2022")</f>
        <v/>
      </c>
    </row>
    <row r="49" ht="15" customHeight="1">
      <c r="A49" t="inlineStr">
        <is>
          <t>A 8362-2022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46298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Köpingfibbla</t>
        </is>
      </c>
      <c r="W49">
        <f>HYPERLINK("https://klasma.github.io/Logging_1980/artfynd/A 8362-2022 artfynd.xlsx", "A 8362-2022")</f>
        <v/>
      </c>
      <c r="X49">
        <f>HYPERLINK("https://klasma.github.io/Logging_1980/kartor/A 8362-2022 karta.png", "A 8362-2022")</f>
        <v/>
      </c>
      <c r="Y49">
        <f>HYPERLINK("https://klasma.github.io/Logging_1980/kartor_geotiff/A 8362-2022 georefererad karta.tif", "A 8362-2022")</f>
        <v/>
      </c>
      <c r="AA49">
        <f>HYPERLINK("https://klasma.github.io/Logging_1980/klagomål/A 8362-2022 FSC-klagomål.docx", "A 8362-2022")</f>
        <v/>
      </c>
      <c r="AB49">
        <f>HYPERLINK("https://klasma.github.io/Logging_1980/klagomålsmail/A 8362-2022 FSC-klagomål mail.docx", "A 8362-2022")</f>
        <v/>
      </c>
      <c r="AC49">
        <f>HYPERLINK("https://klasma.github.io/Logging_1980/tillsyn/A 8362-2022 tillsynsbegäran.docx", "A 8362-2022")</f>
        <v/>
      </c>
      <c r="AD49">
        <f>HYPERLINK("https://klasma.github.io/Logging_1980/tillsynsmail/A 8362-2022 tillsynsbegäran mail.docx", "A 8362-2022")</f>
        <v/>
      </c>
    </row>
    <row r="50" ht="15" customHeight="1">
      <c r="A50" t="inlineStr">
        <is>
          <t>A 40886-2025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46298</v>
      </c>
      <c r="F50" t="inlineStr">
        <is>
          <t>VÄSTMANLANDS LÄN</t>
        </is>
      </c>
      <c r="G50" t="inlineStr">
        <is>
          <t>VÄSTERÅS</t>
        </is>
      </c>
      <c r="I50" t="n">
        <v>1.5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HYPERLINK("https://klasma.github.io/Logging_1980/artfynd/A 40886-2025 artfynd.xlsx", "A 40886-2025")</f>
        <v/>
      </c>
      <c r="X50">
        <f>HYPERLINK("https://klasma.github.io/Logging_1980/kartor/A 40886-2025 karta.png", "A 40886-2025")</f>
        <v/>
      </c>
      <c r="Y50">
        <f>HYPERLINK("https://klasma.github.io/Logging_1980/kartor_geotiff/A 40886-2025 georefererad karta.tif", "A 40886-2025")</f>
        <v/>
      </c>
      <c r="AA50">
        <f>HYPERLINK("https://klasma.github.io/Logging_1980/klagomål/A 40886-2025 FSC-klagomål.docx", "A 40886-2025")</f>
        <v/>
      </c>
      <c r="AB50">
        <f>HYPERLINK("https://klasma.github.io/Logging_1980/klagomålsmail/A 40886-2025 FSC-klagomål mail.docx", "A 40886-2025")</f>
        <v/>
      </c>
      <c r="AC50">
        <f>HYPERLINK("https://klasma.github.io/Logging_1980/tillsyn/A 40886-2025 tillsynsbegäran.docx", "A 40886-2025")</f>
        <v/>
      </c>
      <c r="AD50">
        <f>HYPERLINK("https://klasma.github.io/Logging_1980/tillsynsmail/A 40886-2025 tillsynsbegäran mail.docx", "A 40886-2025")</f>
        <v/>
      </c>
    </row>
    <row r="51" ht="15" customHeight="1">
      <c r="A51" t="inlineStr">
        <is>
          <t>A 51147-2023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46298</v>
      </c>
      <c r="F51" t="inlineStr">
        <is>
          <t>VÄSTMANLANDS LÄN</t>
        </is>
      </c>
      <c r="G51" t="inlineStr">
        <is>
          <t>VÄSTERÅS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Mindre märgborre</t>
        </is>
      </c>
      <c r="W51">
        <f>HYPERLINK("https://klasma.github.io/Logging_1980/artfynd/A 51147-2023 artfynd.xlsx", "A 51147-2023")</f>
        <v/>
      </c>
      <c r="X51">
        <f>HYPERLINK("https://klasma.github.io/Logging_1980/kartor/A 51147-2023 karta.png", "A 51147-2023")</f>
        <v/>
      </c>
      <c r="Y51">
        <f>HYPERLINK("https://klasma.github.io/Logging_1980/kartor_geotiff/A 51147-2023 georefererad karta.tif", "A 51147-2023")</f>
        <v/>
      </c>
      <c r="AA51">
        <f>HYPERLINK("https://klasma.github.io/Logging_1980/klagomål/A 51147-2023 FSC-klagomål.docx", "A 51147-2023")</f>
        <v/>
      </c>
      <c r="AB51">
        <f>HYPERLINK("https://klasma.github.io/Logging_1980/klagomålsmail/A 51147-2023 FSC-klagomål mail.docx", "A 51147-2023")</f>
        <v/>
      </c>
      <c r="AC51">
        <f>HYPERLINK("https://klasma.github.io/Logging_1980/tillsyn/A 51147-2023 tillsynsbegäran.docx", "A 51147-2023")</f>
        <v/>
      </c>
      <c r="AD51">
        <f>HYPERLINK("https://klasma.github.io/Logging_1980/tillsynsmail/A 51147-2023 tillsynsbegäran mail.docx", "A 51147-2023")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46298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46298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46298</v>
      </c>
      <c r="F54" t="inlineStr">
        <is>
          <t>VÄSTMANLANDS LÄN</t>
        </is>
      </c>
      <c r="G54" t="inlineStr">
        <is>
          <t>VÄSTERÅS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5363-2025 artfynd.xlsx", "A 5363-2025")</f>
        <v/>
      </c>
      <c r="X54">
        <f>HYPERLINK("https://klasma.github.io/Logging_1980/kartor/A 5363-2025 karta.png", "A 5363-2025")</f>
        <v/>
      </c>
      <c r="Y54">
        <f>HYPERLINK("https://klasma.github.io/Logging_1980/kartor_geotiff/A 5363-2025 georefererad karta.tif", "A 5363-2025")</f>
        <v/>
      </c>
      <c r="AA54">
        <f>HYPERLINK("https://klasma.github.io/Logging_1980/klagomål/A 5363-2025 FSC-klagomål.docx", "A 5363-2025")</f>
        <v/>
      </c>
      <c r="AB54">
        <f>HYPERLINK("https://klasma.github.io/Logging_1980/klagomålsmail/A 5363-2025 FSC-klagomål mail.docx", "A 5363-2025")</f>
        <v/>
      </c>
      <c r="AC54">
        <f>HYPERLINK("https://klasma.github.io/Logging_1980/tillsyn/A 5363-2025 tillsynsbegäran.docx", "A 5363-2025")</f>
        <v/>
      </c>
      <c r="AD54">
        <f>HYPERLINK("https://klasma.github.io/Logging_1980/tillsynsmail/A 5363-2025 tillsynsbegäran mail.docx", "A 5363-2025")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46298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46298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46298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29787-2023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46298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Kopparödla</t>
        </is>
      </c>
      <c r="W58">
        <f>HYPERLINK("https://klasma.github.io/Logging_1980/artfynd/A 29787-2023 artfynd.xlsx", "A 29787-2023")</f>
        <v/>
      </c>
      <c r="X58">
        <f>HYPERLINK("https://klasma.github.io/Logging_1980/kartor/A 29787-2023 karta.png", "A 29787-2023")</f>
        <v/>
      </c>
      <c r="Y58">
        <f>HYPERLINK("https://klasma.github.io/Logging_1980/kartor_geotiff/A 29787-2023 georefererad karta.tif", "A 29787-2023")</f>
        <v/>
      </c>
      <c r="AA58">
        <f>HYPERLINK("https://klasma.github.io/Logging_1980/klagomål/A 29787-2023 FSC-klagomål.docx", "A 29787-2023")</f>
        <v/>
      </c>
      <c r="AB58">
        <f>HYPERLINK("https://klasma.github.io/Logging_1980/klagomålsmail/A 29787-2023 FSC-klagomål mail.docx", "A 29787-2023")</f>
        <v/>
      </c>
      <c r="AC58">
        <f>HYPERLINK("https://klasma.github.io/Logging_1980/tillsyn/A 29787-2023 tillsynsbegäran.docx", "A 29787-2023")</f>
        <v/>
      </c>
      <c r="AD58">
        <f>HYPERLINK("https://klasma.github.io/Logging_1980/tillsynsmail/A 29787-2023 tillsynsbegäran mail.docx", "A 29787-2023")</f>
        <v/>
      </c>
    </row>
    <row r="59" ht="15" customHeight="1">
      <c r="A59" t="inlineStr">
        <is>
          <t>A 58395-2022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46298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HYPERLINK("https://klasma.github.io/Logging_1980/artfynd/A 58395-2022 artfynd.xlsx", "A 58395-2022")</f>
        <v/>
      </c>
      <c r="X59">
        <f>HYPERLINK("https://klasma.github.io/Logging_1980/kartor/A 58395-2022 karta.png", "A 58395-2022")</f>
        <v/>
      </c>
      <c r="Y59">
        <f>HYPERLINK("https://klasma.github.io/Logging_1980/kartor_geotiff/A 58395-2022 georefererad karta.tif", "A 58395-2022")</f>
        <v/>
      </c>
      <c r="AA59">
        <f>HYPERLINK("https://klasma.github.io/Logging_1980/klagomål/A 58395-2022 FSC-klagomål.docx", "A 58395-2022")</f>
        <v/>
      </c>
      <c r="AB59">
        <f>HYPERLINK("https://klasma.github.io/Logging_1980/klagomålsmail/A 58395-2022 FSC-klagomål mail.docx", "A 58395-2022")</f>
        <v/>
      </c>
      <c r="AC59">
        <f>HYPERLINK("https://klasma.github.io/Logging_1980/tillsyn/A 58395-2022 tillsynsbegäran.docx", "A 58395-2022")</f>
        <v/>
      </c>
      <c r="AD59">
        <f>HYPERLINK("https://klasma.github.io/Logging_1980/tillsynsmail/A 58395-2022 tillsynsbegäran mail.docx", "A 58395-2022")</f>
        <v/>
      </c>
    </row>
    <row r="60" ht="15" customHeight="1">
      <c r="A60" t="inlineStr">
        <is>
          <t>A 22378-2026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46298</v>
      </c>
      <c r="F60" t="inlineStr">
        <is>
          <t>VÄSTMANLANDS LÄN</t>
        </is>
      </c>
      <c r="G60" t="inlineStr">
        <is>
          <t>VÄSTERÅS</t>
        </is>
      </c>
      <c r="I60" t="n">
        <v>5.6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Igelkott</t>
        </is>
      </c>
      <c r="W60">
        <f>HYPERLINK("https://klasma.github.io/Logging_1980/artfynd/A 22378-2026 artfynd.xlsx", "A 22378-2026")</f>
        <v/>
      </c>
      <c r="X60">
        <f>HYPERLINK("https://klasma.github.io/Logging_1980/kartor/A 22378-2026 karta.png", "A 22378-2026")</f>
        <v/>
      </c>
      <c r="Y60">
        <f>HYPERLINK("https://klasma.github.io/Logging_1980/kartor_geotiff/A 22378-2026 georefererad karta.tif", "A 22378-2026")</f>
        <v/>
      </c>
      <c r="AA60">
        <f>HYPERLINK("https://klasma.github.io/Logging_1980/klagomål/A 22378-2026 FSC-klagomål.docx", "A 22378-2026")</f>
        <v/>
      </c>
      <c r="AB60">
        <f>HYPERLINK("https://klasma.github.io/Logging_1980/klagomålsmail/A 22378-2026 FSC-klagomål mail.docx", "A 22378-2026")</f>
        <v/>
      </c>
      <c r="AC60">
        <f>HYPERLINK("https://klasma.github.io/Logging_1980/tillsyn/A 22378-2026 tillsynsbegäran.docx", "A 22378-2026")</f>
        <v/>
      </c>
      <c r="AD60">
        <f>HYPERLINK("https://klasma.github.io/Logging_1980/tillsynsmail/A 22378-2026 tillsynsbegäran mail.docx", "A 22378-2026")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46298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A 39919-2026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46298</v>
      </c>
      <c r="F62" t="inlineStr">
        <is>
          <t>VÄSTMANLANDS LÄN</t>
        </is>
      </c>
      <c r="G62" t="inlineStr">
        <is>
          <t>VÄSTERÅS</t>
        </is>
      </c>
      <c r="H62" t="inlineStr">
        <is>
          <t>Sveaskog</t>
        </is>
      </c>
      <c r="I62" t="n">
        <v>4.2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HYPERLINK("https://klasma.github.io/Logging_1980/artfynd/A 39919-2026 artfynd.xlsx", "A 39919-2026")</f>
        <v/>
      </c>
      <c r="X62">
        <f>HYPERLINK("https://klasma.github.io/Logging_1980/kartor/A 39919-2026 karta.png", "A 39919-2026")</f>
        <v/>
      </c>
      <c r="Y62">
        <f>HYPERLINK("https://klasma.github.io/Logging_1980/kartor_geotiff/A 39919-2026 georefererad karta.tif", "A 39919-2026")</f>
        <v/>
      </c>
      <c r="AA62">
        <f>HYPERLINK("https://klasma.github.io/Logging_1980/klagomål/A 39919-2026 FSC-klagomål.docx", "A 39919-2026")</f>
        <v/>
      </c>
      <c r="AB62">
        <f>HYPERLINK("https://klasma.github.io/Logging_1980/klagomålsmail/A 39919-2026 FSC-klagomål mail.docx", "A 39919-2026")</f>
        <v/>
      </c>
      <c r="AC62">
        <f>HYPERLINK("https://klasma.github.io/Logging_1980/tillsyn/A 39919-2026 tillsynsbegäran.docx", "A 39919-2026")</f>
        <v/>
      </c>
      <c r="AD62">
        <f>HYPERLINK("https://klasma.github.io/Logging_1980/tillsynsmail/A 39919-2026 tillsynsbegäran mail.docx", "A 39919-2026")</f>
        <v/>
      </c>
      <c r="AE62">
        <f>HYPERLINK("https://klasma.github.io/Logging_1980/fåglar/A 39919-2026 prioriterade fågelarter.docx", "A 39919-2026")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46298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46189-2023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45196</v>
      </c>
      <c r="E64" s="1" t="n">
        <v>46298</v>
      </c>
      <c r="F64" t="inlineStr">
        <is>
          <t>VÄSTMANLANDS LÄN</t>
        </is>
      </c>
      <c r="G64" t="inlineStr">
        <is>
          <t>VÄSTERÅS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HYPERLINK("https://klasma.github.io/Logging_1980/artfynd/A 46189-2023 artfynd.xlsx", "A 46189-2023")</f>
        <v/>
      </c>
      <c r="X64">
        <f>HYPERLINK("https://klasma.github.io/Logging_1980/kartor/A 46189-2023 karta.png", "A 46189-2023")</f>
        <v/>
      </c>
      <c r="Y64">
        <f>HYPERLINK("https://klasma.github.io/Logging_1980/kartor_geotiff/A 46189-2023 georefererad karta.tif", "A 46189-2023")</f>
        <v/>
      </c>
      <c r="AA64">
        <f>HYPERLINK("https://klasma.github.io/Logging_1980/klagomål/A 46189-2023 FSC-klagomål.docx", "A 46189-2023")</f>
        <v/>
      </c>
      <c r="AB64">
        <f>HYPERLINK("https://klasma.github.io/Logging_1980/klagomålsmail/A 46189-2023 FSC-klagomål mail.docx", "A 46189-2023")</f>
        <v/>
      </c>
      <c r="AC64">
        <f>HYPERLINK("https://klasma.github.io/Logging_1980/tillsyn/A 46189-2023 tillsynsbegäran.docx", "A 46189-2023")</f>
        <v/>
      </c>
      <c r="AD64">
        <f>HYPERLINK("https://klasma.github.io/Logging_1980/tillsynsmail/A 46189-2023 tillsynsbegäran mail.docx", "A 46189-2023")</f>
        <v/>
      </c>
    </row>
    <row r="65" ht="15" customHeight="1">
      <c r="A65" t="inlineStr">
        <is>
          <t>A 61254-2023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45264</v>
      </c>
      <c r="E65" s="1" t="n">
        <v>46298</v>
      </c>
      <c r="F65" t="inlineStr">
        <is>
          <t>VÄSTMANLANDS LÄN</t>
        </is>
      </c>
      <c r="G65" t="inlineStr">
        <is>
          <t>VÄSTERÅS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Mistel</t>
        </is>
      </c>
      <c r="W65">
        <f>HYPERLINK("https://klasma.github.io/Logging_1980/artfynd/A 61254-2023 artfynd.xlsx", "A 61254-2023")</f>
        <v/>
      </c>
      <c r="X65">
        <f>HYPERLINK("https://klasma.github.io/Logging_1980/kartor/A 61254-2023 karta.png", "A 61254-2023")</f>
        <v/>
      </c>
      <c r="Y65">
        <f>HYPERLINK("https://klasma.github.io/Logging_1980/kartor_geotiff/A 61254-2023 georefererad karta.tif", "A 61254-2023")</f>
        <v/>
      </c>
      <c r="AA65">
        <f>HYPERLINK("https://klasma.github.io/Logging_1980/klagomål/A 61254-2023 FSC-klagomål.docx", "A 61254-2023")</f>
        <v/>
      </c>
      <c r="AB65">
        <f>HYPERLINK("https://klasma.github.io/Logging_1980/klagomålsmail/A 61254-2023 FSC-klagomål mail.docx", "A 61254-2023")</f>
        <v/>
      </c>
      <c r="AC65">
        <f>HYPERLINK("https://klasma.github.io/Logging_1980/tillsyn/A 61254-2023 tillsynsbegäran.docx", "A 61254-2023")</f>
        <v/>
      </c>
      <c r="AD65">
        <f>HYPERLINK("https://klasma.github.io/Logging_1980/tillsynsmail/A 61254-2023 tillsynsbegäran mail.docx", "A 61254-2023")</f>
        <v/>
      </c>
    </row>
    <row r="66" ht="15" customHeight="1">
      <c r="A66" t="inlineStr">
        <is>
          <t>A 59520-2024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46298</v>
      </c>
      <c r="F66" t="inlineStr">
        <is>
          <t>VÄSTMANLANDS LÄN</t>
        </is>
      </c>
      <c r="G66" t="inlineStr">
        <is>
          <t>VÄSTERÅS</t>
        </is>
      </c>
      <c r="I66" t="n">
        <v>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HYPERLINK("https://klasma.github.io/Logging_1980/artfynd/A 59520-2024 artfynd.xlsx", "A 59520-2024")</f>
        <v/>
      </c>
      <c r="X66">
        <f>HYPERLINK("https://klasma.github.io/Logging_1980/kartor/A 59520-2024 karta.png", "A 59520-2024")</f>
        <v/>
      </c>
      <c r="Y66">
        <f>HYPERLINK("https://klasma.github.io/Logging_1980/kartor_geotiff/A 59520-2024 georefererad karta.tif", "A 59520-2024")</f>
        <v/>
      </c>
      <c r="AA66">
        <f>HYPERLINK("https://klasma.github.io/Logging_1980/klagomål/A 59520-2024 FSC-klagomål.docx", "A 59520-2024")</f>
        <v/>
      </c>
      <c r="AB66">
        <f>HYPERLINK("https://klasma.github.io/Logging_1980/klagomålsmail/A 59520-2024 FSC-klagomål mail.docx", "A 59520-2024")</f>
        <v/>
      </c>
      <c r="AC66">
        <f>HYPERLINK("https://klasma.github.io/Logging_1980/tillsyn/A 59520-2024 tillsynsbegäran.docx", "A 59520-2024")</f>
        <v/>
      </c>
      <c r="AD66">
        <f>HYPERLINK("https://klasma.github.io/Logging_1980/tillsynsmail/A 59520-2024 tillsynsbegäran mail.docx", "A 59520-2024")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46298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46298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46298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46298</v>
      </c>
      <c r="F70" t="inlineStr">
        <is>
          <t>VÄSTMANLANDS LÄN</t>
        </is>
      </c>
      <c r="G70" t="inlineStr">
        <is>
          <t>VÄSTERÅS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46298</v>
      </c>
      <c r="F71" t="inlineStr">
        <is>
          <t>VÄSTMANLANDS LÄN</t>
        </is>
      </c>
      <c r="G71" t="inlineStr">
        <is>
          <t>VÄSTERÅS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46298</v>
      </c>
      <c r="F72" t="inlineStr">
        <is>
          <t>VÄSTMANLANDS LÄN</t>
        </is>
      </c>
      <c r="G72" t="inlineStr">
        <is>
          <t>VÄSTERÅS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46298</v>
      </c>
      <c r="F73" t="inlineStr">
        <is>
          <t>VÄSTMANLANDS LÄN</t>
        </is>
      </c>
      <c r="G73" t="inlineStr">
        <is>
          <t>VÄSTERÅS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44594</v>
      </c>
      <c r="E74" s="1" t="n">
        <v>46298</v>
      </c>
      <c r="F74" t="inlineStr">
        <is>
          <t>VÄSTMANLANDS LÄN</t>
        </is>
      </c>
      <c r="G74" t="inlineStr">
        <is>
          <t>VÄSTERÅS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46298</v>
      </c>
      <c r="F75" t="inlineStr">
        <is>
          <t>VÄSTMANLANDS LÄN</t>
        </is>
      </c>
      <c r="G75" t="inlineStr">
        <is>
          <t>VÄSTERÅS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46298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46298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46298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46298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46298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46298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46298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46298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46298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46298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46298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46298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46298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46298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46298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46298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46298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46298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46298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46298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46298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46298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46298</v>
      </c>
      <c r="F98" t="inlineStr">
        <is>
          <t>VÄSTMANLANDS LÄN</t>
        </is>
      </c>
      <c r="G98" t="inlineStr">
        <is>
          <t>VÄSTERÅS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55684-2023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45232</v>
      </c>
      <c r="E99" s="1" t="n">
        <v>46298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29.4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46298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46298</v>
      </c>
      <c r="F101" t="inlineStr">
        <is>
          <t>VÄSTMANLANDS LÄN</t>
        </is>
      </c>
      <c r="G101" t="inlineStr">
        <is>
          <t>VÄSTERÅS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46298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44826</v>
      </c>
      <c r="E103" s="1" t="n">
        <v>46298</v>
      </c>
      <c r="F103" t="inlineStr">
        <is>
          <t>VÄSTMANLANDS LÄN</t>
        </is>
      </c>
      <c r="G103" t="inlineStr">
        <is>
          <t>VÄSTERÅS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73601-2021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44552</v>
      </c>
      <c r="E104" s="1" t="n">
        <v>46298</v>
      </c>
      <c r="F104" t="inlineStr">
        <is>
          <t>VÄSTMANLANDS LÄN</t>
        </is>
      </c>
      <c r="G104" t="inlineStr">
        <is>
          <t>VÄSTERÅS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74314-2021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46298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46298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46298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46298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45019</v>
      </c>
      <c r="E109" s="1" t="n">
        <v>46298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46298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46298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46298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44662</v>
      </c>
      <c r="E113" s="1" t="n">
        <v>46298</v>
      </c>
      <c r="F113" t="inlineStr">
        <is>
          <t>VÄSTMANLANDS LÄN</t>
        </is>
      </c>
      <c r="G113" t="inlineStr">
        <is>
          <t>VÄSTERÅS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46298</v>
      </c>
      <c r="F114" t="inlineStr">
        <is>
          <t>VÄSTMANLANDS LÄN</t>
        </is>
      </c>
      <c r="G114" t="inlineStr">
        <is>
          <t>VÄSTERÅS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46298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Övriga Aktiebolag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46298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45705</v>
      </c>
      <c r="E117" s="1" t="n">
        <v>46298</v>
      </c>
      <c r="F117" t="inlineStr">
        <is>
          <t>VÄSTMANLANDS LÄN</t>
        </is>
      </c>
      <c r="G117" t="inlineStr">
        <is>
          <t>VÄSTERÅS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46298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Allmännings- och besparingsskogar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45370</v>
      </c>
      <c r="E119" s="1" t="n">
        <v>46298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46298</v>
      </c>
      <c r="F120" t="inlineStr">
        <is>
          <t>VÄSTMANLANDS LÄN</t>
        </is>
      </c>
      <c r="G120" t="inlineStr">
        <is>
          <t>VÄSTERÅS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46298</v>
      </c>
      <c r="F121" t="inlineStr">
        <is>
          <t>VÄSTMANLANDS LÄN</t>
        </is>
      </c>
      <c r="G121" t="inlineStr">
        <is>
          <t>VÄSTERÅS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45223</v>
      </c>
      <c r="E122" s="1" t="n">
        <v>46298</v>
      </c>
      <c r="F122" t="inlineStr">
        <is>
          <t>VÄSTMANLANDS LÄN</t>
        </is>
      </c>
      <c r="G122" t="inlineStr">
        <is>
          <t>VÄSTERÅS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46298</v>
      </c>
      <c r="F123" t="inlineStr">
        <is>
          <t>VÄSTMANLANDS LÄN</t>
        </is>
      </c>
      <c r="G123" t="inlineStr">
        <is>
          <t>VÄSTERÅS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46298</v>
      </c>
      <c r="F124" t="inlineStr">
        <is>
          <t>VÄSTMANLANDS LÄN</t>
        </is>
      </c>
      <c r="G124" t="inlineStr">
        <is>
          <t>VÄSTERÅS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45628</v>
      </c>
      <c r="E125" s="1" t="n">
        <v>46298</v>
      </c>
      <c r="F125" t="inlineStr">
        <is>
          <t>VÄSTMANLANDS LÄN</t>
        </is>
      </c>
      <c r="G125" t="inlineStr">
        <is>
          <t>VÄSTERÅS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46298</v>
      </c>
      <c r="F126" t="inlineStr">
        <is>
          <t>VÄSTMANLANDS LÄN</t>
        </is>
      </c>
      <c r="G126" t="inlineStr">
        <is>
          <t>VÄSTERÅS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45506</v>
      </c>
      <c r="E127" s="1" t="n">
        <v>46298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Kommuner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46298</v>
      </c>
      <c r="F128" t="inlineStr">
        <is>
          <t>VÄSTMANLANDS LÄN</t>
        </is>
      </c>
      <c r="G128" t="inlineStr">
        <is>
          <t>VÄSTERÅS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46298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45453</v>
      </c>
      <c r="E130" s="1" t="n">
        <v>46298</v>
      </c>
      <c r="F130" t="inlineStr">
        <is>
          <t>VÄSTMANLANDS LÄN</t>
        </is>
      </c>
      <c r="G130" t="inlineStr">
        <is>
          <t>VÄSTERÅS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46298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Kommuner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46298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44875</v>
      </c>
      <c r="E133" s="1" t="n">
        <v>46298</v>
      </c>
      <c r="F133" t="inlineStr">
        <is>
          <t>VÄSTMANLANDS LÄN</t>
        </is>
      </c>
      <c r="G133" t="inlineStr">
        <is>
          <t>VÄSTERÅS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46298</v>
      </c>
      <c r="F134" t="inlineStr">
        <is>
          <t>VÄSTMANLANDS LÄN</t>
        </is>
      </c>
      <c r="G134" t="inlineStr">
        <is>
          <t>VÄSTERÅS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46298</v>
      </c>
      <c r="F135" t="inlineStr">
        <is>
          <t>VÄSTMANLANDS LÄN</t>
        </is>
      </c>
      <c r="G135" t="inlineStr">
        <is>
          <t>VÄSTERÅS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46298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statliga verk och myndigheter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46298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11137-2023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44987</v>
      </c>
      <c r="E138" s="1" t="n">
        <v>46298</v>
      </c>
      <c r="F138" t="inlineStr">
        <is>
          <t>VÄSTMANLANDS LÄN</t>
        </is>
      </c>
      <c r="G138" t="inlineStr">
        <is>
          <t>VÄSTERÅS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7797-2026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46062</v>
      </c>
      <c r="E139" s="1" t="n">
        <v>46298</v>
      </c>
      <c r="F139" t="inlineStr">
        <is>
          <t>VÄSTMANLANDS LÄN</t>
        </is>
      </c>
      <c r="G139" t="inlineStr">
        <is>
          <t>VÄSTERÅS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44999</v>
      </c>
      <c r="E140" s="1" t="n">
        <v>46298</v>
      </c>
      <c r="F140" t="inlineStr">
        <is>
          <t>VÄSTMANLANDS LÄN</t>
        </is>
      </c>
      <c r="G140" t="inlineStr">
        <is>
          <t>VÄSTERÅS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46298</v>
      </c>
      <c r="F141" t="inlineStr">
        <is>
          <t>VÄSTMANLANDS LÄN</t>
        </is>
      </c>
      <c r="G141" t="inlineStr">
        <is>
          <t>VÄSTERÅS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46298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46298</v>
      </c>
      <c r="F143" t="inlineStr">
        <is>
          <t>VÄSTMANLANDS LÄN</t>
        </is>
      </c>
      <c r="G143" t="inlineStr">
        <is>
          <t>VÄSTERÅS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56076-2023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45235</v>
      </c>
      <c r="E144" s="1" t="n">
        <v>46298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37.8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45456</v>
      </c>
      <c r="E145" s="1" t="n">
        <v>46298</v>
      </c>
      <c r="F145" t="inlineStr">
        <is>
          <t>VÄSTMANLANDS LÄN</t>
        </is>
      </c>
      <c r="G145" t="inlineStr">
        <is>
          <t>VÄSTERÅS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11950-2022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44635</v>
      </c>
      <c r="E146" s="1" t="n">
        <v>46298</v>
      </c>
      <c r="F146" t="inlineStr">
        <is>
          <t>VÄSTMANLANDS LÄN</t>
        </is>
      </c>
      <c r="G146" t="inlineStr">
        <is>
          <t>VÄSTERÅS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46298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Övriga statliga verk och myndigheter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52027-2025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45952</v>
      </c>
      <c r="E148" s="1" t="n">
        <v>46298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46298</v>
      </c>
      <c r="F149" t="inlineStr">
        <is>
          <t>VÄSTMANLANDS LÄN</t>
        </is>
      </c>
      <c r="G149" t="inlineStr">
        <is>
          <t>VÄSTERÅS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46298</v>
      </c>
      <c r="F150" t="inlineStr">
        <is>
          <t>VÄSTMANLANDS LÄN</t>
        </is>
      </c>
      <c r="G150" t="inlineStr">
        <is>
          <t>VÄSTERÅS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46298</v>
      </c>
      <c r="F151" t="inlineStr">
        <is>
          <t>VÄSTMANLANDS LÄN</t>
        </is>
      </c>
      <c r="G151" t="inlineStr">
        <is>
          <t>VÄSTERÅS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46298</v>
      </c>
      <c r="F152" t="inlineStr">
        <is>
          <t>VÄSTMANLANDS LÄN</t>
        </is>
      </c>
      <c r="G152" t="inlineStr">
        <is>
          <t>VÄSTERÅS</t>
        </is>
      </c>
      <c r="I152" t="n">
        <v>20.3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46298</v>
      </c>
      <c r="F153" t="inlineStr">
        <is>
          <t>VÄSTMANLANDS LÄN</t>
        </is>
      </c>
      <c r="G153" t="inlineStr">
        <is>
          <t>VÄSTERÅS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46298</v>
      </c>
      <c r="F154" t="inlineStr">
        <is>
          <t>VÄSTMANLANDS LÄN</t>
        </is>
      </c>
      <c r="G154" t="inlineStr">
        <is>
          <t>VÄSTERÅS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46298</v>
      </c>
      <c r="F155" t="inlineStr">
        <is>
          <t>VÄSTMANLANDS LÄN</t>
        </is>
      </c>
      <c r="G155" t="inlineStr">
        <is>
          <t>VÄSTERÅS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46083</v>
      </c>
      <c r="E156" s="1" t="n">
        <v>46298</v>
      </c>
      <c r="F156" t="inlineStr">
        <is>
          <t>VÄSTMANLANDS LÄN</t>
        </is>
      </c>
      <c r="G156" t="inlineStr">
        <is>
          <t>VÄSTERÅS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45125</v>
      </c>
      <c r="E157" s="1" t="n">
        <v>46298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46298</v>
      </c>
      <c r="F158" t="inlineStr">
        <is>
          <t>VÄSTMANLANDS LÄN</t>
        </is>
      </c>
      <c r="G158" t="inlineStr">
        <is>
          <t>VÄSTERÅS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46298</v>
      </c>
      <c r="F159" t="inlineStr">
        <is>
          <t>VÄSTMANLANDS LÄN</t>
        </is>
      </c>
      <c r="G159" t="inlineStr">
        <is>
          <t>VÄSTERÅS</t>
        </is>
      </c>
      <c r="I159" t="n">
        <v>13.9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46298</v>
      </c>
      <c r="F160" t="inlineStr">
        <is>
          <t>VÄSTMANLANDS LÄN</t>
        </is>
      </c>
      <c r="G160" t="inlineStr">
        <is>
          <t>VÄSTERÅS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39127-2022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44816</v>
      </c>
      <c r="E161" s="1" t="n">
        <v>46298</v>
      </c>
      <c r="F161" t="inlineStr">
        <is>
          <t>VÄSTMANLANDS LÄN</t>
        </is>
      </c>
      <c r="G161" t="inlineStr">
        <is>
          <t>VÄSTERÅS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46298</v>
      </c>
      <c r="F162" t="inlineStr">
        <is>
          <t>VÄSTMANLANDS LÄN</t>
        </is>
      </c>
      <c r="G162" t="inlineStr">
        <is>
          <t>VÄSTERÅS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45617</v>
      </c>
      <c r="E163" s="1" t="n">
        <v>46298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46298</v>
      </c>
      <c r="F164" t="inlineStr">
        <is>
          <t>VÄSTMANLANDS LÄN</t>
        </is>
      </c>
      <c r="G164" t="inlineStr">
        <is>
          <t>VÄSTERÅS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45979</v>
      </c>
      <c r="E165" s="1" t="n">
        <v>46298</v>
      </c>
      <c r="F165" t="inlineStr">
        <is>
          <t>VÄSTMANLANDS LÄN</t>
        </is>
      </c>
      <c r="G165" t="inlineStr">
        <is>
          <t>VÄSTERÅS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45119</v>
      </c>
      <c r="E166" s="1" t="n">
        <v>46298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46298</v>
      </c>
      <c r="F167" t="inlineStr">
        <is>
          <t>VÄSTMANLANDS LÄN</t>
        </is>
      </c>
      <c r="G167" t="inlineStr">
        <is>
          <t>VÄSTERÅS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46298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46298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46298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16579-2026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46298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46298</v>
      </c>
      <c r="F172" t="inlineStr">
        <is>
          <t>VÄSTMANLANDS LÄN</t>
        </is>
      </c>
      <c r="G172" t="inlineStr">
        <is>
          <t>VÄSTERÅS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46298</v>
      </c>
      <c r="F173" t="inlineStr">
        <is>
          <t>VÄSTMANLANDS LÄN</t>
        </is>
      </c>
      <c r="G173" t="inlineStr">
        <is>
          <t>VÄSTERÅS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46298</v>
      </c>
      <c r="F174" t="inlineStr">
        <is>
          <t>VÄSTMANLANDS LÄN</t>
        </is>
      </c>
      <c r="G174" t="inlineStr">
        <is>
          <t>VÄSTERÅS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45988</v>
      </c>
      <c r="E175" s="1" t="n">
        <v>46298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46298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Allmännings- och besparingsskogar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46298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44635</v>
      </c>
      <c r="E178" s="1" t="n">
        <v>46298</v>
      </c>
      <c r="F178" t="inlineStr">
        <is>
          <t>VÄSTMANLANDS LÄN</t>
        </is>
      </c>
      <c r="G178" t="inlineStr">
        <is>
          <t>VÄSTERÅS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44635</v>
      </c>
      <c r="E179" s="1" t="n">
        <v>46298</v>
      </c>
      <c r="F179" t="inlineStr">
        <is>
          <t>VÄSTMANLANDS LÄN</t>
        </is>
      </c>
      <c r="G179" t="inlineStr">
        <is>
          <t>VÄSTERÅS</t>
        </is>
      </c>
      <c r="I179" t="n">
        <v>12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31569-2025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46298</v>
      </c>
      <c r="F180" t="inlineStr">
        <is>
          <t>VÄSTMANLANDS LÄN</t>
        </is>
      </c>
      <c r="G180" t="inlineStr">
        <is>
          <t>VÄSTERÅS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46298</v>
      </c>
      <c r="F181" t="inlineStr">
        <is>
          <t>VÄSTMANLANDS LÄN</t>
        </is>
      </c>
      <c r="G181" t="inlineStr">
        <is>
          <t>VÄSTERÅS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44908</v>
      </c>
      <c r="E182" s="1" t="n">
        <v>46298</v>
      </c>
      <c r="F182" t="inlineStr">
        <is>
          <t>VÄSTMANLANDS LÄN</t>
        </is>
      </c>
      <c r="G182" t="inlineStr">
        <is>
          <t>VÄSTERÅS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45174</v>
      </c>
      <c r="E183" s="1" t="n">
        <v>46298</v>
      </c>
      <c r="F183" t="inlineStr">
        <is>
          <t>VÄSTMANLANDS LÄN</t>
        </is>
      </c>
      <c r="G183" t="inlineStr">
        <is>
          <t>VÄSTERÅS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45027</v>
      </c>
      <c r="E184" s="1" t="n">
        <v>46298</v>
      </c>
      <c r="F184" t="inlineStr">
        <is>
          <t>VÄSTMANLANDS LÄN</t>
        </is>
      </c>
      <c r="G184" t="inlineStr">
        <is>
          <t>VÄSTERÅS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45027</v>
      </c>
      <c r="E185" s="1" t="n">
        <v>46298</v>
      </c>
      <c r="F185" t="inlineStr">
        <is>
          <t>VÄSTMANLANDS LÄN</t>
        </is>
      </c>
      <c r="G185" t="inlineStr">
        <is>
          <t>VÄSTERÅS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46298</v>
      </c>
      <c r="F186" t="inlineStr">
        <is>
          <t>VÄSTMANLANDS LÄN</t>
        </is>
      </c>
      <c r="G186" t="inlineStr">
        <is>
          <t>VÄSTERÅS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52015-2024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45607</v>
      </c>
      <c r="E187" s="1" t="n">
        <v>46298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45516</v>
      </c>
      <c r="E188" s="1" t="n">
        <v>46298</v>
      </c>
      <c r="F188" t="inlineStr">
        <is>
          <t>VÄSTMANLANDS LÄN</t>
        </is>
      </c>
      <c r="G188" t="inlineStr">
        <is>
          <t>VÄSTERÅS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44999</v>
      </c>
      <c r="E189" s="1" t="n">
        <v>46298</v>
      </c>
      <c r="F189" t="inlineStr">
        <is>
          <t>VÄSTMANLANDS LÄN</t>
        </is>
      </c>
      <c r="G189" t="inlineStr">
        <is>
          <t>VÄSTERÅS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44880</v>
      </c>
      <c r="E190" s="1" t="n">
        <v>46298</v>
      </c>
      <c r="F190" t="inlineStr">
        <is>
          <t>VÄSTMANLANDS LÄN</t>
        </is>
      </c>
      <c r="G190" t="inlineStr">
        <is>
          <t>VÄSTERÅS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46298</v>
      </c>
      <c r="F191" t="inlineStr">
        <is>
          <t>VÄSTMANLANDS LÄN</t>
        </is>
      </c>
      <c r="G191" t="inlineStr">
        <is>
          <t>VÄSTERÅS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46298</v>
      </c>
      <c r="F192" t="inlineStr">
        <is>
          <t>VÄSTMANLANDS LÄN</t>
        </is>
      </c>
      <c r="G192" t="inlineStr">
        <is>
          <t>VÄSTERÅS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47101-2025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46298</v>
      </c>
      <c r="F193" t="inlineStr">
        <is>
          <t>VÄSTMANLANDS LÄN</t>
        </is>
      </c>
      <c r="G193" t="inlineStr">
        <is>
          <t>VÄSTERÅS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46298</v>
      </c>
      <c r="F194" t="inlineStr">
        <is>
          <t>VÄSTMANLANDS LÄN</t>
        </is>
      </c>
      <c r="G194" t="inlineStr">
        <is>
          <t>VÄSTERÅS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46298</v>
      </c>
      <c r="F195" t="inlineStr">
        <is>
          <t>VÄSTMANLANDS LÄN</t>
        </is>
      </c>
      <c r="G195" t="inlineStr">
        <is>
          <t>VÄSTERÅS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44582</v>
      </c>
      <c r="E196" s="1" t="n">
        <v>46298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Övriga Aktiebolag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46298</v>
      </c>
      <c r="F197" t="inlineStr">
        <is>
          <t>VÄSTMANLANDS LÄN</t>
        </is>
      </c>
      <c r="G197" t="inlineStr">
        <is>
          <t>VÄSTERÅS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46298</v>
      </c>
      <c r="F198" t="inlineStr">
        <is>
          <t>VÄSTMANLANDS LÄN</t>
        </is>
      </c>
      <c r="G198" t="inlineStr">
        <is>
          <t>VÄSTERÅS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46298</v>
      </c>
      <c r="F199" t="inlineStr">
        <is>
          <t>VÄSTMANLANDS LÄN</t>
        </is>
      </c>
      <c r="G199" t="inlineStr">
        <is>
          <t>VÄSTERÅS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46298</v>
      </c>
      <c r="F200" t="inlineStr">
        <is>
          <t>VÄSTMANLANDS LÄN</t>
        </is>
      </c>
      <c r="G200" t="inlineStr">
        <is>
          <t>VÄSTERÅS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45414</v>
      </c>
      <c r="E201" s="1" t="n">
        <v>46298</v>
      </c>
      <c r="F201" t="inlineStr">
        <is>
          <t>VÄSTMANLANDS LÄN</t>
        </is>
      </c>
      <c r="G201" t="inlineStr">
        <is>
          <t>VÄSTERÅS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18465-2023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45042</v>
      </c>
      <c r="E202" s="1" t="n">
        <v>46298</v>
      </c>
      <c r="F202" t="inlineStr">
        <is>
          <t>VÄSTMANLANDS LÄN</t>
        </is>
      </c>
      <c r="G202" t="inlineStr">
        <is>
          <t>VÄSTERÅS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46298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46298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46298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15316-2022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44659</v>
      </c>
      <c r="E206" s="1" t="n">
        <v>46298</v>
      </c>
      <c r="F206" t="inlineStr">
        <is>
          <t>VÄSTMANLANDS LÄN</t>
        </is>
      </c>
      <c r="G206" t="inlineStr">
        <is>
          <t>VÄSTERÅS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46298</v>
      </c>
      <c r="F207" t="inlineStr">
        <is>
          <t>VÄSTMANLANDS LÄN</t>
        </is>
      </c>
      <c r="G207" t="inlineStr">
        <is>
          <t>VÄSTERÅS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46298</v>
      </c>
      <c r="F208" t="inlineStr">
        <is>
          <t>VÄSTMANLANDS LÄN</t>
        </is>
      </c>
      <c r="G208" t="inlineStr">
        <is>
          <t>VÄSTERÅS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46298</v>
      </c>
      <c r="F209" t="inlineStr">
        <is>
          <t>VÄSTMANLANDS LÄN</t>
        </is>
      </c>
      <c r="G209" t="inlineStr">
        <is>
          <t>VÄSTERÅS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46298</v>
      </c>
      <c r="F210" t="inlineStr">
        <is>
          <t>VÄSTMANLANDS LÄN</t>
        </is>
      </c>
      <c r="G210" t="inlineStr">
        <is>
          <t>VÄSTERÅS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46298</v>
      </c>
      <c r="F211" t="inlineStr">
        <is>
          <t>VÄSTMANLANDS LÄN</t>
        </is>
      </c>
      <c r="G211" t="inlineStr">
        <is>
          <t>VÄSTERÅS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46298</v>
      </c>
      <c r="F212" t="inlineStr">
        <is>
          <t>VÄSTMANLANDS LÄN</t>
        </is>
      </c>
      <c r="G212" t="inlineStr">
        <is>
          <t>VÄSTERÅS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46298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46298</v>
      </c>
      <c r="F214" t="inlineStr">
        <is>
          <t>VÄSTMANLANDS LÄN</t>
        </is>
      </c>
      <c r="G214" t="inlineStr">
        <is>
          <t>VÄSTERÅS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46298</v>
      </c>
      <c r="F215" t="inlineStr">
        <is>
          <t>VÄSTMANLANDS LÄN</t>
        </is>
      </c>
      <c r="G215" t="inlineStr">
        <is>
          <t>VÄSTERÅS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63851-2021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44509</v>
      </c>
      <c r="E216" s="1" t="n">
        <v>46298</v>
      </c>
      <c r="F216" t="inlineStr">
        <is>
          <t>VÄSTMANLANDS LÄN</t>
        </is>
      </c>
      <c r="G216" t="inlineStr">
        <is>
          <t>VÄSTERÅS</t>
        </is>
      </c>
      <c r="I216" t="n">
        <v>11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46298</v>
      </c>
      <c r="F217" t="inlineStr">
        <is>
          <t>VÄSTMANLANDS LÄN</t>
        </is>
      </c>
      <c r="G217" t="inlineStr">
        <is>
          <t>VÄSTERÅS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45274</v>
      </c>
      <c r="E218" s="1" t="n">
        <v>46298</v>
      </c>
      <c r="F218" t="inlineStr">
        <is>
          <t>VÄSTMANLANDS LÄN</t>
        </is>
      </c>
      <c r="G218" t="inlineStr">
        <is>
          <t>VÄSTERÅS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46169</v>
      </c>
      <c r="E219" s="1" t="n">
        <v>46298</v>
      </c>
      <c r="F219" t="inlineStr">
        <is>
          <t>VÄSTMANLANDS LÄN</t>
        </is>
      </c>
      <c r="G219" t="inlineStr">
        <is>
          <t>VÄSTERÅS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46170</v>
      </c>
      <c r="E220" s="1" t="n">
        <v>46298</v>
      </c>
      <c r="F220" t="inlineStr">
        <is>
          <t>VÄSTMANLANDS LÄN</t>
        </is>
      </c>
      <c r="G220" t="inlineStr">
        <is>
          <t>VÄSTERÅS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46298</v>
      </c>
      <c r="F221" t="inlineStr">
        <is>
          <t>VÄSTMANLANDS LÄN</t>
        </is>
      </c>
      <c r="G221" t="inlineStr">
        <is>
          <t>VÄSTERÅS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46298</v>
      </c>
      <c r="F222" t="inlineStr">
        <is>
          <t>VÄSTMANLANDS LÄN</t>
        </is>
      </c>
      <c r="G222" t="inlineStr">
        <is>
          <t>VÄSTERÅS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18457-2023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45042</v>
      </c>
      <c r="E223" s="1" t="n">
        <v>46298</v>
      </c>
      <c r="F223" t="inlineStr">
        <is>
          <t>VÄSTMANLANDS LÄN</t>
        </is>
      </c>
      <c r="G223" t="inlineStr">
        <is>
          <t>VÄSTERÅS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22978-2022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44717</v>
      </c>
      <c r="E224" s="1" t="n">
        <v>46298</v>
      </c>
      <c r="F224" t="inlineStr">
        <is>
          <t>VÄSTMANLANDS LÄN</t>
        </is>
      </c>
      <c r="G224" t="inlineStr">
        <is>
          <t>VÄSTERÅS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46298</v>
      </c>
      <c r="F225" t="inlineStr">
        <is>
          <t>VÄSTMANLANDS LÄN</t>
        </is>
      </c>
      <c r="G225" t="inlineStr">
        <is>
          <t>VÄSTERÅS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46298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Allmännings- och besparingsskogar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46298</v>
      </c>
      <c r="F227" t="inlineStr">
        <is>
          <t>VÄSTMANLANDS LÄN</t>
        </is>
      </c>
      <c r="G227" t="inlineStr">
        <is>
          <t>VÄSTERÅS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46298</v>
      </c>
      <c r="F228" t="inlineStr">
        <is>
          <t>VÄSTMANLANDS LÄN</t>
        </is>
      </c>
      <c r="G228" t="inlineStr">
        <is>
          <t>VÄSTERÅS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46190</v>
      </c>
      <c r="E229" s="1" t="n">
        <v>46298</v>
      </c>
      <c r="F229" t="inlineStr">
        <is>
          <t>VÄSTMANLANDS LÄN</t>
        </is>
      </c>
      <c r="G229" t="inlineStr">
        <is>
          <t>VÄSTERÅS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17725-2022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44680</v>
      </c>
      <c r="E230" s="1" t="n">
        <v>46298</v>
      </c>
      <c r="F230" t="inlineStr">
        <is>
          <t>VÄSTMANLANDS LÄN</t>
        </is>
      </c>
      <c r="G230" t="inlineStr">
        <is>
          <t>VÄSTERÅS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46298</v>
      </c>
      <c r="F231" t="inlineStr">
        <is>
          <t>VÄSTMANLANDS LÄN</t>
        </is>
      </c>
      <c r="G231" t="inlineStr">
        <is>
          <t>VÄSTERÅS</t>
        </is>
      </c>
      <c r="I231" t="n">
        <v>14.1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45110</v>
      </c>
      <c r="E232" s="1" t="n">
        <v>46298</v>
      </c>
      <c r="F232" t="inlineStr">
        <is>
          <t>VÄSTMANLANDS LÄN</t>
        </is>
      </c>
      <c r="G232" t="inlineStr">
        <is>
          <t>VÄSTERÅS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44636</v>
      </c>
      <c r="E233" s="1" t="n">
        <v>46298</v>
      </c>
      <c r="F233" t="inlineStr">
        <is>
          <t>VÄSTMANLANDS LÄN</t>
        </is>
      </c>
      <c r="G233" t="inlineStr">
        <is>
          <t>VÄSTERÅS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46298</v>
      </c>
      <c r="F234" t="inlineStr">
        <is>
          <t>VÄSTMANLANDS LÄN</t>
        </is>
      </c>
      <c r="G234" t="inlineStr">
        <is>
          <t>VÄSTERÅS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46298</v>
      </c>
      <c r="F235" t="inlineStr">
        <is>
          <t>VÄSTMANLANDS LÄN</t>
        </is>
      </c>
      <c r="G235" t="inlineStr">
        <is>
          <t>VÄSTERÅS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46298</v>
      </c>
      <c r="F236" t="inlineStr">
        <is>
          <t>VÄSTMANLANDS LÄN</t>
        </is>
      </c>
      <c r="G236" t="inlineStr">
        <is>
          <t>VÄSTERÅS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44986</v>
      </c>
      <c r="E237" s="1" t="n">
        <v>46298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57873-2022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44899</v>
      </c>
      <c r="E238" s="1" t="n">
        <v>46298</v>
      </c>
      <c r="F238" t="inlineStr">
        <is>
          <t>VÄSTMANLANDS LÄN</t>
        </is>
      </c>
      <c r="G238" t="inlineStr">
        <is>
          <t>VÄSTERÅS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46298</v>
      </c>
      <c r="F239" t="inlineStr">
        <is>
          <t>VÄSTMANLANDS LÄN</t>
        </is>
      </c>
      <c r="G239" t="inlineStr">
        <is>
          <t>VÄSTERÅS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44636</v>
      </c>
      <c r="E240" s="1" t="n">
        <v>46298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Kommuner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46298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Kommuner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44840</v>
      </c>
      <c r="E242" s="1" t="n">
        <v>46298</v>
      </c>
      <c r="F242" t="inlineStr">
        <is>
          <t>VÄSTMANLANDS LÄN</t>
        </is>
      </c>
      <c r="G242" t="inlineStr">
        <is>
          <t>VÄSTERÅS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44574</v>
      </c>
      <c r="E243" s="1" t="n">
        <v>46298</v>
      </c>
      <c r="F243" t="inlineStr">
        <is>
          <t>VÄSTMANLANDS LÄN</t>
        </is>
      </c>
      <c r="G243" t="inlineStr">
        <is>
          <t>VÄSTERÅS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44893</v>
      </c>
      <c r="E244" s="1" t="n">
        <v>46298</v>
      </c>
      <c r="F244" t="inlineStr">
        <is>
          <t>VÄSTMANLANDS LÄN</t>
        </is>
      </c>
      <c r="G244" t="inlineStr">
        <is>
          <t>VÄSTERÅS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46298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15889-2022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44664</v>
      </c>
      <c r="E246" s="1" t="n">
        <v>46298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46080</v>
      </c>
      <c r="E247" s="1" t="n">
        <v>46298</v>
      </c>
      <c r="F247" t="inlineStr">
        <is>
          <t>VÄSTMANLANDS LÄN</t>
        </is>
      </c>
      <c r="G247" t="inlineStr">
        <is>
          <t>VÄSTERÅS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46213</v>
      </c>
      <c r="E248" s="1" t="n">
        <v>46298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46215</v>
      </c>
      <c r="E249" s="1" t="n">
        <v>46298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46215</v>
      </c>
      <c r="E250" s="1" t="n">
        <v>46298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46215</v>
      </c>
      <c r="E251" s="1" t="n">
        <v>46298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46298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46215</v>
      </c>
      <c r="E253" s="1" t="n">
        <v>46298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46298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46298</v>
      </c>
      <c r="F255" t="inlineStr">
        <is>
          <t>VÄSTMANLANDS LÄN</t>
        </is>
      </c>
      <c r="G255" t="inlineStr">
        <is>
          <t>VÄSTERÅS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46298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46298</v>
      </c>
      <c r="F257" t="inlineStr">
        <is>
          <t>VÄSTMANLANDS LÄN</t>
        </is>
      </c>
      <c r="G257" t="inlineStr">
        <is>
          <t>VÄSTERÅS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45019</v>
      </c>
      <c r="E258" s="1" t="n">
        <v>46298</v>
      </c>
      <c r="F258" t="inlineStr">
        <is>
          <t>VÄSTMANLANDS LÄN</t>
        </is>
      </c>
      <c r="G258" t="inlineStr">
        <is>
          <t>VÄSTERÅS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46217</v>
      </c>
      <c r="E259" s="1" t="n">
        <v>46298</v>
      </c>
      <c r="F259" t="inlineStr">
        <is>
          <t>VÄSTMANLANDS LÄN</t>
        </is>
      </c>
      <c r="G259" t="inlineStr">
        <is>
          <t>VÄSTERÅS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18482-2023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45042</v>
      </c>
      <c r="E260" s="1" t="n">
        <v>46298</v>
      </c>
      <c r="F260" t="inlineStr">
        <is>
          <t>VÄSTMANLANDS LÄN</t>
        </is>
      </c>
      <c r="G260" t="inlineStr">
        <is>
          <t>VÄSTERÅS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46298</v>
      </c>
      <c r="F261" t="inlineStr">
        <is>
          <t>VÄSTMANLANDS LÄN</t>
        </is>
      </c>
      <c r="G261" t="inlineStr">
        <is>
          <t>VÄSTERÅS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46298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45761</v>
      </c>
      <c r="E263" s="1" t="n">
        <v>46298</v>
      </c>
      <c r="F263" t="inlineStr">
        <is>
          <t>VÄSTMANLANDS LÄN</t>
        </is>
      </c>
      <c r="G263" t="inlineStr">
        <is>
          <t>VÄSTERÅS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46154</v>
      </c>
      <c r="E264" s="1" t="n">
        <v>46298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45083</v>
      </c>
      <c r="E265" s="1" t="n">
        <v>46298</v>
      </c>
      <c r="F265" t="inlineStr">
        <is>
          <t>VÄSTMANLANDS LÄN</t>
        </is>
      </c>
      <c r="G265" t="inlineStr">
        <is>
          <t>VÄSTERÅS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15273-2024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46298</v>
      </c>
      <c r="F266" t="inlineStr">
        <is>
          <t>VÄSTMANLANDS LÄN</t>
        </is>
      </c>
      <c r="G266" t="inlineStr">
        <is>
          <t>VÄSTERÅS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7378-2022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44606</v>
      </c>
      <c r="E267" s="1" t="n">
        <v>46298</v>
      </c>
      <c r="F267" t="inlineStr">
        <is>
          <t>VÄSTMANLANDS LÄN</t>
        </is>
      </c>
      <c r="G267" t="inlineStr">
        <is>
          <t>VÄSTERÅS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8871-2026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46298</v>
      </c>
      <c r="F268" t="inlineStr">
        <is>
          <t>VÄSTMANLANDS LÄN</t>
        </is>
      </c>
      <c r="G268" t="inlineStr">
        <is>
          <t>VÄSTERÅS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46298</v>
      </c>
      <c r="F269" t="inlineStr">
        <is>
          <t>VÄSTMANLANDS LÄN</t>
        </is>
      </c>
      <c r="G269" t="inlineStr">
        <is>
          <t>VÄSTERÅS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46298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44978</v>
      </c>
      <c r="E271" s="1" t="n">
        <v>46298</v>
      </c>
      <c r="F271" t="inlineStr">
        <is>
          <t>VÄSTMANLANDS LÄN</t>
        </is>
      </c>
      <c r="G271" t="inlineStr">
        <is>
          <t>VÄSTERÅS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67352-2021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44523</v>
      </c>
      <c r="E272" s="1" t="n">
        <v>46298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Övriga Aktiebolag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46298</v>
      </c>
      <c r="F273" t="inlineStr">
        <is>
          <t>VÄSTMANLANDS LÄN</t>
        </is>
      </c>
      <c r="G273" t="inlineStr">
        <is>
          <t>VÄSTERÅS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46274</v>
      </c>
      <c r="E274" s="1" t="n">
        <v>46298</v>
      </c>
      <c r="F274" t="inlineStr">
        <is>
          <t>VÄSTMANLANDS LÄN</t>
        </is>
      </c>
      <c r="G274" t="inlineStr">
        <is>
          <t>VÄSTERÅS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46274</v>
      </c>
      <c r="E275" s="1" t="n">
        <v>46298</v>
      </c>
      <c r="F275" t="inlineStr">
        <is>
          <t>VÄSTMANLANDS LÄN</t>
        </is>
      </c>
      <c r="G275" t="inlineStr">
        <is>
          <t>VÄSTERÅS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45579</v>
      </c>
      <c r="E276" s="1" t="n">
        <v>46298</v>
      </c>
      <c r="F276" t="inlineStr">
        <is>
          <t>VÄSTMANLANDS LÄN</t>
        </is>
      </c>
      <c r="G276" t="inlineStr">
        <is>
          <t>VÄSTERÅS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52396-2022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44874</v>
      </c>
      <c r="E277" s="1" t="n">
        <v>46298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44901</v>
      </c>
      <c r="E278" s="1" t="n">
        <v>46298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50948-2023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46298</v>
      </c>
      <c r="F279" t="inlineStr">
        <is>
          <t>VÄSTMANLANDS LÄN</t>
        </is>
      </c>
      <c r="G279" t="inlineStr">
        <is>
          <t>VÄSTERÅS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46298</v>
      </c>
      <c r="F280" t="inlineStr">
        <is>
          <t>VÄSTMANLANDS LÄN</t>
        </is>
      </c>
      <c r="G280" t="inlineStr">
        <is>
          <t>VÄSTERÅS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18467-2023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45042</v>
      </c>
      <c r="E281" s="1" t="n">
        <v>46298</v>
      </c>
      <c r="F281" t="inlineStr">
        <is>
          <t>VÄSTMANLANDS LÄN</t>
        </is>
      </c>
      <c r="G281" t="inlineStr">
        <is>
          <t>VÄSTERÅS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45457</v>
      </c>
      <c r="E282" s="1" t="n">
        <v>46298</v>
      </c>
      <c r="F282" t="inlineStr">
        <is>
          <t>VÄSTMANLANDS LÄN</t>
        </is>
      </c>
      <c r="G282" t="inlineStr">
        <is>
          <t>VÄSTERÅS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39817-2024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46298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Kyrkan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46272</v>
      </c>
      <c r="E284" s="1" t="n">
        <v>46298</v>
      </c>
      <c r="F284" t="inlineStr">
        <is>
          <t>VÄSTMANLANDS LÄN</t>
        </is>
      </c>
      <c r="G284" t="inlineStr">
        <is>
          <t>VÄSTERÅS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67350-2021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44523</v>
      </c>
      <c r="E285" s="1" t="n">
        <v>46298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Övriga Aktiebolag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46265</v>
      </c>
      <c r="E286" s="1" t="n">
        <v>46298</v>
      </c>
      <c r="F286" t="inlineStr">
        <is>
          <t>VÄSTMANLANDS LÄN</t>
        </is>
      </c>
      <c r="G286" t="inlineStr">
        <is>
          <t>VÄSTERÅS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46289</v>
      </c>
      <c r="E287" s="1" t="n">
        <v>46298</v>
      </c>
      <c r="F287" t="inlineStr">
        <is>
          <t>VÄSTMANLANDS LÄN</t>
        </is>
      </c>
      <c r="G287" t="inlineStr">
        <is>
          <t>VÄSTERÅS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46298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46289</v>
      </c>
      <c r="E289" s="1" t="n">
        <v>46298</v>
      </c>
      <c r="F289" t="inlineStr">
        <is>
          <t>VÄSTMANLANDS LÄN</t>
        </is>
      </c>
      <c r="G289" t="inlineStr">
        <is>
          <t>VÄSTERÅS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45033</v>
      </c>
      <c r="E290" s="1" t="n">
        <v>46298</v>
      </c>
      <c r="F290" t="inlineStr">
        <is>
          <t>VÄSTMANLANDS LÄN</t>
        </is>
      </c>
      <c r="G290" t="inlineStr">
        <is>
          <t>VÄSTERÅS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73994-2021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44556</v>
      </c>
      <c r="E291" s="1" t="n">
        <v>46298</v>
      </c>
      <c r="F291" t="inlineStr">
        <is>
          <t>VÄSTMANLANDS LÄN</t>
        </is>
      </c>
      <c r="G291" t="inlineStr">
        <is>
          <t>VÄSTERÅS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46298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46298</v>
      </c>
      <c r="F293" t="inlineStr">
        <is>
          <t>VÄSTMANLANDS LÄN</t>
        </is>
      </c>
      <c r="G293" t="inlineStr">
        <is>
          <t>VÄSTERÅS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46298</v>
      </c>
      <c r="F294" t="inlineStr">
        <is>
          <t>VÄSTMANLANDS LÄN</t>
        </is>
      </c>
      <c r="G294" t="inlineStr">
        <is>
          <t>VÄSTERÅS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46290</v>
      </c>
      <c r="E295" s="1" t="n">
        <v>46298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46298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12.2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44792</v>
      </c>
      <c r="E297" s="1" t="n">
        <v>46298</v>
      </c>
      <c r="F297" t="inlineStr">
        <is>
          <t>VÄSTMANLANDS LÄN</t>
        </is>
      </c>
      <c r="G297" t="inlineStr">
        <is>
          <t>VÄSTERÅS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46298</v>
      </c>
      <c r="F298" t="inlineStr">
        <is>
          <t>VÄSTMANLANDS LÄN</t>
        </is>
      </c>
      <c r="G298" t="inlineStr">
        <is>
          <t>VÄSTERÅS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46298</v>
      </c>
      <c r="F299" t="inlineStr">
        <is>
          <t>VÄSTMANLANDS LÄN</t>
        </is>
      </c>
      <c r="G299" t="inlineStr">
        <is>
          <t>VÄSTERÅS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44708</v>
      </c>
      <c r="E300" s="1" t="n">
        <v>46298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44755</v>
      </c>
      <c r="E301" s="1" t="n">
        <v>46298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67353-2021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44523</v>
      </c>
      <c r="E302" s="1" t="n">
        <v>46298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Övriga Aktiebolag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46298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56980-2021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46298</v>
      </c>
      <c r="F304" t="inlineStr">
        <is>
          <t>VÄSTMANLANDS LÄN</t>
        </is>
      </c>
      <c r="G304" t="inlineStr">
        <is>
          <t>VÄSTERÅS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45705</v>
      </c>
      <c r="E305" s="1" t="n">
        <v>46298</v>
      </c>
      <c r="F305" t="inlineStr">
        <is>
          <t>VÄSTMANLANDS LÄN</t>
        </is>
      </c>
      <c r="G305" t="inlineStr">
        <is>
          <t>VÄSTERÅS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46287</v>
      </c>
      <c r="E306" s="1" t="n">
        <v>46298</v>
      </c>
      <c r="F306" t="inlineStr">
        <is>
          <t>VÄSTMANLANDS LÄN</t>
        </is>
      </c>
      <c r="G306" t="inlineStr">
        <is>
          <t>VÄSTERÅS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45713</v>
      </c>
      <c r="E307" s="1" t="n">
        <v>46298</v>
      </c>
      <c r="F307" t="inlineStr">
        <is>
          <t>VÄSTMANLANDS LÄN</t>
        </is>
      </c>
      <c r="G307" t="inlineStr">
        <is>
          <t>VÄSTERÅS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44658</v>
      </c>
      <c r="E308" s="1" t="n">
        <v>46298</v>
      </c>
      <c r="F308" t="inlineStr">
        <is>
          <t>VÄSTMANLANDS LÄN</t>
        </is>
      </c>
      <c r="G308" t="inlineStr">
        <is>
          <t>VÄSTERÅS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44903</v>
      </c>
      <c r="E309" s="1" t="n">
        <v>46298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64714-2023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46298</v>
      </c>
      <c r="F310" t="inlineStr">
        <is>
          <t>VÄSTMANLANDS LÄN</t>
        </is>
      </c>
      <c r="G310" t="inlineStr">
        <is>
          <t>VÄSTERÅS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8727-2023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44978</v>
      </c>
      <c r="E311" s="1" t="n">
        <v>46298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16214-2023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45028</v>
      </c>
      <c r="E312" s="1" t="n">
        <v>46298</v>
      </c>
      <c r="F312" t="inlineStr">
        <is>
          <t>VÄSTMANLANDS LÄN</t>
        </is>
      </c>
      <c r="G312" t="inlineStr">
        <is>
          <t>VÄSTERÅS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45398</v>
      </c>
      <c r="E313" s="1" t="n">
        <v>46298</v>
      </c>
      <c r="F313" t="inlineStr">
        <is>
          <t>VÄSTMANLANDS LÄN</t>
        </is>
      </c>
      <c r="G313" t="inlineStr">
        <is>
          <t>VÄSTERÅS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46298</v>
      </c>
      <c r="F314" t="inlineStr">
        <is>
          <t>VÄSTMANLANDS LÄN</t>
        </is>
      </c>
      <c r="G314" t="inlineStr">
        <is>
          <t>VÄSTERÅS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46298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46298</v>
      </c>
      <c r="F316" t="inlineStr">
        <is>
          <t>VÄSTMANLANDS LÄN</t>
        </is>
      </c>
      <c r="G316" t="inlineStr">
        <is>
          <t>VÄSTERÅS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70642-2021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44537</v>
      </c>
      <c r="E317" s="1" t="n">
        <v>46298</v>
      </c>
      <c r="F317" t="inlineStr">
        <is>
          <t>VÄSTMANLANDS LÄN</t>
        </is>
      </c>
      <c r="G317" t="inlineStr">
        <is>
          <t>VÄSTERÅS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23765-2022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46298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64793-2023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46298</v>
      </c>
      <c r="F319" t="inlineStr">
        <is>
          <t>VÄSTMANLANDS LÄN</t>
        </is>
      </c>
      <c r="G319" t="inlineStr">
        <is>
          <t>VÄSTERÅS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45296</v>
      </c>
      <c r="E320" s="1" t="n">
        <v>46298</v>
      </c>
      <c r="F320" t="inlineStr">
        <is>
          <t>VÄSTMANLANDS LÄN</t>
        </is>
      </c>
      <c r="G320" t="inlineStr">
        <is>
          <t>VÄSTERÅS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17808-2023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45037</v>
      </c>
      <c r="E321" s="1" t="n">
        <v>46298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45223</v>
      </c>
      <c r="E322" s="1" t="n">
        <v>46298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73597-2021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44552</v>
      </c>
      <c r="E323" s="1" t="n">
        <v>46298</v>
      </c>
      <c r="F323" t="inlineStr">
        <is>
          <t>VÄSTMANLANDS LÄN</t>
        </is>
      </c>
      <c r="G323" t="inlineStr">
        <is>
          <t>VÄSTERÅS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46298</v>
      </c>
      <c r="F324" t="inlineStr">
        <is>
          <t>VÄSTMANLANDS LÄN</t>
        </is>
      </c>
      <c r="G324" t="inlineStr">
        <is>
          <t>VÄSTERÅS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46298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14926-2022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44657</v>
      </c>
      <c r="E326" s="1" t="n">
        <v>46298</v>
      </c>
      <c r="F326" t="inlineStr">
        <is>
          <t>VÄSTMANLANDS LÄN</t>
        </is>
      </c>
      <c r="G326" t="inlineStr">
        <is>
          <t>VÄSTERÅS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46298</v>
      </c>
      <c r="F327" t="inlineStr">
        <is>
          <t>VÄSTMANLANDS LÄN</t>
        </is>
      </c>
      <c r="G327" t="inlineStr">
        <is>
          <t>VÄSTERÅS</t>
        </is>
      </c>
      <c r="I327" t="n">
        <v>15.4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46298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46298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46298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46298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46298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46298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46298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2026-10-03T01:58:47Z</dcterms:created>
  <dcterms:modified xmlns:dcterms="http://purl.org/dc/terms/" xmlns:xsi="http://www.w3.org/2001/XMLSchema-instance" xsi:type="dcterms:W3CDTF">2026-10-03T01:58:47Z</dcterms:modified>
</cp:coreProperties>
</file>