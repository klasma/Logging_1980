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46269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46269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46269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46269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46269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46269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46269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Vithornad barkskinnbagge
Xyletinus ater
Mindre märgborre
Fiskgjuse</t>
        </is>
      </c>
      <c r="W18">
        <f>HYPERLINK("https://klasma.github.io/Logging_1980/artfynd/A 47228-2022 artfynd.xlsx", "A 47228-2022")</f>
        <v/>
      </c>
      <c r="X18">
        <f>HYPERLINK("https://klasma.github.io/Logging_1980/kartor/A 47228-2022 karta.png", "A 47228-2022")</f>
        <v/>
      </c>
      <c r="Y18">
        <f>HYPERLINK("https://klasma.github.io/Logging_1980/kartor_geotiff/A 47228-2022 georefererad karta.tif", "A 47228-2022")</f>
        <v/>
      </c>
      <c r="AA18">
        <f>HYPERLINK("https://klasma.github.io/Logging_1980/klagomål/A 47228-2022 FSC-klagomål.docx", "A 47228-2022")</f>
        <v/>
      </c>
      <c r="AB18">
        <f>HYPERLINK("https://klasma.github.io/Logging_1980/klagomålsmail/A 47228-2022 FSC-klagomål mail.docx", "A 47228-2022")</f>
        <v/>
      </c>
      <c r="AC18">
        <f>HYPERLINK("https://klasma.github.io/Logging_1980/tillsyn/A 47228-2022 tillsynsbegäran.docx", "A 47228-2022")</f>
        <v/>
      </c>
      <c r="AD18">
        <f>HYPERLINK("https://klasma.github.io/Logging_1980/tillsynsmail/A 47228-2022 tillsynsbegäran mail.docx", "A 47228-2022")</f>
        <v/>
      </c>
      <c r="AE18">
        <f>HYPERLINK("https://klasma.github.io/Logging_1980/fåglar/A 47228-2022 prioriterade fågelarter.docx", "A 47228-2022")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46269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46269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46269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46269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46269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46269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46269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64735-2023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46269</v>
      </c>
      <c r="F26" t="inlineStr">
        <is>
          <t>VÄSTMANLANDS LÄN</t>
        </is>
      </c>
      <c r="G26" t="inlineStr">
        <is>
          <t>VÄSTERÅS</t>
        </is>
      </c>
      <c r="H26" t="inlineStr">
        <is>
          <t>Övriga Aktiebolag</t>
        </is>
      </c>
      <c r="I26" t="n">
        <v>12.5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1</v>
      </c>
      <c r="V26" s="2" t="inlineStr">
        <is>
          <t>Backsippa
Vårstarr
Gullviva</t>
        </is>
      </c>
      <c r="W26">
        <f>HYPERLINK("https://klasma.github.io/Logging_1980/artfynd/A 64735-2023 artfynd.xlsx", "A 64735-2023")</f>
        <v/>
      </c>
      <c r="X26">
        <f>HYPERLINK("https://klasma.github.io/Logging_1980/kartor/A 64735-2023 karta.png", "A 64735-2023")</f>
        <v/>
      </c>
      <c r="Y26">
        <f>HYPERLINK("https://klasma.github.io/Logging_1980/kartor_geotiff/A 64735-2023 georefererad karta.tif", "A 64735-2023")</f>
        <v/>
      </c>
      <c r="AA26">
        <f>HYPERLINK("https://klasma.github.io/Logging_1980/klagomål/A 64735-2023 FSC-klagomål.docx", "A 64735-2023")</f>
        <v/>
      </c>
      <c r="AB26">
        <f>HYPERLINK("https://klasma.github.io/Logging_1980/klagomålsmail/A 64735-2023 FSC-klagomål mail.docx", "A 64735-2023")</f>
        <v/>
      </c>
      <c r="AC26">
        <f>HYPERLINK("https://klasma.github.io/Logging_1980/tillsyn/A 64735-2023 tillsynsbegäran.docx", "A 64735-2023")</f>
        <v/>
      </c>
      <c r="AD26">
        <f>HYPERLINK("https://klasma.github.io/Logging_1980/tillsynsmail/A 64735-2023 tillsynsbegäran mail.docx", "A 64735-2023")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46269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46269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Källpraktmossa
Stubbspretmossa
Vanlig rörsvepemossa</t>
        </is>
      </c>
      <c r="W28">
        <f>HYPERLINK("https://klasma.github.io/Logging_1980/artfynd/A 64201-2023 artfynd.xlsx", "A 64201-2023")</f>
        <v/>
      </c>
      <c r="X28">
        <f>HYPERLINK("https://klasma.github.io/Logging_1980/kartor/A 64201-2023 karta.png", "A 64201-2023")</f>
        <v/>
      </c>
      <c r="Y28">
        <f>HYPERLINK("https://klasma.github.io/Logging_1980/kartor_geotiff/A 64201-2023 georefererad karta.tif", "A 64201-2023")</f>
        <v/>
      </c>
      <c r="AA28">
        <f>HYPERLINK("https://klasma.github.io/Logging_1980/klagomål/A 64201-2023 FSC-klagomål.docx", "A 64201-2023")</f>
        <v/>
      </c>
      <c r="AB28">
        <f>HYPERLINK("https://klasma.github.io/Logging_1980/klagomålsmail/A 64201-2023 FSC-klagomål mail.docx", "A 64201-2023")</f>
        <v/>
      </c>
      <c r="AC28">
        <f>HYPERLINK("https://klasma.github.io/Logging_1980/tillsyn/A 64201-2023 tillsynsbegäran.docx", "A 64201-2023")</f>
        <v/>
      </c>
      <c r="AD28">
        <f>HYPERLINK("https://klasma.github.io/Logging_1980/tillsynsmail/A 64201-2023 tillsynsbegäran mail.docx", "A 64201-2023")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46269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46269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46269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46269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46269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46269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59143-2025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46269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12.4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Fiskgjuse</t>
        </is>
      </c>
      <c r="W37">
        <f>HYPERLINK("https://klasma.github.io/Logging_1980/artfynd/A 59143-2025 artfynd.xlsx", "A 59143-2025")</f>
        <v/>
      </c>
      <c r="X37">
        <f>HYPERLINK("https://klasma.github.io/Logging_1980/kartor/A 59143-2025 karta.png", "A 59143-2025")</f>
        <v/>
      </c>
      <c r="Y37">
        <f>HYPERLINK("https://klasma.github.io/Logging_1980/kartor_geotiff/A 59143-2025 georefererad karta.tif", "A 59143-2025")</f>
        <v/>
      </c>
      <c r="AA37">
        <f>HYPERLINK("https://klasma.github.io/Logging_1980/klagomål/A 59143-2025 FSC-klagomål.docx", "A 59143-2025")</f>
        <v/>
      </c>
      <c r="AB37">
        <f>HYPERLINK("https://klasma.github.io/Logging_1980/klagomålsmail/A 59143-2025 FSC-klagomål mail.docx", "A 59143-2025")</f>
        <v/>
      </c>
      <c r="AC37">
        <f>HYPERLINK("https://klasma.github.io/Logging_1980/tillsyn/A 59143-2025 tillsynsbegäran.docx", "A 59143-2025")</f>
        <v/>
      </c>
      <c r="AD37">
        <f>HYPERLINK("https://klasma.github.io/Logging_1980/tillsynsmail/A 59143-2025 tillsynsbegäran mail.docx", "A 59143-2025")</f>
        <v/>
      </c>
      <c r="AE37">
        <f>HYPERLINK("https://klasma.github.io/Logging_1980/fåglar/A 59143-2025 prioriterade fågelarter.docx", "A 59143-2025")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46269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7534-2022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44607</v>
      </c>
      <c r="E40" s="1" t="n">
        <v>46269</v>
      </c>
      <c r="F40" t="inlineStr">
        <is>
          <t>VÄSTMANLANDS LÄN</t>
        </is>
      </c>
      <c r="G40" t="inlineStr">
        <is>
          <t>VÄSTERÅS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Kråka</t>
        </is>
      </c>
      <c r="W40">
        <f>HYPERLINK("https://klasma.github.io/Logging_1980/artfynd/A 7534-2022 artfynd.xlsx", "A 7534-2022")</f>
        <v/>
      </c>
      <c r="X40">
        <f>HYPERLINK("https://klasma.github.io/Logging_1980/kartor/A 7534-2022 karta.png", "A 7534-2022")</f>
        <v/>
      </c>
      <c r="Y40">
        <f>HYPERLINK("https://klasma.github.io/Logging_1980/kartor_geotiff/A 7534-2022 georefererad karta.tif", "A 7534-2022")</f>
        <v/>
      </c>
      <c r="AA40">
        <f>HYPERLINK("https://klasma.github.io/Logging_1980/klagomål/A 7534-2022 FSC-klagomål.docx", "A 7534-2022")</f>
        <v/>
      </c>
      <c r="AB40">
        <f>HYPERLINK("https://klasma.github.io/Logging_1980/klagomålsmail/A 7534-2022 FSC-klagomål mail.docx", "A 7534-2022")</f>
        <v/>
      </c>
      <c r="AC40">
        <f>HYPERLINK("https://klasma.github.io/Logging_1980/tillsyn/A 7534-2022 tillsynsbegäran.docx", "A 7534-2022")</f>
        <v/>
      </c>
      <c r="AD40">
        <f>HYPERLINK("https://klasma.github.io/Logging_1980/tillsynsmail/A 7534-2022 tillsynsbegäran mail.docx", "A 7534-2022")</f>
        <v/>
      </c>
    </row>
    <row r="41" ht="15" customHeight="1">
      <c r="A41" t="inlineStr">
        <is>
          <t>A 8362-2022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44610</v>
      </c>
      <c r="E41" s="1" t="n">
        <v>46269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3.7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Köpingfibbla</t>
        </is>
      </c>
      <c r="W41">
        <f>HYPERLINK("https://klasma.github.io/Logging_1980/artfynd/A 8362-2022 artfynd.xlsx", "A 8362-2022")</f>
        <v/>
      </c>
      <c r="X41">
        <f>HYPERLINK("https://klasma.github.io/Logging_1980/kartor/A 8362-2022 karta.png", "A 8362-2022")</f>
        <v/>
      </c>
      <c r="Y41">
        <f>HYPERLINK("https://klasma.github.io/Logging_1980/kartor_geotiff/A 8362-2022 georefererad karta.tif", "A 8362-2022")</f>
        <v/>
      </c>
      <c r="AA41">
        <f>HYPERLINK("https://klasma.github.io/Logging_1980/klagomål/A 8362-2022 FSC-klagomål.docx", "A 8362-2022")</f>
        <v/>
      </c>
      <c r="AB41">
        <f>HYPERLINK("https://klasma.github.io/Logging_1980/klagomålsmail/A 8362-2022 FSC-klagomål mail.docx", "A 8362-2022")</f>
        <v/>
      </c>
      <c r="AC41">
        <f>HYPERLINK("https://klasma.github.io/Logging_1980/tillsyn/A 8362-2022 tillsynsbegäran.docx", "A 8362-2022")</f>
        <v/>
      </c>
      <c r="AD41">
        <f>HYPERLINK("https://klasma.github.io/Logging_1980/tillsynsmail/A 8362-2022 tillsynsbegäran mail.docx", "A 8362-2022")</f>
        <v/>
      </c>
    </row>
    <row r="42" ht="15" customHeight="1">
      <c r="A42" t="inlineStr">
        <is>
          <t>A 30761-2022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46269</v>
      </c>
      <c r="F42" t="inlineStr">
        <is>
          <t>VÄSTMANLANDS LÄN</t>
        </is>
      </c>
      <c r="G42" t="inlineStr">
        <is>
          <t>VÄSTERÅS</t>
        </is>
      </c>
      <c r="I42" t="n">
        <v>5.2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HYPERLINK("https://klasma.github.io/Logging_1980/artfynd/A 30761-2022 artfynd.xlsx", "A 30761-2022")</f>
        <v/>
      </c>
      <c r="X42">
        <f>HYPERLINK("https://klasma.github.io/Logging_1980/kartor/A 30761-2022 karta.png", "A 30761-2022")</f>
        <v/>
      </c>
      <c r="Y42">
        <f>HYPERLINK("https://klasma.github.io/Logging_1980/kartor_geotiff/A 30761-2022 georefererad karta.tif", "A 30761-2022")</f>
        <v/>
      </c>
      <c r="AA42">
        <f>HYPERLINK("https://klasma.github.io/Logging_1980/klagomål/A 30761-2022 FSC-klagomål.docx", "A 30761-2022")</f>
        <v/>
      </c>
      <c r="AB42">
        <f>HYPERLINK("https://klasma.github.io/Logging_1980/klagomålsmail/A 30761-2022 FSC-klagomål mail.docx", "A 30761-2022")</f>
        <v/>
      </c>
      <c r="AC42">
        <f>HYPERLINK("https://klasma.github.io/Logging_1980/tillsyn/A 30761-2022 tillsynsbegäran.docx", "A 30761-2022")</f>
        <v/>
      </c>
      <c r="AD42">
        <f>HYPERLINK("https://klasma.github.io/Logging_1980/tillsynsmail/A 30761-2022 tillsynsbegäran mail.docx", "A 30761-2022")</f>
        <v/>
      </c>
      <c r="AE42">
        <f>HYPERLINK("https://klasma.github.io/Logging_1980/fåglar/A 30761-2022 prioriterade fågelarter.docx", "A 30761-2022")</f>
        <v/>
      </c>
    </row>
    <row r="43" ht="15" customHeight="1">
      <c r="A43" t="inlineStr">
        <is>
          <t>A 29787-2023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46269</v>
      </c>
      <c r="F43" t="inlineStr">
        <is>
          <t>VÄSTMANLANDS LÄN</t>
        </is>
      </c>
      <c r="G43" t="inlineStr">
        <is>
          <t>VÄSTERÅS</t>
        </is>
      </c>
      <c r="H43" t="inlineStr">
        <is>
          <t>Sveaskog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HYPERLINK("https://klasma.github.io/Logging_1980/artfynd/A 29787-2023 artfynd.xlsx", "A 29787-2023")</f>
        <v/>
      </c>
      <c r="X43">
        <f>HYPERLINK("https://klasma.github.io/Logging_1980/kartor/A 29787-2023 karta.png", "A 29787-2023")</f>
        <v/>
      </c>
      <c r="Y43">
        <f>HYPERLINK("https://klasma.github.io/Logging_1980/kartor_geotiff/A 29787-2023 georefererad karta.tif", "A 29787-2023")</f>
        <v/>
      </c>
      <c r="AA43">
        <f>HYPERLINK("https://klasma.github.io/Logging_1980/klagomål/A 29787-2023 FSC-klagomål.docx", "A 29787-2023")</f>
        <v/>
      </c>
      <c r="AB43">
        <f>HYPERLINK("https://klasma.github.io/Logging_1980/klagomålsmail/A 29787-2023 FSC-klagomål mail.docx", "A 29787-2023")</f>
        <v/>
      </c>
      <c r="AC43">
        <f>HYPERLINK("https://klasma.github.io/Logging_1980/tillsyn/A 29787-2023 tillsynsbegäran.docx", "A 29787-2023")</f>
        <v/>
      </c>
      <c r="AD43">
        <f>HYPERLINK("https://klasma.github.io/Logging_1980/tillsynsmail/A 29787-2023 tillsynsbegäran mail.docx", "A 29787-2023")</f>
        <v/>
      </c>
    </row>
    <row r="44" ht="15" customHeight="1">
      <c r="A44" t="inlineStr">
        <is>
          <t>A 61059-2024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46269</v>
      </c>
      <c r="F44" t="inlineStr">
        <is>
          <t>VÄSTMANLANDS LÄN</t>
        </is>
      </c>
      <c r="G44" t="inlineStr">
        <is>
          <t>VÄSTERÅS</t>
        </is>
      </c>
      <c r="I44" t="n">
        <v>4.7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Bandad skulderbock</t>
        </is>
      </c>
      <c r="W44">
        <f>HYPERLINK("https://klasma.github.io/Logging_1980/artfynd/A 61059-2024 artfynd.xlsx", "A 61059-2024")</f>
        <v/>
      </c>
      <c r="X44">
        <f>HYPERLINK("https://klasma.github.io/Logging_1980/kartor/A 61059-2024 karta.png", "A 61059-2024")</f>
        <v/>
      </c>
      <c r="Y44">
        <f>HYPERLINK("https://klasma.github.io/Logging_1980/kartor_geotiff/A 61059-2024 georefererad karta.tif", "A 61059-2024")</f>
        <v/>
      </c>
      <c r="AA44">
        <f>HYPERLINK("https://klasma.github.io/Logging_1980/klagomål/A 61059-2024 FSC-klagomål.docx", "A 61059-2024")</f>
        <v/>
      </c>
      <c r="AB44">
        <f>HYPERLINK("https://klasma.github.io/Logging_1980/klagomålsmail/A 61059-2024 FSC-klagomål mail.docx", "A 61059-2024")</f>
        <v/>
      </c>
      <c r="AC44">
        <f>HYPERLINK("https://klasma.github.io/Logging_1980/tillsyn/A 61059-2024 tillsynsbegäran.docx", "A 61059-2024")</f>
        <v/>
      </c>
      <c r="AD44">
        <f>HYPERLINK("https://klasma.github.io/Logging_1980/tillsynsmail/A 61059-2024 tillsynsbegäran mail.docx", "A 61059-2024")</f>
        <v/>
      </c>
    </row>
    <row r="45" ht="15" customHeight="1">
      <c r="A45" t="inlineStr">
        <is>
          <t>A 12950-2023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45001</v>
      </c>
      <c r="E45" s="1" t="n">
        <v>46269</v>
      </c>
      <c r="F45" t="inlineStr">
        <is>
          <t>VÄSTMANLANDS LÄN</t>
        </is>
      </c>
      <c r="G45" t="inlineStr">
        <is>
          <t>VÄSTERÅS</t>
        </is>
      </c>
      <c r="I45" t="n">
        <v>2.1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HYPERLINK("https://klasma.github.io/Logging_1980/artfynd/A 12950-2023 artfynd.xlsx", "A 12950-2023")</f>
        <v/>
      </c>
      <c r="X45">
        <f>HYPERLINK("https://klasma.github.io/Logging_1980/kartor/A 12950-2023 karta.png", "A 12950-2023")</f>
        <v/>
      </c>
      <c r="Y45">
        <f>HYPERLINK("https://klasma.github.io/Logging_1980/kartor_geotiff/A 12950-2023 georefererad karta.tif", "A 12950-2023")</f>
        <v/>
      </c>
      <c r="AA45">
        <f>HYPERLINK("https://klasma.github.io/Logging_1980/klagomål/A 12950-2023 FSC-klagomål.docx", "A 12950-2023")</f>
        <v/>
      </c>
      <c r="AB45">
        <f>HYPERLINK("https://klasma.github.io/Logging_1980/klagomålsmail/A 12950-2023 FSC-klagomål mail.docx", "A 12950-2023")</f>
        <v/>
      </c>
      <c r="AC45">
        <f>HYPERLINK("https://klasma.github.io/Logging_1980/tillsyn/A 12950-2023 tillsynsbegäran.docx", "A 12950-2023")</f>
        <v/>
      </c>
      <c r="AD45">
        <f>HYPERLINK("https://klasma.github.io/Logging_1980/tillsynsmail/A 12950-2023 tillsynsbegäran mail.docx", "A 12950-2023")</f>
        <v/>
      </c>
    </row>
    <row r="46" ht="15" customHeight="1">
      <c r="A46" t="inlineStr">
        <is>
          <t>A 12905-2022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44641</v>
      </c>
      <c r="E46" s="1" t="n">
        <v>46269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23.9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HYPERLINK("https://klasma.github.io/Logging_1980/artfynd/A 12905-2022 artfynd.xlsx", "A 12905-2022")</f>
        <v/>
      </c>
      <c r="X46">
        <f>HYPERLINK("https://klasma.github.io/Logging_1980/kartor/A 12905-2022 karta.png", "A 12905-2022")</f>
        <v/>
      </c>
      <c r="Y46">
        <f>HYPERLINK("https://klasma.github.io/Logging_1980/kartor_geotiff/A 12905-2022 georefererad karta.tif", "A 12905-2022")</f>
        <v/>
      </c>
      <c r="AA46">
        <f>HYPERLINK("https://klasma.github.io/Logging_1980/klagomål/A 12905-2022 FSC-klagomål.docx", "A 12905-2022")</f>
        <v/>
      </c>
      <c r="AB46">
        <f>HYPERLINK("https://klasma.github.io/Logging_1980/klagomålsmail/A 12905-2022 FSC-klagomål mail.docx", "A 12905-2022")</f>
        <v/>
      </c>
      <c r="AC46">
        <f>HYPERLINK("https://klasma.github.io/Logging_1980/tillsyn/A 12905-2022 tillsynsbegäran.docx", "A 12905-2022")</f>
        <v/>
      </c>
      <c r="AD46">
        <f>HYPERLINK("https://klasma.github.io/Logging_1980/tillsynsmail/A 12905-2022 tillsynsbegäran mail.docx", "A 12905-2022")</f>
        <v/>
      </c>
    </row>
    <row r="47" ht="15" customHeight="1">
      <c r="A47" t="inlineStr">
        <is>
          <t>A 26568-2022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46269</v>
      </c>
      <c r="F47" t="inlineStr">
        <is>
          <t>VÄSTMANLANDS LÄN</t>
        </is>
      </c>
      <c r="G47" t="inlineStr">
        <is>
          <t>VÄSTERÅS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Mistel</t>
        </is>
      </c>
      <c r="W47">
        <f>HYPERLINK("https://klasma.github.io/Logging_1980/artfynd/A 26568-2022 artfynd.xlsx", "A 26568-2022")</f>
        <v/>
      </c>
      <c r="X47">
        <f>HYPERLINK("https://klasma.github.io/Logging_1980/kartor/A 26568-2022 karta.png", "A 26568-2022")</f>
        <v/>
      </c>
      <c r="Y47">
        <f>HYPERLINK("https://klasma.github.io/Logging_1980/kartor_geotiff/A 26568-2022 georefererad karta.tif", "A 26568-2022")</f>
        <v/>
      </c>
      <c r="AA47">
        <f>HYPERLINK("https://klasma.github.io/Logging_1980/klagomål/A 26568-2022 FSC-klagomål.docx", "A 26568-2022")</f>
        <v/>
      </c>
      <c r="AB47">
        <f>HYPERLINK("https://klasma.github.io/Logging_1980/klagomålsmail/A 26568-2022 FSC-klagomål mail.docx", "A 26568-2022")</f>
        <v/>
      </c>
      <c r="AC47">
        <f>HYPERLINK("https://klasma.github.io/Logging_1980/tillsyn/A 26568-2022 tillsynsbegäran.docx", "A 26568-2022")</f>
        <v/>
      </c>
      <c r="AD47">
        <f>HYPERLINK("https://klasma.github.io/Logging_1980/tillsynsmail/A 26568-2022 tillsynsbegäran mail.docx", "A 26568-2022")</f>
        <v/>
      </c>
    </row>
    <row r="48" ht="15" customHeight="1">
      <c r="A48" t="inlineStr">
        <is>
          <t>A 51147-2023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46269</v>
      </c>
      <c r="F48" t="inlineStr">
        <is>
          <t>VÄSTMANLANDS LÄN</t>
        </is>
      </c>
      <c r="G48" t="inlineStr">
        <is>
          <t>VÄSTERÅS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Mindre märgborre</t>
        </is>
      </c>
      <c r="W48">
        <f>HYPERLINK("https://klasma.github.io/Logging_1980/artfynd/A 51147-2023 artfynd.xlsx", "A 51147-2023")</f>
        <v/>
      </c>
      <c r="X48">
        <f>HYPERLINK("https://klasma.github.io/Logging_1980/kartor/A 51147-2023 karta.png", "A 51147-2023")</f>
        <v/>
      </c>
      <c r="Y48">
        <f>HYPERLINK("https://klasma.github.io/Logging_1980/kartor_geotiff/A 51147-2023 georefererad karta.tif", "A 51147-2023")</f>
        <v/>
      </c>
      <c r="AA48">
        <f>HYPERLINK("https://klasma.github.io/Logging_1980/klagomål/A 51147-2023 FSC-klagomål.docx", "A 51147-2023")</f>
        <v/>
      </c>
      <c r="AB48">
        <f>HYPERLINK("https://klasma.github.io/Logging_1980/klagomålsmail/A 51147-2023 FSC-klagomål mail.docx", "A 51147-2023")</f>
        <v/>
      </c>
      <c r="AC48">
        <f>HYPERLINK("https://klasma.github.io/Logging_1980/tillsyn/A 51147-2023 tillsynsbegäran.docx", "A 51147-2023")</f>
        <v/>
      </c>
      <c r="AD48">
        <f>HYPERLINK("https://klasma.github.io/Logging_1980/tillsynsmail/A 51147-2023 tillsynsbegäran mail.docx", "A 51147-2023")</f>
        <v/>
      </c>
    </row>
    <row r="49" ht="15" customHeight="1">
      <c r="A49" t="inlineStr">
        <is>
          <t>A 58395-2022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46269</v>
      </c>
      <c r="F49" t="inlineStr">
        <is>
          <t>VÄSTMANLANDS LÄN</t>
        </is>
      </c>
      <c r="G49" t="inlineStr">
        <is>
          <t>VÄSTERÅS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Korskovall</t>
        </is>
      </c>
      <c r="W49">
        <f>HYPERLINK("https://klasma.github.io/Logging_1980/artfynd/A 58395-2022 artfynd.xlsx", "A 58395-2022")</f>
        <v/>
      </c>
      <c r="X49">
        <f>HYPERLINK("https://klasma.github.io/Logging_1980/kartor/A 58395-2022 karta.png", "A 58395-2022")</f>
        <v/>
      </c>
      <c r="Y49">
        <f>HYPERLINK("https://klasma.github.io/Logging_1980/kartor_geotiff/A 58395-2022 georefererad karta.tif", "A 58395-2022")</f>
        <v/>
      </c>
      <c r="AA49">
        <f>HYPERLINK("https://klasma.github.io/Logging_1980/klagomål/A 58395-2022 FSC-klagomål.docx", "A 58395-2022")</f>
        <v/>
      </c>
      <c r="AB49">
        <f>HYPERLINK("https://klasma.github.io/Logging_1980/klagomålsmail/A 58395-2022 FSC-klagomål mail.docx", "A 58395-2022")</f>
        <v/>
      </c>
      <c r="AC49">
        <f>HYPERLINK("https://klasma.github.io/Logging_1980/tillsyn/A 58395-2022 tillsynsbegäran.docx", "A 58395-2022")</f>
        <v/>
      </c>
      <c r="AD49">
        <f>HYPERLINK("https://klasma.github.io/Logging_1980/tillsynsmail/A 58395-2022 tillsynsbegäran mail.docx", "A 58395-2022")</f>
        <v/>
      </c>
    </row>
    <row r="50" ht="15" customHeight="1">
      <c r="A50" t="inlineStr">
        <is>
          <t>A 40886-2025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45897</v>
      </c>
      <c r="E50" s="1" t="n">
        <v>46269</v>
      </c>
      <c r="F50" t="inlineStr">
        <is>
          <t>VÄSTMANLANDS LÄN</t>
        </is>
      </c>
      <c r="G50" t="inlineStr">
        <is>
          <t>VÄSTERÅS</t>
        </is>
      </c>
      <c r="I50" t="n">
        <v>1.5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Grönpyrola</t>
        </is>
      </c>
      <c r="W50">
        <f>HYPERLINK("https://klasma.github.io/Logging_1980/artfynd/A 40886-2025 artfynd.xlsx", "A 40886-2025")</f>
        <v/>
      </c>
      <c r="X50">
        <f>HYPERLINK("https://klasma.github.io/Logging_1980/kartor/A 40886-2025 karta.png", "A 40886-2025")</f>
        <v/>
      </c>
      <c r="Y50">
        <f>HYPERLINK("https://klasma.github.io/Logging_1980/kartor_geotiff/A 40886-2025 georefererad karta.tif", "A 40886-2025")</f>
        <v/>
      </c>
      <c r="AA50">
        <f>HYPERLINK("https://klasma.github.io/Logging_1980/klagomål/A 40886-2025 FSC-klagomål.docx", "A 40886-2025")</f>
        <v/>
      </c>
      <c r="AB50">
        <f>HYPERLINK("https://klasma.github.io/Logging_1980/klagomålsmail/A 40886-2025 FSC-klagomål mail.docx", "A 40886-2025")</f>
        <v/>
      </c>
      <c r="AC50">
        <f>HYPERLINK("https://klasma.github.io/Logging_1980/tillsyn/A 40886-2025 tillsynsbegäran.docx", "A 40886-2025")</f>
        <v/>
      </c>
      <c r="AD50">
        <f>HYPERLINK("https://klasma.github.io/Logging_1980/tillsynsmail/A 40886-2025 tillsynsbegäran mail.docx", "A 40886-2025")</f>
        <v/>
      </c>
    </row>
    <row r="51" ht="15" customHeight="1">
      <c r="A51" t="inlineStr">
        <is>
          <t>A 59520-2024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46269</v>
      </c>
      <c r="F51" t="inlineStr">
        <is>
          <t>VÄSTMANLANDS LÄN</t>
        </is>
      </c>
      <c r="G51" t="inlineStr">
        <is>
          <t>VÄSTERÅS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Brunklöver</t>
        </is>
      </c>
      <c r="W51">
        <f>HYPERLINK("https://klasma.github.io/Logging_1980/artfynd/A 59520-2024 artfynd.xlsx", "A 59520-2024")</f>
        <v/>
      </c>
      <c r="X51">
        <f>HYPERLINK("https://klasma.github.io/Logging_1980/kartor/A 59520-2024 karta.png", "A 59520-2024")</f>
        <v/>
      </c>
      <c r="Y51">
        <f>HYPERLINK("https://klasma.github.io/Logging_1980/kartor_geotiff/A 59520-2024 georefererad karta.tif", "A 59520-2024")</f>
        <v/>
      </c>
      <c r="AA51">
        <f>HYPERLINK("https://klasma.github.io/Logging_1980/klagomål/A 59520-2024 FSC-klagomål.docx", "A 59520-2024")</f>
        <v/>
      </c>
      <c r="AB51">
        <f>HYPERLINK("https://klasma.github.io/Logging_1980/klagomålsmail/A 59520-2024 FSC-klagomål mail.docx", "A 59520-2024")</f>
        <v/>
      </c>
      <c r="AC51">
        <f>HYPERLINK("https://klasma.github.io/Logging_1980/tillsyn/A 59520-2024 tillsynsbegäran.docx", "A 59520-2024")</f>
        <v/>
      </c>
      <c r="AD51">
        <f>HYPERLINK("https://klasma.github.io/Logging_1980/tillsynsmail/A 59520-2024 tillsynsbegäran mail.docx", "A 59520-2024")</f>
        <v/>
      </c>
    </row>
    <row r="52" ht="15" customHeight="1">
      <c r="A52" t="inlineStr">
        <is>
          <t>A 1594-2023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46269</v>
      </c>
      <c r="F52" t="inlineStr">
        <is>
          <t>VÄSTMANLANDS LÄN</t>
        </is>
      </c>
      <c r="G52" t="inlineStr">
        <is>
          <t>VÄSTERÅS</t>
        </is>
      </c>
      <c r="I52" t="n">
        <v>10.9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Sparvuggla</t>
        </is>
      </c>
      <c r="W52">
        <f>HYPERLINK("https://klasma.github.io/Logging_1980/artfynd/A 1594-2023 artfynd.xlsx", "A 1594-2023")</f>
        <v/>
      </c>
      <c r="X52">
        <f>HYPERLINK("https://klasma.github.io/Logging_1980/kartor/A 1594-2023 karta.png", "A 1594-2023")</f>
        <v/>
      </c>
      <c r="Y52">
        <f>HYPERLINK("https://klasma.github.io/Logging_1980/kartor_geotiff/A 1594-2023 georefererad karta.tif", "A 1594-2023")</f>
        <v/>
      </c>
      <c r="AA52">
        <f>HYPERLINK("https://klasma.github.io/Logging_1980/klagomål/A 1594-2023 FSC-klagomål.docx", "A 1594-2023")</f>
        <v/>
      </c>
      <c r="AB52">
        <f>HYPERLINK("https://klasma.github.io/Logging_1980/klagomålsmail/A 1594-2023 FSC-klagomål mail.docx", "A 1594-2023")</f>
        <v/>
      </c>
      <c r="AC52">
        <f>HYPERLINK("https://klasma.github.io/Logging_1980/tillsyn/A 1594-2023 tillsynsbegäran.docx", "A 1594-2023")</f>
        <v/>
      </c>
      <c r="AD52">
        <f>HYPERLINK("https://klasma.github.io/Logging_1980/tillsynsmail/A 1594-2023 tillsynsbegäran mail.docx", "A 1594-2023")</f>
        <v/>
      </c>
      <c r="AE52">
        <f>HYPERLINK("https://klasma.github.io/Logging_1980/fåglar/A 1594-2023 prioriterade fågelarter.docx", "A 1594-2023")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46269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46269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22378-2026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46154</v>
      </c>
      <c r="E55" s="1" t="n">
        <v>46269</v>
      </c>
      <c r="F55" t="inlineStr">
        <is>
          <t>VÄSTMANLANDS LÄN</t>
        </is>
      </c>
      <c r="G55" t="inlineStr">
        <is>
          <t>VÄSTERÅS</t>
        </is>
      </c>
      <c r="I55" t="n">
        <v>5.6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Igelkott</t>
        </is>
      </c>
      <c r="W55">
        <f>HYPERLINK("https://klasma.github.io/Logging_1980/artfynd/A 22378-2026 artfynd.xlsx", "A 22378-2026")</f>
        <v/>
      </c>
      <c r="X55">
        <f>HYPERLINK("https://klasma.github.io/Logging_1980/kartor/A 22378-2026 karta.png", "A 22378-2026")</f>
        <v/>
      </c>
      <c r="Y55">
        <f>HYPERLINK("https://klasma.github.io/Logging_1980/kartor_geotiff/A 22378-2026 georefererad karta.tif", "A 22378-2026")</f>
        <v/>
      </c>
      <c r="AA55">
        <f>HYPERLINK("https://klasma.github.io/Logging_1980/klagomål/A 22378-2026 FSC-klagomål.docx", "A 22378-2026")</f>
        <v/>
      </c>
      <c r="AB55">
        <f>HYPERLINK("https://klasma.github.io/Logging_1980/klagomålsmail/A 22378-2026 FSC-klagomål mail.docx", "A 22378-2026")</f>
        <v/>
      </c>
      <c r="AC55">
        <f>HYPERLINK("https://klasma.github.io/Logging_1980/tillsyn/A 22378-2026 tillsynsbegäran.docx", "A 22378-2026")</f>
        <v/>
      </c>
      <c r="AD55">
        <f>HYPERLINK("https://klasma.github.io/Logging_1980/tillsynsmail/A 22378-2026 tillsynsbegäran mail.docx", "A 22378-2026")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46269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59140-2025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46269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3.6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HYPERLINK("https://klasma.github.io/Logging_1980/artfynd/A 59140-2025 artfynd.xlsx", "A 59140-2025")</f>
        <v/>
      </c>
      <c r="X57">
        <f>HYPERLINK("https://klasma.github.io/Logging_1980/kartor/A 59140-2025 karta.png", "A 59140-2025")</f>
        <v/>
      </c>
      <c r="Y57">
        <f>HYPERLINK("https://klasma.github.io/Logging_1980/kartor_geotiff/A 59140-2025 georefererad karta.tif", "A 59140-2025")</f>
        <v/>
      </c>
      <c r="AA57">
        <f>HYPERLINK("https://klasma.github.io/Logging_1980/klagomål/A 59140-2025 FSC-klagomål.docx", "A 59140-2025")</f>
        <v/>
      </c>
      <c r="AB57">
        <f>HYPERLINK("https://klasma.github.io/Logging_1980/klagomålsmail/A 59140-2025 FSC-klagomål mail.docx", "A 59140-2025")</f>
        <v/>
      </c>
      <c r="AC57">
        <f>HYPERLINK("https://klasma.github.io/Logging_1980/tillsyn/A 59140-2025 tillsynsbegäran.docx", "A 59140-2025")</f>
        <v/>
      </c>
      <c r="AD57">
        <f>HYPERLINK("https://klasma.github.io/Logging_1980/tillsynsmail/A 59140-2025 tillsynsbegäran mail.docx", "A 59140-2025")</f>
        <v/>
      </c>
      <c r="AE57">
        <f>HYPERLINK("https://klasma.github.io/Logging_1980/fåglar/A 59140-2025 prioriterade fågelarter.docx", "A 59140-2025")</f>
        <v/>
      </c>
    </row>
    <row r="58" ht="15" customHeight="1">
      <c r="A58" t="inlineStr">
        <is>
          <t>A 50193-2022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46269</v>
      </c>
      <c r="F58" t="inlineStr">
        <is>
          <t>VÄSTMANLANDS LÄN</t>
        </is>
      </c>
      <c r="G58" t="inlineStr">
        <is>
          <t>VÄSTERÅS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HYPERLINK("https://klasma.github.io/Logging_1980/artfynd/A 50193-2022 artfynd.xlsx", "A 50193-2022")</f>
        <v/>
      </c>
      <c r="X58">
        <f>HYPERLINK("https://klasma.github.io/Logging_1980/kartor/A 50193-2022 karta.png", "A 50193-2022")</f>
        <v/>
      </c>
      <c r="Y58">
        <f>HYPERLINK("https://klasma.github.io/Logging_1980/kartor_geotiff/A 50193-2022 georefererad karta.tif", "A 50193-2022")</f>
        <v/>
      </c>
      <c r="AA58">
        <f>HYPERLINK("https://klasma.github.io/Logging_1980/klagomål/A 50193-2022 FSC-klagomål.docx", "A 50193-2022")</f>
        <v/>
      </c>
      <c r="AB58">
        <f>HYPERLINK("https://klasma.github.io/Logging_1980/klagomålsmail/A 50193-2022 FSC-klagomål mail.docx", "A 50193-2022")</f>
        <v/>
      </c>
      <c r="AC58">
        <f>HYPERLINK("https://klasma.github.io/Logging_1980/tillsyn/A 50193-2022 tillsynsbegäran.docx", "A 50193-2022")</f>
        <v/>
      </c>
      <c r="AD58">
        <f>HYPERLINK("https://klasma.github.io/Logging_1980/tillsynsmail/A 50193-2022 tillsynsbegäran mail.docx", "A 50193-2022")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46269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46269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46269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46269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46269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46269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46269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46269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44733</v>
      </c>
      <c r="E67" s="1" t="n">
        <v>46269</v>
      </c>
      <c r="F67" t="inlineStr">
        <is>
          <t>VÄSTMANLANDS LÄN</t>
        </is>
      </c>
      <c r="G67" t="inlineStr">
        <is>
          <t>VÄSTERÅS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46269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46269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46269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46269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46269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46269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46269</v>
      </c>
      <c r="F74" t="inlineStr">
        <is>
          <t>VÄSTMANLANDS LÄN</t>
        </is>
      </c>
      <c r="G74" t="inlineStr">
        <is>
          <t>VÄSTERÅS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46269</v>
      </c>
      <c r="F75" t="inlineStr">
        <is>
          <t>VÄSTMANLANDS LÄN</t>
        </is>
      </c>
      <c r="G75" t="inlineStr">
        <is>
          <t>VÄSTERÅS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46269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46269</v>
      </c>
      <c r="F77" t="inlineStr">
        <is>
          <t>VÄSTMANLANDS LÄN</t>
        </is>
      </c>
      <c r="G77" t="inlineStr">
        <is>
          <t>VÄSTERÅS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46269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46269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46269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46269</v>
      </c>
      <c r="F81" t="inlineStr">
        <is>
          <t>VÄSTMANLANDS LÄN</t>
        </is>
      </c>
      <c r="G81" t="inlineStr">
        <is>
          <t>VÄSTERÅS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46269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46269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19336-2022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44692</v>
      </c>
      <c r="E84" s="1" t="n">
        <v>46269</v>
      </c>
      <c r="F84" t="inlineStr">
        <is>
          <t>VÄSTMANLANDS LÄN</t>
        </is>
      </c>
      <c r="G84" t="inlineStr">
        <is>
          <t>VÄSTERÅS</t>
        </is>
      </c>
      <c r="H84" t="inlineStr">
        <is>
          <t>Övriga Aktiebolag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46269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46269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46269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46269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46269</v>
      </c>
      <c r="F89" t="inlineStr">
        <is>
          <t>VÄSTMANLANDS LÄN</t>
        </is>
      </c>
      <c r="G89" t="inlineStr">
        <is>
          <t>VÄSTERÅS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46269</v>
      </c>
      <c r="F90" t="inlineStr">
        <is>
          <t>VÄSTMANLANDS LÄN</t>
        </is>
      </c>
      <c r="G90" t="inlineStr">
        <is>
          <t>VÄSTERÅS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17808-2023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45037</v>
      </c>
      <c r="E91" s="1" t="n">
        <v>46269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46269</v>
      </c>
      <c r="F92" t="inlineStr">
        <is>
          <t>VÄSTMANLANDS LÄN</t>
        </is>
      </c>
      <c r="G92" t="inlineStr">
        <is>
          <t>VÄSTERÅS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46269</v>
      </c>
      <c r="F93" t="inlineStr">
        <is>
          <t>VÄSTMANLANDS LÄN</t>
        </is>
      </c>
      <c r="G93" t="inlineStr">
        <is>
          <t>VÄSTERÅS</t>
        </is>
      </c>
      <c r="I93" t="n">
        <v>12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46269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67353-2021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46269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10499-2022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44623</v>
      </c>
      <c r="E96" s="1" t="n">
        <v>46269</v>
      </c>
      <c r="F96" t="inlineStr">
        <is>
          <t>VÄSTMANLANDS LÄN</t>
        </is>
      </c>
      <c r="G96" t="inlineStr">
        <is>
          <t>VÄSTERÅS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46269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18457-2023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45042</v>
      </c>
      <c r="E98" s="1" t="n">
        <v>46269</v>
      </c>
      <c r="F98" t="inlineStr">
        <is>
          <t>VÄSTMANLANDS LÄN</t>
        </is>
      </c>
      <c r="G98" t="inlineStr">
        <is>
          <t>VÄSTERÅS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12612-2023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46269</v>
      </c>
      <c r="F99" t="inlineStr">
        <is>
          <t>VÄSTMANLANDS LÄN</t>
        </is>
      </c>
      <c r="G99" t="inlineStr">
        <is>
          <t>VÄSTERÅS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8541-2023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46269</v>
      </c>
      <c r="F100" t="inlineStr">
        <is>
          <t>VÄSTMANLANDS LÄN</t>
        </is>
      </c>
      <c r="G100" t="inlineStr">
        <is>
          <t>VÄSTERÅS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41114-2022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44825</v>
      </c>
      <c r="E101" s="1" t="n">
        <v>46269</v>
      </c>
      <c r="F101" t="inlineStr">
        <is>
          <t>VÄSTMANLANDS LÄN</t>
        </is>
      </c>
      <c r="G101" t="inlineStr">
        <is>
          <t>VÄSTERÅS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22978-2022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44717</v>
      </c>
      <c r="E102" s="1" t="n">
        <v>46269</v>
      </c>
      <c r="F102" t="inlineStr">
        <is>
          <t>VÄSTMANLANDS LÄN</t>
        </is>
      </c>
      <c r="G102" t="inlineStr">
        <is>
          <t>VÄSTERÅS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46269</v>
      </c>
      <c r="F103" t="inlineStr">
        <is>
          <t>VÄSTMANLANDS LÄN</t>
        </is>
      </c>
      <c r="G103" t="inlineStr">
        <is>
          <t>VÄSTERÅS</t>
        </is>
      </c>
      <c r="I103" t="n">
        <v>9.6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46269</v>
      </c>
      <c r="F104" t="inlineStr">
        <is>
          <t>VÄSTMANLANDS LÄN</t>
        </is>
      </c>
      <c r="G104" t="inlineStr">
        <is>
          <t>VÄSTERÅS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45414</v>
      </c>
      <c r="E105" s="1" t="n">
        <v>46269</v>
      </c>
      <c r="F105" t="inlineStr">
        <is>
          <t>VÄSTMANLANDS LÄN</t>
        </is>
      </c>
      <c r="G105" t="inlineStr">
        <is>
          <t>VÄSTERÅS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63851-2021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44509</v>
      </c>
      <c r="E106" s="1" t="n">
        <v>46269</v>
      </c>
      <c r="F106" t="inlineStr">
        <is>
          <t>VÄSTMANLANDS LÄN</t>
        </is>
      </c>
      <c r="G106" t="inlineStr">
        <is>
          <t>VÄSTERÅS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46269</v>
      </c>
      <c r="F107" t="inlineStr">
        <is>
          <t>VÄSTMANLANDS LÄN</t>
        </is>
      </c>
      <c r="G107" t="inlineStr">
        <is>
          <t>VÄSTERÅS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11950-2022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46269</v>
      </c>
      <c r="F108" t="inlineStr">
        <is>
          <t>VÄSTMANLANDS LÄN</t>
        </is>
      </c>
      <c r="G108" t="inlineStr">
        <is>
          <t>VÄSTERÅS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23455-2024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45453</v>
      </c>
      <c r="E109" s="1" t="n">
        <v>46269</v>
      </c>
      <c r="F109" t="inlineStr">
        <is>
          <t>VÄSTMANLANDS LÄN</t>
        </is>
      </c>
      <c r="G109" t="inlineStr">
        <is>
          <t>VÄSTERÅS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46269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45506</v>
      </c>
      <c r="E111" s="1" t="n">
        <v>46269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Kommuner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24121-2024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46269</v>
      </c>
      <c r="F112" t="inlineStr">
        <is>
          <t>VÄSTMANLANDS LÄN</t>
        </is>
      </c>
      <c r="G112" t="inlineStr">
        <is>
          <t>VÄSTERÅS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46269</v>
      </c>
      <c r="F113" t="inlineStr">
        <is>
          <t>VÄSTMANLANDS LÄN</t>
        </is>
      </c>
      <c r="G113" t="inlineStr">
        <is>
          <t>VÄSTERÅS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46269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45296</v>
      </c>
      <c r="E115" s="1" t="n">
        <v>46269</v>
      </c>
      <c r="F115" t="inlineStr">
        <is>
          <t>VÄSTMANLANDS LÄN</t>
        </is>
      </c>
      <c r="G115" t="inlineStr">
        <is>
          <t>VÄSTERÅS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46269</v>
      </c>
      <c r="F116" t="inlineStr">
        <is>
          <t>VÄSTMANLANDS LÄN</t>
        </is>
      </c>
      <c r="G116" t="inlineStr">
        <is>
          <t>VÄSTERÅS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46269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46269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39127-2022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44816</v>
      </c>
      <c r="E119" s="1" t="n">
        <v>46269</v>
      </c>
      <c r="F119" t="inlineStr">
        <is>
          <t>VÄSTMANLANDS LÄN</t>
        </is>
      </c>
      <c r="G119" t="inlineStr">
        <is>
          <t>VÄSTERÅS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44986</v>
      </c>
      <c r="E120" s="1" t="n">
        <v>46269</v>
      </c>
      <c r="F120" t="inlineStr">
        <is>
          <t>VÄSTMANLANDS LÄN</t>
        </is>
      </c>
      <c r="G120" t="inlineStr">
        <is>
          <t>VÄSTERÅS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16035-2023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45027</v>
      </c>
      <c r="E121" s="1" t="n">
        <v>46269</v>
      </c>
      <c r="F121" t="inlineStr">
        <is>
          <t>VÄSTMANLANDS LÄN</t>
        </is>
      </c>
      <c r="G121" t="inlineStr">
        <is>
          <t>VÄSTERÅS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16037-2023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45027</v>
      </c>
      <c r="E122" s="1" t="n">
        <v>46269</v>
      </c>
      <c r="F122" t="inlineStr">
        <is>
          <t>VÄSTMANLANDS LÄN</t>
        </is>
      </c>
      <c r="G122" t="inlineStr">
        <is>
          <t>VÄSTERÅS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46269</v>
      </c>
      <c r="F123" t="inlineStr">
        <is>
          <t>VÄSTMANLANDS LÄN</t>
        </is>
      </c>
      <c r="G123" t="inlineStr">
        <is>
          <t>VÄSTERÅS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45235</v>
      </c>
      <c r="E124" s="1" t="n">
        <v>46269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Övriga Aktiebolag</t>
        </is>
      </c>
      <c r="I124" t="n">
        <v>37.8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46269</v>
      </c>
      <c r="F125" t="inlineStr">
        <is>
          <t>VÄSTMANLANDS LÄN</t>
        </is>
      </c>
      <c r="G125" t="inlineStr">
        <is>
          <t>VÄSTERÅS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12649-2023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44999</v>
      </c>
      <c r="E126" s="1" t="n">
        <v>46269</v>
      </c>
      <c r="F126" t="inlineStr">
        <is>
          <t>VÄSTMANLANDS LÄN</t>
        </is>
      </c>
      <c r="G126" t="inlineStr">
        <is>
          <t>VÄSTERÅS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46269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45603</v>
      </c>
      <c r="E128" s="1" t="n">
        <v>46269</v>
      </c>
      <c r="F128" t="inlineStr">
        <is>
          <t>VÄSTMANLANDS LÄN</t>
        </is>
      </c>
      <c r="G128" t="inlineStr">
        <is>
          <t>VÄSTERÅS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45083</v>
      </c>
      <c r="E129" s="1" t="n">
        <v>46269</v>
      </c>
      <c r="F129" t="inlineStr">
        <is>
          <t>VÄSTMANLANDS LÄN</t>
        </is>
      </c>
      <c r="G129" t="inlineStr">
        <is>
          <t>VÄSTERÅS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44482</v>
      </c>
      <c r="E130" s="1" t="n">
        <v>46269</v>
      </c>
      <c r="F130" t="inlineStr">
        <is>
          <t>VÄSTMANLANDS LÄN</t>
        </is>
      </c>
      <c r="G130" t="inlineStr">
        <is>
          <t>VÄSTERÅS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52015-2024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45607</v>
      </c>
      <c r="E131" s="1" t="n">
        <v>46269</v>
      </c>
      <c r="F131" t="inlineStr">
        <is>
          <t>VÄSTMANLANDS LÄN</t>
        </is>
      </c>
      <c r="G131" t="inlineStr">
        <is>
          <t>VÄSTERÅS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44582</v>
      </c>
      <c r="E132" s="1" t="n">
        <v>46269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44874</v>
      </c>
      <c r="E133" s="1" t="n">
        <v>46269</v>
      </c>
      <c r="F133" t="inlineStr">
        <is>
          <t>VÄSTMANLANDS LÄN</t>
        </is>
      </c>
      <c r="G133" t="inlineStr">
        <is>
          <t>VÄSTERÅS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46269</v>
      </c>
      <c r="F134" t="inlineStr">
        <is>
          <t>VÄSTMANLANDS LÄN</t>
        </is>
      </c>
      <c r="G134" t="inlineStr">
        <is>
          <t>VÄSTERÅS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45617</v>
      </c>
      <c r="E135" s="1" t="n">
        <v>46269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15355-2023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45019</v>
      </c>
      <c r="E136" s="1" t="n">
        <v>46269</v>
      </c>
      <c r="F136" t="inlineStr">
        <is>
          <t>VÄSTMANLANDS LÄN</t>
        </is>
      </c>
      <c r="G136" t="inlineStr">
        <is>
          <t>VÄSTERÅS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61069-2022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44908</v>
      </c>
      <c r="E137" s="1" t="n">
        <v>46269</v>
      </c>
      <c r="F137" t="inlineStr">
        <is>
          <t>VÄSTMANLANDS LÄN</t>
        </is>
      </c>
      <c r="G137" t="inlineStr">
        <is>
          <t>VÄSTERÅS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64208-2023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46269</v>
      </c>
      <c r="F138" t="inlineStr">
        <is>
          <t>VÄSTMANLANDS LÄN</t>
        </is>
      </c>
      <c r="G138" t="inlineStr">
        <is>
          <t>VÄSTERÅS</t>
        </is>
      </c>
      <c r="I138" t="n">
        <v>13.9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45705</v>
      </c>
      <c r="E139" s="1" t="n">
        <v>46269</v>
      </c>
      <c r="F139" t="inlineStr">
        <is>
          <t>VÄSTMANLANDS LÄN</t>
        </is>
      </c>
      <c r="G139" t="inlineStr">
        <is>
          <t>VÄSTERÅS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18482-2023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45042</v>
      </c>
      <c r="E140" s="1" t="n">
        <v>46269</v>
      </c>
      <c r="F140" t="inlineStr">
        <is>
          <t>VÄSTMANLANDS LÄN</t>
        </is>
      </c>
      <c r="G140" t="inlineStr">
        <is>
          <t>VÄSTERÅS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55676-2023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45232</v>
      </c>
      <c r="E141" s="1" t="n">
        <v>46269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Aktiebolag</t>
        </is>
      </c>
      <c r="I141" t="n">
        <v>37.9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21761-2022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44708</v>
      </c>
      <c r="E142" s="1" t="n">
        <v>46269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Sveaskog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46269</v>
      </c>
      <c r="F143" t="inlineStr">
        <is>
          <t>VÄSTMANLANDS LÄN</t>
        </is>
      </c>
      <c r="G143" t="inlineStr">
        <is>
          <t>VÄSTERÅS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45705</v>
      </c>
      <c r="E144" s="1" t="n">
        <v>46269</v>
      </c>
      <c r="F144" t="inlineStr">
        <is>
          <t>VÄSTMANLANDS LÄN</t>
        </is>
      </c>
      <c r="G144" t="inlineStr">
        <is>
          <t>VÄSTERÅS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44875</v>
      </c>
      <c r="E145" s="1" t="n">
        <v>46269</v>
      </c>
      <c r="F145" t="inlineStr">
        <is>
          <t>VÄSTMANLANDS LÄN</t>
        </is>
      </c>
      <c r="G145" t="inlineStr">
        <is>
          <t>VÄSTERÅS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70642-2021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44537</v>
      </c>
      <c r="E146" s="1" t="n">
        <v>46269</v>
      </c>
      <c r="F146" t="inlineStr">
        <is>
          <t>VÄSTMANLANDS LÄN</t>
        </is>
      </c>
      <c r="G146" t="inlineStr">
        <is>
          <t>VÄSTERÅS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44840</v>
      </c>
      <c r="E147" s="1" t="n">
        <v>46269</v>
      </c>
      <c r="F147" t="inlineStr">
        <is>
          <t>VÄSTMANLANDS LÄN</t>
        </is>
      </c>
      <c r="G147" t="inlineStr">
        <is>
          <t>VÄSTERÅS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46269</v>
      </c>
      <c r="F148" t="inlineStr">
        <is>
          <t>VÄSTMANLANDS LÄN</t>
        </is>
      </c>
      <c r="G148" t="inlineStr">
        <is>
          <t>VÄSTERÅS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32851-2024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45516</v>
      </c>
      <c r="E149" s="1" t="n">
        <v>46269</v>
      </c>
      <c r="F149" t="inlineStr">
        <is>
          <t>VÄSTMANLANDS LÄN</t>
        </is>
      </c>
      <c r="G149" t="inlineStr">
        <is>
          <t>VÄSTERÅS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57873-2022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44899</v>
      </c>
      <c r="E150" s="1" t="n">
        <v>46269</v>
      </c>
      <c r="F150" t="inlineStr">
        <is>
          <t>VÄSTMANLANDS LÄN</t>
        </is>
      </c>
      <c r="G150" t="inlineStr">
        <is>
          <t>VÄSTERÅS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45077</v>
      </c>
      <c r="E151" s="1" t="n">
        <v>46269</v>
      </c>
      <c r="F151" t="inlineStr">
        <is>
          <t>VÄSTMANLANDS LÄN</t>
        </is>
      </c>
      <c r="G151" t="inlineStr">
        <is>
          <t>VÄSTERÅS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53833-2022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44880</v>
      </c>
      <c r="E152" s="1" t="n">
        <v>46269</v>
      </c>
      <c r="F152" t="inlineStr">
        <is>
          <t>VÄSTMANLANDS LÄN</t>
        </is>
      </c>
      <c r="G152" t="inlineStr">
        <is>
          <t>VÄSTERÅS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53836-2022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44880</v>
      </c>
      <c r="E153" s="1" t="n">
        <v>46269</v>
      </c>
      <c r="F153" t="inlineStr">
        <is>
          <t>VÄSTMANLANDS LÄN</t>
        </is>
      </c>
      <c r="G153" t="inlineStr">
        <is>
          <t>VÄSTERÅS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46269</v>
      </c>
      <c r="F154" t="inlineStr">
        <is>
          <t>VÄSTMANLANDS LÄN</t>
        </is>
      </c>
      <c r="G154" t="inlineStr">
        <is>
          <t>VÄSTERÅS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46269</v>
      </c>
      <c r="F155" t="inlineStr">
        <is>
          <t>VÄSTMANLANDS LÄN</t>
        </is>
      </c>
      <c r="G155" t="inlineStr">
        <is>
          <t>VÄSTERÅS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10546-2024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45366</v>
      </c>
      <c r="E156" s="1" t="n">
        <v>46269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46269</v>
      </c>
      <c r="F157" t="inlineStr">
        <is>
          <t>VÄSTMANLANDS LÄN</t>
        </is>
      </c>
      <c r="G157" t="inlineStr">
        <is>
          <t>VÄSTERÅS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46269</v>
      </c>
      <c r="F158" t="inlineStr">
        <is>
          <t>VÄSTMANLANDS LÄN</t>
        </is>
      </c>
      <c r="G158" t="inlineStr">
        <is>
          <t>VÄSTERÅS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46269</v>
      </c>
      <c r="F159" t="inlineStr">
        <is>
          <t>VÄSTMANLANDS LÄN</t>
        </is>
      </c>
      <c r="G159" t="inlineStr">
        <is>
          <t>VÄSTERÅS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17725-2022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44680</v>
      </c>
      <c r="E160" s="1" t="n">
        <v>46269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44936</v>
      </c>
      <c r="E161" s="1" t="n">
        <v>46269</v>
      </c>
      <c r="F161" t="inlineStr">
        <is>
          <t>VÄSTMANLANDS LÄN</t>
        </is>
      </c>
      <c r="G161" t="inlineStr">
        <is>
          <t>VÄSTERÅS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56532-2022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44893</v>
      </c>
      <c r="E162" s="1" t="n">
        <v>46269</v>
      </c>
      <c r="F162" t="inlineStr">
        <is>
          <t>VÄSTMANLANDS LÄN</t>
        </is>
      </c>
      <c r="G162" t="inlineStr">
        <is>
          <t>VÄSTERÅS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52396-2022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46269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44636</v>
      </c>
      <c r="E164" s="1" t="n">
        <v>46269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Kommuner</t>
        </is>
      </c>
      <c r="I164" t="n">
        <v>12.9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44636</v>
      </c>
      <c r="E165" s="1" t="n">
        <v>46269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Kommuner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46269</v>
      </c>
      <c r="F166" t="inlineStr">
        <is>
          <t>VÄSTMANLANDS LÄN</t>
        </is>
      </c>
      <c r="G166" t="inlineStr">
        <is>
          <t>VÄSTERÅS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58085-2022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46269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46269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64207-2023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46269</v>
      </c>
      <c r="F169" t="inlineStr">
        <is>
          <t>VÄSTMANLANDS LÄN</t>
        </is>
      </c>
      <c r="G169" t="inlineStr">
        <is>
          <t>VÄSTERÅS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46269</v>
      </c>
      <c r="F170" t="inlineStr">
        <is>
          <t>VÄSTMANLANDS LÄN</t>
        </is>
      </c>
      <c r="G170" t="inlineStr">
        <is>
          <t>VÄSTERÅS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51572-2023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46269</v>
      </c>
      <c r="F171" t="inlineStr">
        <is>
          <t>VÄSTMANLANDS LÄN</t>
        </is>
      </c>
      <c r="G171" t="inlineStr">
        <is>
          <t>VÄSTERÅS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44743</v>
      </c>
      <c r="E172" s="1" t="n">
        <v>46269</v>
      </c>
      <c r="F172" t="inlineStr">
        <is>
          <t>VÄSTMANLANDS LÄN</t>
        </is>
      </c>
      <c r="G172" t="inlineStr">
        <is>
          <t>VÄSTERÅS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45153</v>
      </c>
      <c r="E173" s="1" t="n">
        <v>46269</v>
      </c>
      <c r="F173" t="inlineStr">
        <is>
          <t>VÄSTMANLANDS LÄN</t>
        </is>
      </c>
      <c r="G173" t="inlineStr">
        <is>
          <t>VÄSTERÅS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46269</v>
      </c>
      <c r="F174" t="inlineStr">
        <is>
          <t>VÄSTMANLANDS LÄN</t>
        </is>
      </c>
      <c r="G174" t="inlineStr">
        <is>
          <t>VÄSTERÅS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46269</v>
      </c>
      <c r="F175" t="inlineStr">
        <is>
          <t>VÄSTMANLANDS LÄN</t>
        </is>
      </c>
      <c r="G175" t="inlineStr">
        <is>
          <t>VÄSTERÅS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46269</v>
      </c>
      <c r="F176" t="inlineStr">
        <is>
          <t>VÄSTMANLANDS LÄN</t>
        </is>
      </c>
      <c r="G176" t="inlineStr">
        <is>
          <t>VÄSTERÅS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46269</v>
      </c>
      <c r="F177" t="inlineStr">
        <is>
          <t>VÄSTMANLANDS LÄN</t>
        </is>
      </c>
      <c r="G177" t="inlineStr">
        <is>
          <t>VÄSTERÅS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58231-2022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44901</v>
      </c>
      <c r="E178" s="1" t="n">
        <v>46269</v>
      </c>
      <c r="F178" t="inlineStr">
        <is>
          <t>VÄSTMANLANDS LÄN</t>
        </is>
      </c>
      <c r="G178" t="inlineStr">
        <is>
          <t>VÄSTERÅS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23765-2022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46269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44739</v>
      </c>
      <c r="E180" s="1" t="n">
        <v>46269</v>
      </c>
      <c r="F180" t="inlineStr">
        <is>
          <t>VÄSTMANLANDS LÄN</t>
        </is>
      </c>
      <c r="G180" t="inlineStr">
        <is>
          <t>VÄSTERÅS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46269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45282</v>
      </c>
      <c r="E182" s="1" t="n">
        <v>46269</v>
      </c>
      <c r="F182" t="inlineStr">
        <is>
          <t>VÄSTMANLANDS LÄN</t>
        </is>
      </c>
      <c r="G182" t="inlineStr">
        <is>
          <t>VÄSTERÅS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46269</v>
      </c>
      <c r="F183" t="inlineStr">
        <is>
          <t>VÄSTMANLANDS LÄN</t>
        </is>
      </c>
      <c r="G183" t="inlineStr">
        <is>
          <t>VÄSTERÅS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73601-2021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44552</v>
      </c>
      <c r="E184" s="1" t="n">
        <v>46269</v>
      </c>
      <c r="F184" t="inlineStr">
        <is>
          <t>VÄSTMANLANDS LÄN</t>
        </is>
      </c>
      <c r="G184" t="inlineStr">
        <is>
          <t>VÄSTERÅS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45119</v>
      </c>
      <c r="E185" s="1" t="n">
        <v>46269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46269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46269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45457</v>
      </c>
      <c r="E188" s="1" t="n">
        <v>46269</v>
      </c>
      <c r="F188" t="inlineStr">
        <is>
          <t>VÄSTMANLANDS LÄN</t>
        </is>
      </c>
      <c r="G188" t="inlineStr">
        <is>
          <t>VÄSTERÅS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38822-2025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46269</v>
      </c>
      <c r="F189" t="inlineStr">
        <is>
          <t>VÄSTMANLANDS LÄN</t>
        </is>
      </c>
      <c r="G189" t="inlineStr">
        <is>
          <t>VÄSTERÅS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35700-2024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46269</v>
      </c>
      <c r="F190" t="inlineStr">
        <is>
          <t>VÄSTMANLANDS LÄN</t>
        </is>
      </c>
      <c r="G190" t="inlineStr">
        <is>
          <t>VÄSTERÅS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49232-2024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45595</v>
      </c>
      <c r="E191" s="1" t="n">
        <v>46269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Övriga Aktiebolag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46269</v>
      </c>
      <c r="F192" t="inlineStr">
        <is>
          <t>VÄSTMANLANDS LÄN</t>
        </is>
      </c>
      <c r="G192" t="inlineStr">
        <is>
          <t>VÄSTERÅS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74314-2021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44559</v>
      </c>
      <c r="E193" s="1" t="n">
        <v>46269</v>
      </c>
      <c r="F193" t="inlineStr">
        <is>
          <t>VÄSTMANLANDS LÄN</t>
        </is>
      </c>
      <c r="G193" t="inlineStr">
        <is>
          <t>VÄSTERÅS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46135</v>
      </c>
      <c r="E194" s="1" t="n">
        <v>46269</v>
      </c>
      <c r="F194" t="inlineStr">
        <is>
          <t>VÄSTMANLANDS LÄN</t>
        </is>
      </c>
      <c r="G194" t="inlineStr">
        <is>
          <t>VÄSTERÅS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47101-2025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46269</v>
      </c>
      <c r="F195" t="inlineStr">
        <is>
          <t>VÄSTMANLANDS LÄN</t>
        </is>
      </c>
      <c r="G195" t="inlineStr">
        <is>
          <t>VÄSTERÅS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19927-2026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46269</v>
      </c>
      <c r="F196" t="inlineStr">
        <is>
          <t>VÄSTMANLANDS LÄN</t>
        </is>
      </c>
      <c r="G196" t="inlineStr">
        <is>
          <t>VÄSTERÅS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44595</v>
      </c>
      <c r="E197" s="1" t="n">
        <v>46269</v>
      </c>
      <c r="F197" t="inlineStr">
        <is>
          <t>VÄSTMANLANDS LÄN</t>
        </is>
      </c>
      <c r="G197" t="inlineStr">
        <is>
          <t>VÄSTERÅS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44847</v>
      </c>
      <c r="E198" s="1" t="n">
        <v>46269</v>
      </c>
      <c r="F198" t="inlineStr">
        <is>
          <t>VÄSTMANLANDS LÄN</t>
        </is>
      </c>
      <c r="G198" t="inlineStr">
        <is>
          <t>VÄSTERÅS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45218</v>
      </c>
      <c r="E199" s="1" t="n">
        <v>46269</v>
      </c>
      <c r="F199" t="inlineStr">
        <is>
          <t>VÄSTMANLANDS LÄN</t>
        </is>
      </c>
      <c r="G199" t="inlineStr">
        <is>
          <t>VÄSTERÅS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44637</v>
      </c>
      <c r="E200" s="1" t="n">
        <v>46269</v>
      </c>
      <c r="F200" t="inlineStr">
        <is>
          <t>VÄSTMANLANDS LÄN</t>
        </is>
      </c>
      <c r="G200" t="inlineStr">
        <is>
          <t>VÄSTERÅS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16214-2023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45028</v>
      </c>
      <c r="E201" s="1" t="n">
        <v>46269</v>
      </c>
      <c r="F201" t="inlineStr">
        <is>
          <t>VÄSTMANLANDS LÄN</t>
        </is>
      </c>
      <c r="G201" t="inlineStr">
        <is>
          <t>VÄSTERÅS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46269</v>
      </c>
      <c r="F202" t="inlineStr">
        <is>
          <t>VÄSTMANLANDS LÄN</t>
        </is>
      </c>
      <c r="G202" t="inlineStr">
        <is>
          <t>VÄSTERÅS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46269</v>
      </c>
      <c r="F203" t="inlineStr">
        <is>
          <t>VÄSTMANLANDS LÄN</t>
        </is>
      </c>
      <c r="G203" t="inlineStr">
        <is>
          <t>VÄSTERÅS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46269</v>
      </c>
      <c r="F204" t="inlineStr">
        <is>
          <t>VÄSTMANLANDS LÄN</t>
        </is>
      </c>
      <c r="G204" t="inlineStr">
        <is>
          <t>VÄSTERÅS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44978</v>
      </c>
      <c r="E205" s="1" t="n">
        <v>46269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44961</v>
      </c>
      <c r="E206" s="1" t="n">
        <v>46269</v>
      </c>
      <c r="F206" t="inlineStr">
        <is>
          <t>VÄSTMANLANDS LÄN</t>
        </is>
      </c>
      <c r="G206" t="inlineStr">
        <is>
          <t>VÄSTERÅS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41344-2023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45174</v>
      </c>
      <c r="E207" s="1" t="n">
        <v>46269</v>
      </c>
      <c r="F207" t="inlineStr">
        <is>
          <t>VÄSTMANLANDS LÄN</t>
        </is>
      </c>
      <c r="G207" t="inlineStr">
        <is>
          <t>VÄSTERÅS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46269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45125</v>
      </c>
      <c r="E209" s="1" t="n">
        <v>46269</v>
      </c>
      <c r="F209" t="inlineStr">
        <is>
          <t>VÄSTMANLANDS LÄN</t>
        </is>
      </c>
      <c r="G209" t="inlineStr">
        <is>
          <t>VÄSTERÅS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18465-2023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45042</v>
      </c>
      <c r="E210" s="1" t="n">
        <v>46269</v>
      </c>
      <c r="F210" t="inlineStr">
        <is>
          <t>VÄSTMANLANDS LÄN</t>
        </is>
      </c>
      <c r="G210" t="inlineStr">
        <is>
          <t>VÄSTERÅS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73994-2021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44556</v>
      </c>
      <c r="E211" s="1" t="n">
        <v>46269</v>
      </c>
      <c r="F211" t="inlineStr">
        <is>
          <t>VÄSTMANLANDS LÄN</t>
        </is>
      </c>
      <c r="G211" t="inlineStr">
        <is>
          <t>VÄSTERÅS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56902-2024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46269</v>
      </c>
      <c r="F212" t="inlineStr">
        <is>
          <t>VÄSTMANLANDS LÄN</t>
        </is>
      </c>
      <c r="G212" t="inlineStr">
        <is>
          <t>VÄSTERÅS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46269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Övriga statliga verk och myndigheter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73597-2021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44552</v>
      </c>
      <c r="E214" s="1" t="n">
        <v>46269</v>
      </c>
      <c r="F214" t="inlineStr">
        <is>
          <t>VÄSTMANLANDS LÄN</t>
        </is>
      </c>
      <c r="G214" t="inlineStr">
        <is>
          <t>VÄSTERÅS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13376-2022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46269</v>
      </c>
      <c r="F215" t="inlineStr">
        <is>
          <t>VÄSTMANLANDS LÄN</t>
        </is>
      </c>
      <c r="G215" t="inlineStr">
        <is>
          <t>VÄSTERÅS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31618-2024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45506</v>
      </c>
      <c r="E216" s="1" t="n">
        <v>46269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Kommuner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67350-2021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44523</v>
      </c>
      <c r="E217" s="1" t="n">
        <v>46269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Övriga Aktiebolag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67352-2021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44523</v>
      </c>
      <c r="E218" s="1" t="n">
        <v>46269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Övriga Aktiebolag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12131-2022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46269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44606</v>
      </c>
      <c r="E220" s="1" t="n">
        <v>46269</v>
      </c>
      <c r="F220" t="inlineStr">
        <is>
          <t>VÄSTMANLANDS LÄN</t>
        </is>
      </c>
      <c r="G220" t="inlineStr">
        <is>
          <t>VÄSTERÅS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46269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46269</v>
      </c>
      <c r="F222" t="inlineStr">
        <is>
          <t>VÄSTMANLANDS LÄN</t>
        </is>
      </c>
      <c r="G222" t="inlineStr">
        <is>
          <t>VÄSTERÅS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44623</v>
      </c>
      <c r="E223" s="1" t="n">
        <v>46269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15201-2022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44658</v>
      </c>
      <c r="E224" s="1" t="n">
        <v>46269</v>
      </c>
      <c r="F224" t="inlineStr">
        <is>
          <t>VÄSTMANLANDS LÄN</t>
        </is>
      </c>
      <c r="G224" t="inlineStr">
        <is>
          <t>VÄSTERÅS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46154</v>
      </c>
      <c r="E225" s="1" t="n">
        <v>46269</v>
      </c>
      <c r="F225" t="inlineStr">
        <is>
          <t>VÄSTMANLANDS LÄN</t>
        </is>
      </c>
      <c r="G225" t="inlineStr">
        <is>
          <t>VÄSTERÅS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46269</v>
      </c>
      <c r="F226" t="inlineStr">
        <is>
          <t>VÄSTMANLANDS LÄN</t>
        </is>
      </c>
      <c r="G226" t="inlineStr">
        <is>
          <t>VÄSTERÅS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46269</v>
      </c>
      <c r="F227" t="inlineStr">
        <is>
          <t>VÄSTMANLANDS LÄN</t>
        </is>
      </c>
      <c r="G227" t="inlineStr">
        <is>
          <t>VÄSTERÅS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51200-2025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45947</v>
      </c>
      <c r="E228" s="1" t="n">
        <v>46269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Övriga statliga verk och myndigheter</t>
        </is>
      </c>
      <c r="I228" t="n">
        <v>7.6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46269</v>
      </c>
      <c r="F229" t="inlineStr">
        <is>
          <t>VÄSTMANLANDS LÄN</t>
        </is>
      </c>
      <c r="G229" t="inlineStr">
        <is>
          <t>VÄSTERÅS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22370-2026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46269</v>
      </c>
      <c r="F230" t="inlineStr">
        <is>
          <t>VÄSTMANLANDS LÄN</t>
        </is>
      </c>
      <c r="G230" t="inlineStr">
        <is>
          <t>VÄSTERÅS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46269</v>
      </c>
      <c r="F231" t="inlineStr">
        <is>
          <t>VÄSTMANLANDS LÄN</t>
        </is>
      </c>
      <c r="G231" t="inlineStr">
        <is>
          <t>VÄSTERÅS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46269</v>
      </c>
      <c r="F232" t="inlineStr">
        <is>
          <t>VÄSTMANLANDS LÄN</t>
        </is>
      </c>
      <c r="G232" t="inlineStr">
        <is>
          <t>VÄSTERÅS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46269</v>
      </c>
      <c r="F233" t="inlineStr">
        <is>
          <t>VÄSTMANLANDS LÄN</t>
        </is>
      </c>
      <c r="G233" t="inlineStr">
        <is>
          <t>VÄSTERÅS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46269</v>
      </c>
      <c r="F234" t="inlineStr">
        <is>
          <t>VÄSTMANLANDS LÄN</t>
        </is>
      </c>
      <c r="G234" t="inlineStr">
        <is>
          <t>VÄSTERÅS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46269</v>
      </c>
      <c r="F235" t="inlineStr">
        <is>
          <t>VÄSTMANLANDS LÄN</t>
        </is>
      </c>
      <c r="G235" t="inlineStr">
        <is>
          <t>VÄSTERÅS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46269</v>
      </c>
      <c r="F236" t="inlineStr">
        <is>
          <t>VÄSTMANLANDS LÄN</t>
        </is>
      </c>
      <c r="G236" t="inlineStr">
        <is>
          <t>VÄSTERÅS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46269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46269</v>
      </c>
      <c r="F238" t="inlineStr">
        <is>
          <t>VÄSTMANLANDS LÄN</t>
        </is>
      </c>
      <c r="G238" t="inlineStr">
        <is>
          <t>VÄSTERÅS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24266-2026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46269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46269</v>
      </c>
      <c r="F240" t="inlineStr">
        <is>
          <t>VÄSTMANLANDS LÄN</t>
        </is>
      </c>
      <c r="G240" t="inlineStr">
        <is>
          <t>VÄSTERÅS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45979</v>
      </c>
      <c r="E241" s="1" t="n">
        <v>46269</v>
      </c>
      <c r="F241" t="inlineStr">
        <is>
          <t>VÄSTMANLANDS LÄN</t>
        </is>
      </c>
      <c r="G241" t="inlineStr">
        <is>
          <t>VÄSTERÅS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46169</v>
      </c>
      <c r="E242" s="1" t="n">
        <v>46269</v>
      </c>
      <c r="F242" t="inlineStr">
        <is>
          <t>VÄSTMANLANDS LÄN</t>
        </is>
      </c>
      <c r="G242" t="inlineStr">
        <is>
          <t>VÄSTERÅS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45979</v>
      </c>
      <c r="E243" s="1" t="n">
        <v>46269</v>
      </c>
      <c r="F243" t="inlineStr">
        <is>
          <t>VÄSTMANLANDS LÄN</t>
        </is>
      </c>
      <c r="G243" t="inlineStr">
        <is>
          <t>VÄSTERÅS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46269</v>
      </c>
      <c r="F244" t="inlineStr">
        <is>
          <t>VÄSTMANLANDS LÄN</t>
        </is>
      </c>
      <c r="G244" t="inlineStr">
        <is>
          <t>VÄSTERÅS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29746-2022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44755</v>
      </c>
      <c r="E245" s="1" t="n">
        <v>46269</v>
      </c>
      <c r="F245" t="inlineStr">
        <is>
          <t>VÄSTMANLANDS LÄN</t>
        </is>
      </c>
      <c r="G245" t="inlineStr">
        <is>
          <t>VÄSTERÅS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11137-2023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44987</v>
      </c>
      <c r="E246" s="1" t="n">
        <v>46269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46269</v>
      </c>
      <c r="F247" t="inlineStr">
        <is>
          <t>VÄSTMANLANDS LÄN</t>
        </is>
      </c>
      <c r="G247" t="inlineStr">
        <is>
          <t>VÄSTERÅS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46269</v>
      </c>
      <c r="F248" t="inlineStr">
        <is>
          <t>VÄSTMANLANDS LÄN</t>
        </is>
      </c>
      <c r="G248" t="inlineStr">
        <is>
          <t>VÄSTERÅS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44610</v>
      </c>
      <c r="E249" s="1" t="n">
        <v>46269</v>
      </c>
      <c r="F249" t="inlineStr">
        <is>
          <t>VÄSTMANLANDS LÄN</t>
        </is>
      </c>
      <c r="G249" t="inlineStr">
        <is>
          <t>VÄSTERÅS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45443</v>
      </c>
      <c r="E250" s="1" t="n">
        <v>46269</v>
      </c>
      <c r="F250" t="inlineStr">
        <is>
          <t>VÄSTMANLANDS LÄN</t>
        </is>
      </c>
      <c r="G250" t="inlineStr">
        <is>
          <t>VÄSTERÅS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59142-2025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45988</v>
      </c>
      <c r="E251" s="1" t="n">
        <v>46269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45072</v>
      </c>
      <c r="E252" s="1" t="n">
        <v>46269</v>
      </c>
      <c r="F252" t="inlineStr">
        <is>
          <t>VÄSTMANLANDS LÄN</t>
        </is>
      </c>
      <c r="G252" t="inlineStr">
        <is>
          <t>VÄSTERÅS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46269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Kyrkan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45579</v>
      </c>
      <c r="E254" s="1" t="n">
        <v>46269</v>
      </c>
      <c r="F254" t="inlineStr">
        <is>
          <t>VÄSTMANLANDS LÄN</t>
        </is>
      </c>
      <c r="G254" t="inlineStr">
        <is>
          <t>VÄSTERÅS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46269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Allmännings- och besparingsskogar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26751-2026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46269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44600</v>
      </c>
      <c r="E257" s="1" t="n">
        <v>46269</v>
      </c>
      <c r="F257" t="inlineStr">
        <is>
          <t>VÄSTMANLANDS LÄN</t>
        </is>
      </c>
      <c r="G257" t="inlineStr">
        <is>
          <t>VÄSTERÅS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46269</v>
      </c>
      <c r="F258" t="inlineStr">
        <is>
          <t>VÄSTMANLANDS LÄN</t>
        </is>
      </c>
      <c r="G258" t="inlineStr">
        <is>
          <t>VÄSTERÅS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46269</v>
      </c>
      <c r="F259" t="inlineStr">
        <is>
          <t>VÄSTMANLANDS LÄN</t>
        </is>
      </c>
      <c r="G259" t="inlineStr">
        <is>
          <t>VÄSTERÅS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46269</v>
      </c>
      <c r="F260" t="inlineStr">
        <is>
          <t>VÄSTMANLANDS LÄN</t>
        </is>
      </c>
      <c r="G260" t="inlineStr">
        <is>
          <t>VÄSTERÅS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51004-2024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46269</v>
      </c>
      <c r="F261" t="inlineStr">
        <is>
          <t>VÄSTMANLANDS LÄN</t>
        </is>
      </c>
      <c r="G261" t="inlineStr">
        <is>
          <t>VÄSTERÅS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46190</v>
      </c>
      <c r="E262" s="1" t="n">
        <v>46269</v>
      </c>
      <c r="F262" t="inlineStr">
        <is>
          <t>VÄSTMANLANDS LÄN</t>
        </is>
      </c>
      <c r="G262" t="inlineStr">
        <is>
          <t>VÄSTERÅS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61249-2021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44498</v>
      </c>
      <c r="E263" s="1" t="n">
        <v>46269</v>
      </c>
      <c r="F263" t="inlineStr">
        <is>
          <t>VÄSTMANLANDS LÄN</t>
        </is>
      </c>
      <c r="G263" t="inlineStr">
        <is>
          <t>VÄSTERÅS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46269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Allmännings- och besparingsskogar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46269</v>
      </c>
      <c r="F265" t="inlineStr">
        <is>
          <t>VÄSTMANLANDS LÄN</t>
        </is>
      </c>
      <c r="G265" t="inlineStr">
        <is>
          <t>VÄSTERÅS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8727-2023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44978</v>
      </c>
      <c r="E266" s="1" t="n">
        <v>46269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Kyrkan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28341-2026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46196</v>
      </c>
      <c r="E267" s="1" t="n">
        <v>46269</v>
      </c>
      <c r="F267" t="inlineStr">
        <is>
          <t>VÄSTMANLANDS LÄN</t>
        </is>
      </c>
      <c r="G267" t="inlineStr">
        <is>
          <t>VÄSTERÅS</t>
        </is>
      </c>
      <c r="I267" t="n">
        <v>14.1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46269</v>
      </c>
      <c r="F268" t="inlineStr">
        <is>
          <t>VÄSTMANLANDS LÄN</t>
        </is>
      </c>
      <c r="G268" t="inlineStr">
        <is>
          <t>VÄSTERÅS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7797-2026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46062</v>
      </c>
      <c r="E269" s="1" t="n">
        <v>46269</v>
      </c>
      <c r="F269" t="inlineStr">
        <is>
          <t>VÄSTMANLANDS LÄN</t>
        </is>
      </c>
      <c r="G269" t="inlineStr">
        <is>
          <t>VÄSTERÅS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46269</v>
      </c>
      <c r="F270" t="inlineStr">
        <is>
          <t>VÄSTMANLANDS LÄN</t>
        </is>
      </c>
      <c r="G270" t="inlineStr">
        <is>
          <t>VÄSTERÅS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46080</v>
      </c>
      <c r="E271" s="1" t="n">
        <v>46269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46269</v>
      </c>
      <c r="F272" t="inlineStr">
        <is>
          <t>VÄSTMANLANDS LÄN</t>
        </is>
      </c>
      <c r="G272" t="inlineStr">
        <is>
          <t>VÄSTERÅS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45251</v>
      </c>
      <c r="E273" s="1" t="n">
        <v>46269</v>
      </c>
      <c r="F273" t="inlineStr">
        <is>
          <t>VÄSTMANLANDS LÄN</t>
        </is>
      </c>
      <c r="G273" t="inlineStr">
        <is>
          <t>VÄSTERÅS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46269</v>
      </c>
      <c r="F274" t="inlineStr">
        <is>
          <t>VÄSTMANLANDS LÄN</t>
        </is>
      </c>
      <c r="G274" t="inlineStr">
        <is>
          <t>VÄSTERÅS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46079</v>
      </c>
      <c r="E275" s="1" t="n">
        <v>46269</v>
      </c>
      <c r="F275" t="inlineStr">
        <is>
          <t>VÄSTMANLANDS LÄN</t>
        </is>
      </c>
      <c r="G275" t="inlineStr">
        <is>
          <t>VÄSTERÅS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52027-2025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45952</v>
      </c>
      <c r="E276" s="1" t="n">
        <v>46269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Övriga statliga verk och myndigheter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46269</v>
      </c>
      <c r="F277" t="inlineStr">
        <is>
          <t>VÄSTMANLANDS LÄN</t>
        </is>
      </c>
      <c r="G277" t="inlineStr">
        <is>
          <t>VÄSTERÅS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46083</v>
      </c>
      <c r="E278" s="1" t="n">
        <v>46269</v>
      </c>
      <c r="F278" t="inlineStr">
        <is>
          <t>VÄSTMANLANDS LÄN</t>
        </is>
      </c>
      <c r="G278" t="inlineStr">
        <is>
          <t>VÄSTERÅS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10870-2026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46078</v>
      </c>
      <c r="E279" s="1" t="n">
        <v>46269</v>
      </c>
      <c r="F279" t="inlineStr">
        <is>
          <t>VÄSTMANLANDS LÄN</t>
        </is>
      </c>
      <c r="G279" t="inlineStr">
        <is>
          <t>VÄSTERÅS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44594</v>
      </c>
      <c r="E280" s="1" t="n">
        <v>46269</v>
      </c>
      <c r="F280" t="inlineStr">
        <is>
          <t>VÄSTMANLANDS LÄN</t>
        </is>
      </c>
      <c r="G280" t="inlineStr">
        <is>
          <t>VÄSTERÅS</t>
        </is>
      </c>
      <c r="I280" t="n">
        <v>20.3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46269</v>
      </c>
      <c r="F281" t="inlineStr">
        <is>
          <t>VÄSTMANLANDS LÄN</t>
        </is>
      </c>
      <c r="G281" t="inlineStr">
        <is>
          <t>VÄSTERÅS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15316-2022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44659</v>
      </c>
      <c r="E282" s="1" t="n">
        <v>46269</v>
      </c>
      <c r="F282" t="inlineStr">
        <is>
          <t>VÄSTMANLANDS LÄN</t>
        </is>
      </c>
      <c r="G282" t="inlineStr">
        <is>
          <t>VÄSTERÅS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64714-2023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46269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46215</v>
      </c>
      <c r="E284" s="1" t="n">
        <v>46269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46269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46213</v>
      </c>
      <c r="E286" s="1" t="n">
        <v>46269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46215</v>
      </c>
      <c r="E287" s="1" t="n">
        <v>46269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9.800000000000001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31054-2026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46215</v>
      </c>
      <c r="E288" s="1" t="n">
        <v>46269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44574</v>
      </c>
      <c r="E289" s="1" t="n">
        <v>46269</v>
      </c>
      <c r="F289" t="inlineStr">
        <is>
          <t>VÄSTMANLANDS LÄN</t>
        </is>
      </c>
      <c r="G289" t="inlineStr">
        <is>
          <t>VÄSTERÅS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46215</v>
      </c>
      <c r="E290" s="1" t="n">
        <v>46269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31057-2026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46215</v>
      </c>
      <c r="E291" s="1" t="n">
        <v>46269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46217</v>
      </c>
      <c r="E292" s="1" t="n">
        <v>46269</v>
      </c>
      <c r="F292" t="inlineStr">
        <is>
          <t>VÄSTMANLANDS LÄN</t>
        </is>
      </c>
      <c r="G292" t="inlineStr">
        <is>
          <t>VÄSTERÅS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50987-2024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45603</v>
      </c>
      <c r="E293" s="1" t="n">
        <v>46269</v>
      </c>
      <c r="F293" t="inlineStr">
        <is>
          <t>VÄSTMANLANDS LÄN</t>
        </is>
      </c>
      <c r="G293" t="inlineStr">
        <is>
          <t>VÄSTERÅS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46269</v>
      </c>
      <c r="F294" t="inlineStr">
        <is>
          <t>VÄSTMANLANDS LÄN</t>
        </is>
      </c>
      <c r="G294" t="inlineStr">
        <is>
          <t>VÄSTERÅS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46269</v>
      </c>
      <c r="F295" t="inlineStr">
        <is>
          <t>VÄSTMANLANDS LÄN</t>
        </is>
      </c>
      <c r="G295" t="inlineStr">
        <is>
          <t>VÄSTERÅS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46104</v>
      </c>
      <c r="E296" s="1" t="n">
        <v>46269</v>
      </c>
      <c r="F296" t="inlineStr">
        <is>
          <t>VÄSTMANLANDS LÄN</t>
        </is>
      </c>
      <c r="G296" t="inlineStr">
        <is>
          <t>VÄSTERÅS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55684-2023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45232</v>
      </c>
      <c r="E297" s="1" t="n">
        <v>46269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Övriga Aktiebolag</t>
        </is>
      </c>
      <c r="I297" t="n">
        <v>29.4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46269</v>
      </c>
      <c r="F298" t="inlineStr">
        <is>
          <t>VÄSTMANLANDS LÄN</t>
        </is>
      </c>
      <c r="G298" t="inlineStr">
        <is>
          <t>VÄSTERÅS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39810-2024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46269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Kyrkan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22287-2026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46154</v>
      </c>
      <c r="E300" s="1" t="n">
        <v>46269</v>
      </c>
      <c r="F300" t="inlineStr">
        <is>
          <t>VÄSTMANLANDS LÄN</t>
        </is>
      </c>
      <c r="G300" t="inlineStr">
        <is>
          <t>VÄSTERÅS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46112</v>
      </c>
      <c r="E301" s="1" t="n">
        <v>46269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16671-2026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46112</v>
      </c>
      <c r="E302" s="1" t="n">
        <v>46269</v>
      </c>
      <c r="F302" t="inlineStr">
        <is>
          <t>VÄSTMANLANDS LÄN</t>
        </is>
      </c>
      <c r="G302" t="inlineStr">
        <is>
          <t>VÄSTERÅS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16685-2026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46112</v>
      </c>
      <c r="E303" s="1" t="n">
        <v>46269</v>
      </c>
      <c r="F303" t="inlineStr">
        <is>
          <t>VÄSTMANLANDS LÄN</t>
        </is>
      </c>
      <c r="G303" t="inlineStr">
        <is>
          <t>VÄSTERÅS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46112</v>
      </c>
      <c r="E304" s="1" t="n">
        <v>46269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16583-2026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46269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46265</v>
      </c>
      <c r="E306" s="1" t="n">
        <v>46269</v>
      </c>
      <c r="F306" t="inlineStr">
        <is>
          <t>VÄSTMANLANDS LÄN</t>
        </is>
      </c>
      <c r="G306" t="inlineStr">
        <is>
          <t>VÄSTERÅS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17657-2026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46269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Kommuner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46269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Allmännings- och besparingsskogar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46269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45019</v>
      </c>
      <c r="E310" s="1" t="n">
        <v>46269</v>
      </c>
      <c r="F310" t="inlineStr">
        <is>
          <t>VÄSTMANLANDS LÄN</t>
        </is>
      </c>
      <c r="G310" t="inlineStr">
        <is>
          <t>VÄSTERÅS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18467-2023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45042</v>
      </c>
      <c r="E311" s="1" t="n">
        <v>46269</v>
      </c>
      <c r="F311" t="inlineStr">
        <is>
          <t>VÄSTMANLANDS LÄN</t>
        </is>
      </c>
      <c r="G311" t="inlineStr">
        <is>
          <t>VÄSTERÅS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45033</v>
      </c>
      <c r="E312" s="1" t="n">
        <v>46269</v>
      </c>
      <c r="F312" t="inlineStr">
        <is>
          <t>VÄSTMANLANDS LÄN</t>
        </is>
      </c>
      <c r="G312" t="inlineStr">
        <is>
          <t>VÄSTERÅS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10912-2024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45370</v>
      </c>
      <c r="E313" s="1" t="n">
        <v>46269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45019</v>
      </c>
      <c r="E314" s="1" t="n">
        <v>46269</v>
      </c>
      <c r="F314" t="inlineStr">
        <is>
          <t>VÄSTMANLANDS LÄN</t>
        </is>
      </c>
      <c r="G314" t="inlineStr">
        <is>
          <t>VÄSTERÅS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46269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45638</v>
      </c>
      <c r="E316" s="1" t="n">
        <v>46269</v>
      </c>
      <c r="F316" t="inlineStr">
        <is>
          <t>VÄSTMANLANDS LÄN</t>
        </is>
      </c>
      <c r="G316" t="inlineStr">
        <is>
          <t>VÄSTERÅS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46269</v>
      </c>
      <c r="F317" t="inlineStr">
        <is>
          <t>VÄSTMANLANDS LÄN</t>
        </is>
      </c>
      <c r="G317" t="inlineStr">
        <is>
          <t>VÄSTERÅS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46269</v>
      </c>
      <c r="F318" t="inlineStr">
        <is>
          <t>VÄSTMANLANDS LÄN</t>
        </is>
      </c>
      <c r="G318" t="inlineStr">
        <is>
          <t>VÄSTERÅS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45378</v>
      </c>
      <c r="E319" s="1" t="n">
        <v>46269</v>
      </c>
      <c r="F319" t="inlineStr">
        <is>
          <t>VÄSTMANLANDS LÄN</t>
        </is>
      </c>
      <c r="G319" t="inlineStr">
        <is>
          <t>VÄSTERÅS</t>
        </is>
      </c>
      <c r="I319" t="n">
        <v>15.4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951-2020</t>
        </is>
      </c>
      <c r="B320" t="inlineStr">
        <is>
          <t>samrådsanmälan</t>
        </is>
      </c>
      <c r="C320" t="inlineStr">
        <is>
          <t>Åtgärd i nyckelbiotop</t>
        </is>
      </c>
      <c r="D320" s="1" t="n">
        <v>43948</v>
      </c>
      <c r="E320" s="1" t="n">
        <v>46269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3639-2022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44740</v>
      </c>
      <c r="E321" s="1" t="n">
        <v>46269</v>
      </c>
      <c r="F321" t="inlineStr">
        <is>
          <t>VÄSTMANLANDS LÄN</t>
        </is>
      </c>
      <c r="G321" t="inlineStr">
        <is>
          <t>VÄSTERÅS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1415-2022</t>
        </is>
      </c>
      <c r="B322" t="inlineStr">
        <is>
          <t>samrådsanmälan</t>
        </is>
      </c>
      <c r="C322" t="inlineStr">
        <is>
          <t>Skogsbilväg</t>
        </is>
      </c>
      <c r="D322" s="1" t="n">
        <v>44634</v>
      </c>
      <c r="E322" s="1" t="n">
        <v>46269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Kyrkan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953-2023</t>
        </is>
      </c>
      <c r="B323" t="inlineStr">
        <is>
          <t>samrådsanmälan</t>
        </is>
      </c>
      <c r="C323" t="inlineStr">
        <is>
          <t>Annan skogsbruksåtgärd</t>
        </is>
      </c>
      <c r="D323" s="1" t="n">
        <v>45005</v>
      </c>
      <c r="E323" s="1" t="n">
        <v>46269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696-2026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46091</v>
      </c>
      <c r="E324" s="1" t="n">
        <v>46269</v>
      </c>
      <c r="F324" t="inlineStr">
        <is>
          <t>VÄSTMANLANDS LÄN</t>
        </is>
      </c>
      <c r="G324" t="inlineStr">
        <is>
          <t>VÄSTERÅS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949-2026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46113</v>
      </c>
      <c r="E325" s="1" t="n">
        <v>46269</v>
      </c>
      <c r="F325" t="inlineStr">
        <is>
          <t>VÄSTMANLANDS LÄN</t>
        </is>
      </c>
      <c r="G325" t="inlineStr">
        <is>
          <t>VÄSTERÅS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1468-2026</t>
        </is>
      </c>
      <c r="B326" t="inlineStr">
        <is>
          <t>samrådsanmälan</t>
        </is>
      </c>
      <c r="C326" t="inlineStr">
        <is>
          <t>Dikesrensning</t>
        </is>
      </c>
      <c r="D326" s="1" t="n">
        <v>46134</v>
      </c>
      <c r="E326" s="1" t="n">
        <v>46269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2026-09-04T02:03:56Z</dcterms:created>
  <dcterms:modified xmlns:dcterms="http://purl.org/dc/terms/" xmlns:xsi="http://www.w3.org/2001/XMLSchema-instance" xsi:type="dcterms:W3CDTF">2026-09-04T02:03:57Z</dcterms:modified>
</cp:coreProperties>
</file>