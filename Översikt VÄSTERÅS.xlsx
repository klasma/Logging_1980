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46303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46303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46303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46303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46303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46303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16581-2026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46303</v>
      </c>
      <c r="F23" t="inlineStr">
        <is>
          <t>VÄSTMANLANDS LÄN</t>
        </is>
      </c>
      <c r="G23" t="inlineStr">
        <is>
          <t>VÄSTERÅS</t>
        </is>
      </c>
      <c r="H23" t="inlineStr">
        <is>
          <t>Sveaskog</t>
        </is>
      </c>
      <c r="I23" t="n">
        <v>17.5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12</v>
      </c>
      <c r="U23" t="n">
        <v>7</v>
      </c>
      <c r="V23" s="2" t="inlineStr">
        <is>
          <t>Grönpyrola
Spillkråka
Tjäder
Revlummer</t>
        </is>
      </c>
      <c r="W23">
        <f>HYPERLINK("https://klasma.github.io/Logging_1980/artfynd/A 16581-2026 artfynd.xlsx", "A 16581-2026")</f>
        <v/>
      </c>
      <c r="X23">
        <f>HYPERLINK("https://klasma.github.io/Logging_1980/kartor/A 16581-2026 karta.png", "A 16581-2026")</f>
        <v/>
      </c>
      <c r="Y23">
        <f>HYPERLINK("https://klasma.github.io/Logging_1980/kartor_geotiff/A 16581-2026 georefererad karta.tif", "A 16581-2026")</f>
        <v/>
      </c>
      <c r="AA23">
        <f>HYPERLINK("https://klasma.github.io/Logging_1980/klagomål/A 16581-2026 FSC-klagomål.docx", "A 16581-2026")</f>
        <v/>
      </c>
      <c r="AB23">
        <f>HYPERLINK("https://klasma.github.io/Logging_1980/klagomålsmail/A 16581-2026 FSC-klagomål mail.docx", "A 16581-2026")</f>
        <v/>
      </c>
      <c r="AC23">
        <f>HYPERLINK("https://klasma.github.io/Logging_1980/tillsyn/A 16581-2026 tillsynsbegäran.docx", "A 16581-2026")</f>
        <v/>
      </c>
      <c r="AD23">
        <f>HYPERLINK("https://klasma.github.io/Logging_1980/tillsynsmail/A 16581-2026 tillsynsbegäran mail.docx", "A 16581-2026")</f>
        <v/>
      </c>
      <c r="AE23">
        <f>HYPERLINK("https://klasma.github.io/Logging_1980/fåglar/A 16581-2026 prioriterade fågelarter.docx", "A 16581-2026")</f>
        <v/>
      </c>
    </row>
    <row r="24" ht="15" customHeight="1">
      <c r="A24" t="inlineStr">
        <is>
          <t>A 16686-2026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46303</v>
      </c>
      <c r="F24" t="inlineStr">
        <is>
          <t>VÄSTMANLANDS LÄN</t>
        </is>
      </c>
      <c r="G24" t="inlineStr">
        <is>
          <t>VÄSTERÅS</t>
        </is>
      </c>
      <c r="I24" t="n">
        <v>2.1</v>
      </c>
      <c r="J24" t="n">
        <v>1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11</v>
      </c>
      <c r="U24" t="n">
        <v>0</v>
      </c>
      <c r="V24" s="2" t="inlineStr">
        <is>
          <t>Knärot
Motaggsvamp
Blomkålssvamp
Grönpyrola</t>
        </is>
      </c>
      <c r="W24">
        <f>HYPERLINK("https://klasma.github.io/Logging_1980/artfynd/A 16686-2026 artfynd.xlsx", "A 16686-2026")</f>
        <v/>
      </c>
      <c r="X24">
        <f>HYPERLINK("https://klasma.github.io/Logging_1980/kartor/A 16686-2026 karta.png", "A 16686-2026")</f>
        <v/>
      </c>
      <c r="Y24">
        <f>HYPERLINK("https://klasma.github.io/Logging_1980/kartor_geotiff/A 16686-2026 georefererad karta.tif", "A 16686-2026")</f>
        <v/>
      </c>
      <c r="Z24">
        <f>HYPERLINK("https://klasma.github.io/Logging_1980/knärot/A 16686-2026 karta knärot.png", "A 16686-2026")</f>
        <v/>
      </c>
      <c r="AA24">
        <f>HYPERLINK("https://klasma.github.io/Logging_1980/klagomål/A 16686-2026 FSC-klagomål.docx", "A 16686-2026")</f>
        <v/>
      </c>
      <c r="AB24">
        <f>HYPERLINK("https://klasma.github.io/Logging_1980/klagomålsmail/A 16686-2026 FSC-klagomål mail.docx", "A 16686-2026")</f>
        <v/>
      </c>
      <c r="AC24">
        <f>HYPERLINK("https://klasma.github.io/Logging_1980/tillsyn/A 16686-2026 tillsynsbegäran.docx", "A 16686-2026")</f>
        <v/>
      </c>
      <c r="AD24">
        <f>HYPERLINK("https://klasma.github.io/Logging_1980/tillsynsmail/A 16686-2026 tillsynsbegäran mail.docx", "A 16686-2026")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46303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46303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46303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46303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46303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46303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46303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46303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46303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46303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46303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46303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46303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46303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46303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46303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46303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46303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7534-2022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44607</v>
      </c>
      <c r="E43" s="1" t="n">
        <v>46303</v>
      </c>
      <c r="F43" t="inlineStr">
        <is>
          <t>VÄSTMANLANDS LÄN</t>
        </is>
      </c>
      <c r="G43" t="inlineStr">
        <is>
          <t>VÄSTERÅS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HYPERLINK("https://klasma.github.io/Logging_1980/artfynd/A 7534-2022 artfynd.xlsx", "A 7534-2022")</f>
        <v/>
      </c>
      <c r="X43">
        <f>HYPERLINK("https://klasma.github.io/Logging_1980/kartor/A 7534-2022 karta.png", "A 7534-2022")</f>
        <v/>
      </c>
      <c r="Y43">
        <f>HYPERLINK("https://klasma.github.io/Logging_1980/kartor_geotiff/A 7534-2022 georefererad karta.tif", "A 7534-2022")</f>
        <v/>
      </c>
      <c r="AA43">
        <f>HYPERLINK("https://klasma.github.io/Logging_1980/klagomål/A 7534-2022 FSC-klagomål.docx", "A 7534-2022")</f>
        <v/>
      </c>
      <c r="AB43">
        <f>HYPERLINK("https://klasma.github.io/Logging_1980/klagomålsmail/A 7534-2022 FSC-klagomål mail.docx", "A 7534-2022")</f>
        <v/>
      </c>
      <c r="AC43">
        <f>HYPERLINK("https://klasma.github.io/Logging_1980/tillsyn/A 7534-2022 tillsynsbegäran.docx", "A 7534-2022")</f>
        <v/>
      </c>
      <c r="AD43">
        <f>HYPERLINK("https://klasma.github.io/Logging_1980/tillsynsmail/A 7534-2022 tillsynsbegäran mail.docx", "A 7534-2022")</f>
        <v/>
      </c>
    </row>
    <row r="44" ht="15" customHeight="1">
      <c r="A44" t="inlineStr">
        <is>
          <t>A 12950-2023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45001</v>
      </c>
      <c r="E44" s="1" t="n">
        <v>46303</v>
      </c>
      <c r="F44" t="inlineStr">
        <is>
          <t>VÄSTMANLANDS LÄN</t>
        </is>
      </c>
      <c r="G44" t="inlineStr">
        <is>
          <t>VÄSTERÅS</t>
        </is>
      </c>
      <c r="I44" t="n">
        <v>2.1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HYPERLINK("https://klasma.github.io/Logging_1980/artfynd/A 12950-2023 artfynd.xlsx", "A 12950-2023")</f>
        <v/>
      </c>
      <c r="X44">
        <f>HYPERLINK("https://klasma.github.io/Logging_1980/kartor/A 12950-2023 karta.png", "A 12950-2023")</f>
        <v/>
      </c>
      <c r="Y44">
        <f>HYPERLINK("https://klasma.github.io/Logging_1980/kartor_geotiff/A 12950-2023 georefererad karta.tif", "A 12950-2023")</f>
        <v/>
      </c>
      <c r="AA44">
        <f>HYPERLINK("https://klasma.github.io/Logging_1980/klagomål/A 12950-2023 FSC-klagomål.docx", "A 12950-2023")</f>
        <v/>
      </c>
      <c r="AB44">
        <f>HYPERLINK("https://klasma.github.io/Logging_1980/klagomålsmail/A 12950-2023 FSC-klagomål mail.docx", "A 12950-2023")</f>
        <v/>
      </c>
      <c r="AC44">
        <f>HYPERLINK("https://klasma.github.io/Logging_1980/tillsyn/A 12950-2023 tillsynsbegäran.docx", "A 12950-2023")</f>
        <v/>
      </c>
      <c r="AD44">
        <f>HYPERLINK("https://klasma.github.io/Logging_1980/tillsynsmail/A 12950-2023 tillsynsbegäran mail.docx", "A 12950-2023")</f>
        <v/>
      </c>
    </row>
    <row r="45" ht="15" customHeight="1">
      <c r="A45" t="inlineStr">
        <is>
          <t>A 30761-2022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46303</v>
      </c>
      <c r="F45" t="inlineStr">
        <is>
          <t>VÄSTMANLANDS LÄN</t>
        </is>
      </c>
      <c r="G45" t="inlineStr">
        <is>
          <t>VÄSTERÅS</t>
        </is>
      </c>
      <c r="I45" t="n">
        <v>5.2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HYPERLINK("https://klasma.github.io/Logging_1980/artfynd/A 30761-2022 artfynd.xlsx", "A 30761-2022")</f>
        <v/>
      </c>
      <c r="X45">
        <f>HYPERLINK("https://klasma.github.io/Logging_1980/kartor/A 30761-2022 karta.png", "A 30761-2022")</f>
        <v/>
      </c>
      <c r="Y45">
        <f>HYPERLINK("https://klasma.github.io/Logging_1980/kartor_geotiff/A 30761-2022 georefererad karta.tif", "A 30761-2022")</f>
        <v/>
      </c>
      <c r="AA45">
        <f>HYPERLINK("https://klasma.github.io/Logging_1980/klagomål/A 30761-2022 FSC-klagomål.docx", "A 30761-2022")</f>
        <v/>
      </c>
      <c r="AB45">
        <f>HYPERLINK("https://klasma.github.io/Logging_1980/klagomålsmail/A 30761-2022 FSC-klagomål mail.docx", "A 30761-2022")</f>
        <v/>
      </c>
      <c r="AC45">
        <f>HYPERLINK("https://klasma.github.io/Logging_1980/tillsyn/A 30761-2022 tillsynsbegäran.docx", "A 30761-2022")</f>
        <v/>
      </c>
      <c r="AD45">
        <f>HYPERLINK("https://klasma.github.io/Logging_1980/tillsynsmail/A 30761-2022 tillsynsbegäran mail.docx", "A 30761-2022")</f>
        <v/>
      </c>
      <c r="AE45">
        <f>HYPERLINK("https://klasma.github.io/Logging_1980/fåglar/A 30761-2022 prioriterade fågelarter.docx", "A 30761-2022")</f>
        <v/>
      </c>
    </row>
    <row r="46" ht="15" customHeight="1">
      <c r="A46" t="inlineStr">
        <is>
          <t>A 61254-2023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45264</v>
      </c>
      <c r="E46" s="1" t="n">
        <v>46303</v>
      </c>
      <c r="F46" t="inlineStr">
        <is>
          <t>VÄSTMANLANDS LÄN</t>
        </is>
      </c>
      <c r="G46" t="inlineStr">
        <is>
          <t>VÄSTERÅS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Mistel</t>
        </is>
      </c>
      <c r="W46">
        <f>HYPERLINK("https://klasma.github.io/Logging_1980/artfynd/A 61254-2023 artfynd.xlsx", "A 61254-2023")</f>
        <v/>
      </c>
      <c r="X46">
        <f>HYPERLINK("https://klasma.github.io/Logging_1980/kartor/A 61254-2023 karta.png", "A 61254-2023")</f>
        <v/>
      </c>
      <c r="Y46">
        <f>HYPERLINK("https://klasma.github.io/Logging_1980/kartor_geotiff/A 61254-2023 georefererad karta.tif", "A 61254-2023")</f>
        <v/>
      </c>
      <c r="AA46">
        <f>HYPERLINK("https://klasma.github.io/Logging_1980/klagomål/A 61254-2023 FSC-klagomål.docx", "A 61254-2023")</f>
        <v/>
      </c>
      <c r="AB46">
        <f>HYPERLINK("https://klasma.github.io/Logging_1980/klagomålsmail/A 61254-2023 FSC-klagomål mail.docx", "A 61254-2023")</f>
        <v/>
      </c>
      <c r="AC46">
        <f>HYPERLINK("https://klasma.github.io/Logging_1980/tillsyn/A 61254-2023 tillsynsbegäran.docx", "A 61254-2023")</f>
        <v/>
      </c>
      <c r="AD46">
        <f>HYPERLINK("https://klasma.github.io/Logging_1980/tillsynsmail/A 61254-2023 tillsynsbegäran mail.docx", "A 61254-2023")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46303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58395-2022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46303</v>
      </c>
      <c r="F48" t="inlineStr">
        <is>
          <t>VÄSTMANLANDS LÄN</t>
        </is>
      </c>
      <c r="G48" t="inlineStr">
        <is>
          <t>VÄSTERÅS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Korskovall</t>
        </is>
      </c>
      <c r="W48">
        <f>HYPERLINK("https://klasma.github.io/Logging_1980/artfynd/A 58395-2022 artfynd.xlsx", "A 58395-2022")</f>
        <v/>
      </c>
      <c r="X48">
        <f>HYPERLINK("https://klasma.github.io/Logging_1980/kartor/A 58395-2022 karta.png", "A 58395-2022")</f>
        <v/>
      </c>
      <c r="Y48">
        <f>HYPERLINK("https://klasma.github.io/Logging_1980/kartor_geotiff/A 58395-2022 georefererad karta.tif", "A 58395-2022")</f>
        <v/>
      </c>
      <c r="AA48">
        <f>HYPERLINK("https://klasma.github.io/Logging_1980/klagomål/A 58395-2022 FSC-klagomål.docx", "A 58395-2022")</f>
        <v/>
      </c>
      <c r="AB48">
        <f>HYPERLINK("https://klasma.github.io/Logging_1980/klagomålsmail/A 58395-2022 FSC-klagomål mail.docx", "A 58395-2022")</f>
        <v/>
      </c>
      <c r="AC48">
        <f>HYPERLINK("https://klasma.github.io/Logging_1980/tillsyn/A 58395-2022 tillsynsbegäran.docx", "A 58395-2022")</f>
        <v/>
      </c>
      <c r="AD48">
        <f>HYPERLINK("https://klasma.github.io/Logging_1980/tillsynsmail/A 58395-2022 tillsynsbegäran mail.docx", "A 58395-2022")</f>
        <v/>
      </c>
    </row>
    <row r="49" ht="15" customHeight="1">
      <c r="A49" t="inlineStr">
        <is>
          <t>A 55676-2023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45232</v>
      </c>
      <c r="E49" s="1" t="n">
        <v>46303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37.9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Havsörn</t>
        </is>
      </c>
      <c r="W49">
        <f>HYPERLINK("https://klasma.github.io/Logging_1980/artfynd/A 55676-2023 artfynd.xlsx", "A 55676-2023")</f>
        <v/>
      </c>
      <c r="X49">
        <f>HYPERLINK("https://klasma.github.io/Logging_1980/kartor/A 55676-2023 karta.png", "A 55676-2023")</f>
        <v/>
      </c>
      <c r="Y49">
        <f>HYPERLINK("https://klasma.github.io/Logging_1980/kartor_geotiff/A 55676-2023 georefererad karta.tif", "A 55676-2023")</f>
        <v/>
      </c>
      <c r="AA49">
        <f>HYPERLINK("https://klasma.github.io/Logging_1980/klagomål/A 55676-2023 FSC-klagomål.docx", "A 55676-2023")</f>
        <v/>
      </c>
      <c r="AB49">
        <f>HYPERLINK("https://klasma.github.io/Logging_1980/klagomålsmail/A 55676-2023 FSC-klagomål mail.docx", "A 55676-2023")</f>
        <v/>
      </c>
      <c r="AC49">
        <f>HYPERLINK("https://klasma.github.io/Logging_1980/tillsyn/A 55676-2023 tillsynsbegäran.docx", "A 55676-2023")</f>
        <v/>
      </c>
      <c r="AD49">
        <f>HYPERLINK("https://klasma.github.io/Logging_1980/tillsynsmail/A 55676-2023 tillsynsbegäran mail.docx", "A 55676-2023")</f>
        <v/>
      </c>
      <c r="AE49">
        <f>HYPERLINK("https://klasma.github.io/Logging_1980/fåglar/A 55676-2023 prioriterade fågelarter.docx", "A 55676-2023")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46303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12905-2022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44641</v>
      </c>
      <c r="E51" s="1" t="n">
        <v>46303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23.9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HYPERLINK("https://klasma.github.io/Logging_1980/artfynd/A 12905-2022 artfynd.xlsx", "A 12905-2022")</f>
        <v/>
      </c>
      <c r="X51">
        <f>HYPERLINK("https://klasma.github.io/Logging_1980/kartor/A 12905-2022 karta.png", "A 12905-2022")</f>
        <v/>
      </c>
      <c r="Y51">
        <f>HYPERLINK("https://klasma.github.io/Logging_1980/kartor_geotiff/A 12905-2022 georefererad karta.tif", "A 12905-2022")</f>
        <v/>
      </c>
      <c r="AA51">
        <f>HYPERLINK("https://klasma.github.io/Logging_1980/klagomål/A 12905-2022 FSC-klagomål.docx", "A 12905-2022")</f>
        <v/>
      </c>
      <c r="AB51">
        <f>HYPERLINK("https://klasma.github.io/Logging_1980/klagomålsmail/A 12905-2022 FSC-klagomål mail.docx", "A 12905-2022")</f>
        <v/>
      </c>
      <c r="AC51">
        <f>HYPERLINK("https://klasma.github.io/Logging_1980/tillsyn/A 12905-2022 tillsynsbegäran.docx", "A 12905-2022")</f>
        <v/>
      </c>
      <c r="AD51">
        <f>HYPERLINK("https://klasma.github.io/Logging_1980/tillsynsmail/A 12905-2022 tillsynsbegäran mail.docx", "A 12905-2022")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46303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46189-2023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45196</v>
      </c>
      <c r="E53" s="1" t="n">
        <v>46303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HYPERLINK("https://klasma.github.io/Logging_1980/artfynd/A 46189-2023 artfynd.xlsx", "A 46189-2023")</f>
        <v/>
      </c>
      <c r="X53">
        <f>HYPERLINK("https://klasma.github.io/Logging_1980/kartor/A 46189-2023 karta.png", "A 46189-2023")</f>
        <v/>
      </c>
      <c r="Y53">
        <f>HYPERLINK("https://klasma.github.io/Logging_1980/kartor_geotiff/A 46189-2023 georefererad karta.tif", "A 46189-2023")</f>
        <v/>
      </c>
      <c r="AA53">
        <f>HYPERLINK("https://klasma.github.io/Logging_1980/klagomål/A 46189-2023 FSC-klagomål.docx", "A 46189-2023")</f>
        <v/>
      </c>
      <c r="AB53">
        <f>HYPERLINK("https://klasma.github.io/Logging_1980/klagomålsmail/A 46189-2023 FSC-klagomål mail.docx", "A 46189-2023")</f>
        <v/>
      </c>
      <c r="AC53">
        <f>HYPERLINK("https://klasma.github.io/Logging_1980/tillsyn/A 46189-2023 tillsynsbegäran.docx", "A 46189-2023")</f>
        <v/>
      </c>
      <c r="AD53">
        <f>HYPERLINK("https://klasma.github.io/Logging_1980/tillsynsmail/A 46189-2023 tillsynsbegäran mail.docx", "A 46189-2023")</f>
        <v/>
      </c>
    </row>
    <row r="54" ht="15" customHeight="1">
      <c r="A54" t="inlineStr">
        <is>
          <t>A 8362-2022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46303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Köpingfibbla</t>
        </is>
      </c>
      <c r="W54">
        <f>HYPERLINK("https://klasma.github.io/Logging_1980/artfynd/A 8362-2022 artfynd.xlsx", "A 8362-2022")</f>
        <v/>
      </c>
      <c r="X54">
        <f>HYPERLINK("https://klasma.github.io/Logging_1980/kartor/A 8362-2022 karta.png", "A 8362-2022")</f>
        <v/>
      </c>
      <c r="Y54">
        <f>HYPERLINK("https://klasma.github.io/Logging_1980/kartor_geotiff/A 8362-2022 georefererad karta.tif", "A 8362-2022")</f>
        <v/>
      </c>
      <c r="AA54">
        <f>HYPERLINK("https://klasma.github.io/Logging_1980/klagomål/A 8362-2022 FSC-klagomål.docx", "A 8362-2022")</f>
        <v/>
      </c>
      <c r="AB54">
        <f>HYPERLINK("https://klasma.github.io/Logging_1980/klagomålsmail/A 8362-2022 FSC-klagomål mail.docx", "A 8362-2022")</f>
        <v/>
      </c>
      <c r="AC54">
        <f>HYPERLINK("https://klasma.github.io/Logging_1980/tillsyn/A 8362-2022 tillsynsbegäran.docx", "A 8362-2022")</f>
        <v/>
      </c>
      <c r="AD54">
        <f>HYPERLINK("https://klasma.github.io/Logging_1980/tillsynsmail/A 8362-2022 tillsynsbegäran mail.docx", "A 8362-2022")</f>
        <v/>
      </c>
    </row>
    <row r="55" ht="15" customHeight="1">
      <c r="A55" t="inlineStr">
        <is>
          <t>A 1594-2023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46303</v>
      </c>
      <c r="F55" t="inlineStr">
        <is>
          <t>VÄSTMANLANDS LÄN</t>
        </is>
      </c>
      <c r="G55" t="inlineStr">
        <is>
          <t>VÄSTERÅS</t>
        </is>
      </c>
      <c r="I55" t="n">
        <v>10.9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HYPERLINK("https://klasma.github.io/Logging_1980/artfynd/A 1594-2023 artfynd.xlsx", "A 1594-2023")</f>
        <v/>
      </c>
      <c r="X55">
        <f>HYPERLINK("https://klasma.github.io/Logging_1980/kartor/A 1594-2023 karta.png", "A 1594-2023")</f>
        <v/>
      </c>
      <c r="Y55">
        <f>HYPERLINK("https://klasma.github.io/Logging_1980/kartor_geotiff/A 1594-2023 georefererad karta.tif", "A 1594-2023")</f>
        <v/>
      </c>
      <c r="AA55">
        <f>HYPERLINK("https://klasma.github.io/Logging_1980/klagomål/A 1594-2023 FSC-klagomål.docx", "A 1594-2023")</f>
        <v/>
      </c>
      <c r="AB55">
        <f>HYPERLINK("https://klasma.github.io/Logging_1980/klagomålsmail/A 1594-2023 FSC-klagomål mail.docx", "A 1594-2023")</f>
        <v/>
      </c>
      <c r="AC55">
        <f>HYPERLINK("https://klasma.github.io/Logging_1980/tillsyn/A 1594-2023 tillsynsbegäran.docx", "A 1594-2023")</f>
        <v/>
      </c>
      <c r="AD55">
        <f>HYPERLINK("https://klasma.github.io/Logging_1980/tillsynsmail/A 1594-2023 tillsynsbegäran mail.docx", "A 1594-2023")</f>
        <v/>
      </c>
      <c r="AE55">
        <f>HYPERLINK("https://klasma.github.io/Logging_1980/fåglar/A 1594-2023 prioriterade fågelarter.docx", "A 1594-2023")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46303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46303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46303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46303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26568-2022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46303</v>
      </c>
      <c r="F60" t="inlineStr">
        <is>
          <t>VÄSTMANLANDS LÄN</t>
        </is>
      </c>
      <c r="G60" t="inlineStr">
        <is>
          <t>VÄSTERÅS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HYPERLINK("https://klasma.github.io/Logging_1980/artfynd/A 26568-2022 artfynd.xlsx", "A 26568-2022")</f>
        <v/>
      </c>
      <c r="X60">
        <f>HYPERLINK("https://klasma.github.io/Logging_1980/kartor/A 26568-2022 karta.png", "A 26568-2022")</f>
        <v/>
      </c>
      <c r="Y60">
        <f>HYPERLINK("https://klasma.github.io/Logging_1980/kartor_geotiff/A 26568-2022 georefererad karta.tif", "A 26568-2022")</f>
        <v/>
      </c>
      <c r="AA60">
        <f>HYPERLINK("https://klasma.github.io/Logging_1980/klagomål/A 26568-2022 FSC-klagomål.docx", "A 26568-2022")</f>
        <v/>
      </c>
      <c r="AB60">
        <f>HYPERLINK("https://klasma.github.io/Logging_1980/klagomålsmail/A 26568-2022 FSC-klagomål mail.docx", "A 26568-2022")</f>
        <v/>
      </c>
      <c r="AC60">
        <f>HYPERLINK("https://klasma.github.io/Logging_1980/tillsyn/A 26568-2022 tillsynsbegäran.docx", "A 26568-2022")</f>
        <v/>
      </c>
      <c r="AD60">
        <f>HYPERLINK("https://klasma.github.io/Logging_1980/tillsynsmail/A 26568-2022 tillsynsbegäran mail.docx", "A 26568-2022")</f>
        <v/>
      </c>
    </row>
    <row r="61" ht="15" customHeight="1">
      <c r="A61" t="inlineStr">
        <is>
          <t>A 51147-2023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46303</v>
      </c>
      <c r="F61" t="inlineStr">
        <is>
          <t>VÄSTMANLANDS LÄN</t>
        </is>
      </c>
      <c r="G61" t="inlineStr">
        <is>
          <t>VÄSTERÅS</t>
        </is>
      </c>
      <c r="I61" t="n">
        <v>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Mindre märgborre</t>
        </is>
      </c>
      <c r="W61">
        <f>HYPERLINK("https://klasma.github.io/Logging_1980/artfynd/A 51147-2023 artfynd.xlsx", "A 51147-2023")</f>
        <v/>
      </c>
      <c r="X61">
        <f>HYPERLINK("https://klasma.github.io/Logging_1980/kartor/A 51147-2023 karta.png", "A 51147-2023")</f>
        <v/>
      </c>
      <c r="Y61">
        <f>HYPERLINK("https://klasma.github.io/Logging_1980/kartor_geotiff/A 51147-2023 georefererad karta.tif", "A 51147-2023")</f>
        <v/>
      </c>
      <c r="AA61">
        <f>HYPERLINK("https://klasma.github.io/Logging_1980/klagomål/A 51147-2023 FSC-klagomål.docx", "A 51147-2023")</f>
        <v/>
      </c>
      <c r="AB61">
        <f>HYPERLINK("https://klasma.github.io/Logging_1980/klagomålsmail/A 51147-2023 FSC-klagomål mail.docx", "A 51147-2023")</f>
        <v/>
      </c>
      <c r="AC61">
        <f>HYPERLINK("https://klasma.github.io/Logging_1980/tillsyn/A 51147-2023 tillsynsbegäran.docx", "A 51147-2023")</f>
        <v/>
      </c>
      <c r="AD61">
        <f>HYPERLINK("https://klasma.github.io/Logging_1980/tillsynsmail/A 51147-2023 tillsynsbegäran mail.docx", "A 51147-2023")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46303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46303</v>
      </c>
      <c r="F63" t="inlineStr">
        <is>
          <t>VÄSTMANLANDS LÄN</t>
        </is>
      </c>
      <c r="G63" t="inlineStr">
        <is>
          <t>VÄSTERÅS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Brunklöver</t>
        </is>
      </c>
      <c r="W63">
        <f>HYPERLINK("https://klasma.github.io/Logging_1980/artfynd/A 5363-2025 artfynd.xlsx", "A 5363-2025")</f>
        <v/>
      </c>
      <c r="X63">
        <f>HYPERLINK("https://klasma.github.io/Logging_1980/kartor/A 5363-2025 karta.png", "A 5363-2025")</f>
        <v/>
      </c>
      <c r="Y63">
        <f>HYPERLINK("https://klasma.github.io/Logging_1980/kartor_geotiff/A 5363-2025 georefererad karta.tif", "A 5363-2025")</f>
        <v/>
      </c>
      <c r="AA63">
        <f>HYPERLINK("https://klasma.github.io/Logging_1980/klagomål/A 5363-2025 FSC-klagomål.docx", "A 5363-2025")</f>
        <v/>
      </c>
      <c r="AB63">
        <f>HYPERLINK("https://klasma.github.io/Logging_1980/klagomålsmail/A 5363-2025 FSC-klagomål mail.docx", "A 5363-2025")</f>
        <v/>
      </c>
      <c r="AC63">
        <f>HYPERLINK("https://klasma.github.io/Logging_1980/tillsyn/A 5363-2025 tillsynsbegäran.docx", "A 5363-2025")</f>
        <v/>
      </c>
      <c r="AD63">
        <f>HYPERLINK("https://klasma.github.io/Logging_1980/tillsynsmail/A 5363-2025 tillsynsbegäran mail.docx", "A 5363-2025")</f>
        <v/>
      </c>
    </row>
    <row r="64" ht="15" customHeight="1">
      <c r="A64" t="inlineStr">
        <is>
          <t>A 31976-2026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46232</v>
      </c>
      <c r="E64" s="1" t="n">
        <v>46303</v>
      </c>
      <c r="F64" t="inlineStr">
        <is>
          <t>VÄSTMANLANDS LÄN</t>
        </is>
      </c>
      <c r="G64" t="inlineStr">
        <is>
          <t>VÄSTERÅS</t>
        </is>
      </c>
      <c r="H64" t="inlineStr">
        <is>
          <t>Övriga Aktiebolag</t>
        </is>
      </c>
      <c r="I64" t="n">
        <v>14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Rostfläck</t>
        </is>
      </c>
      <c r="W64">
        <f>HYPERLINK("https://klasma.github.io/Logging_1980/artfynd/A 31976-2026 artfynd.xlsx", "A 31976-2026")</f>
        <v/>
      </c>
      <c r="X64">
        <f>HYPERLINK("https://klasma.github.io/Logging_1980/kartor/A 31976-2026 karta.png", "A 31976-2026")</f>
        <v/>
      </c>
      <c r="Y64">
        <f>HYPERLINK("https://klasma.github.io/Logging_1980/kartor_geotiff/A 31976-2026 georefererad karta.tif", "A 31976-2026")</f>
        <v/>
      </c>
      <c r="AA64">
        <f>HYPERLINK("https://klasma.github.io/Logging_1980/klagomål/A 31976-2026 FSC-klagomål.docx", "A 31976-2026")</f>
        <v/>
      </c>
      <c r="AB64">
        <f>HYPERLINK("https://klasma.github.io/Logging_1980/klagomålsmail/A 31976-2026 FSC-klagomål mail.docx", "A 31976-2026")</f>
        <v/>
      </c>
      <c r="AC64">
        <f>HYPERLINK("https://klasma.github.io/Logging_1980/tillsyn/A 31976-2026 tillsynsbegäran.docx", "A 31976-2026")</f>
        <v/>
      </c>
      <c r="AD64">
        <f>HYPERLINK("https://klasma.github.io/Logging_1980/tillsynsmail/A 31976-2026 tillsynsbegäran mail.docx", "A 31976-2026")</f>
        <v/>
      </c>
    </row>
    <row r="65" ht="15" customHeight="1">
      <c r="A65" t="inlineStr">
        <is>
          <t>A 39915-2026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46303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HYPERLINK("https://klasma.github.io/Logging_1980/artfynd/A 39915-2026 artfynd.xlsx", "A 39915-2026")</f>
        <v/>
      </c>
      <c r="X65">
        <f>HYPERLINK("https://klasma.github.io/Logging_1980/kartor/A 39915-2026 karta.png", "A 39915-2026")</f>
        <v/>
      </c>
      <c r="Y65">
        <f>HYPERLINK("https://klasma.github.io/Logging_1980/kartor_geotiff/A 39915-2026 georefererad karta.tif", "A 39915-2026")</f>
        <v/>
      </c>
      <c r="AA65">
        <f>HYPERLINK("https://klasma.github.io/Logging_1980/klagomål/A 39915-2026 FSC-klagomål.docx", "A 39915-2026")</f>
        <v/>
      </c>
      <c r="AB65">
        <f>HYPERLINK("https://klasma.github.io/Logging_1980/klagomålsmail/A 39915-2026 FSC-klagomål mail.docx", "A 39915-2026")</f>
        <v/>
      </c>
      <c r="AC65">
        <f>HYPERLINK("https://klasma.github.io/Logging_1980/tillsyn/A 39915-2026 tillsynsbegäran.docx", "A 39915-2026")</f>
        <v/>
      </c>
      <c r="AD65">
        <f>HYPERLINK("https://klasma.github.io/Logging_1980/tillsynsmail/A 39915-2026 tillsynsbegäran mail.docx", "A 39915-2026")</f>
        <v/>
      </c>
    </row>
    <row r="66" ht="15" customHeight="1">
      <c r="A66" t="inlineStr">
        <is>
          <t>A 39919-2026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46303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HYPERLINK("https://klasma.github.io/Logging_1980/artfynd/A 39919-2026 artfynd.xlsx", "A 39919-2026")</f>
        <v/>
      </c>
      <c r="X66">
        <f>HYPERLINK("https://klasma.github.io/Logging_1980/kartor/A 39919-2026 karta.png", "A 39919-2026")</f>
        <v/>
      </c>
      <c r="Y66">
        <f>HYPERLINK("https://klasma.github.io/Logging_1980/kartor_geotiff/A 39919-2026 georefererad karta.tif", "A 39919-2026")</f>
        <v/>
      </c>
      <c r="AA66">
        <f>HYPERLINK("https://klasma.github.io/Logging_1980/klagomål/A 39919-2026 FSC-klagomål.docx", "A 39919-2026")</f>
        <v/>
      </c>
      <c r="AB66">
        <f>HYPERLINK("https://klasma.github.io/Logging_1980/klagomålsmail/A 39919-2026 FSC-klagomål mail.docx", "A 39919-2026")</f>
        <v/>
      </c>
      <c r="AC66">
        <f>HYPERLINK("https://klasma.github.io/Logging_1980/tillsyn/A 39919-2026 tillsynsbegäran.docx", "A 39919-2026")</f>
        <v/>
      </c>
      <c r="AD66">
        <f>HYPERLINK("https://klasma.github.io/Logging_1980/tillsynsmail/A 39919-2026 tillsynsbegäran mail.docx", "A 39919-2026")</f>
        <v/>
      </c>
      <c r="AE66">
        <f>HYPERLINK("https://klasma.github.io/Logging_1980/fåglar/A 39919-2026 prioriterade fågelarter.docx", "A 39919-2026")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46303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46303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46303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46303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46303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46303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46303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46303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46303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46303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46303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46303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46303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46303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46303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46303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46303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46303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46303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46303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46303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46303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46303</v>
      </c>
      <c r="F89" t="inlineStr">
        <is>
          <t>VÄSTMANLANDS LÄN</t>
        </is>
      </c>
      <c r="G89" t="inlineStr">
        <is>
          <t>VÄSTERÅS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46303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44761</v>
      </c>
      <c r="E91" s="1" t="n">
        <v>46303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46303</v>
      </c>
      <c r="F92" t="inlineStr">
        <is>
          <t>VÄSTMANLANDS LÄN</t>
        </is>
      </c>
      <c r="G92" t="inlineStr">
        <is>
          <t>VÄSTERÅS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44572</v>
      </c>
      <c r="E93" s="1" t="n">
        <v>46303</v>
      </c>
      <c r="F93" t="inlineStr">
        <is>
          <t>VÄSTMANLANDS LÄN</t>
        </is>
      </c>
      <c r="G93" t="inlineStr">
        <is>
          <t>VÄSTERÅS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46303</v>
      </c>
      <c r="F94" t="inlineStr">
        <is>
          <t>VÄSTMANLANDS LÄN</t>
        </is>
      </c>
      <c r="G94" t="inlineStr">
        <is>
          <t>VÄSTERÅS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46303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46303</v>
      </c>
      <c r="F96" t="inlineStr">
        <is>
          <t>VÄSTMANLANDS LÄN</t>
        </is>
      </c>
      <c r="G96" t="inlineStr">
        <is>
          <t>VÄSTERÅS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18457-2023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45042</v>
      </c>
      <c r="E97" s="1" t="n">
        <v>46303</v>
      </c>
      <c r="F97" t="inlineStr">
        <is>
          <t>VÄSTMANLANDS LÄN</t>
        </is>
      </c>
      <c r="G97" t="inlineStr">
        <is>
          <t>VÄSTERÅS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46303</v>
      </c>
      <c r="F98" t="inlineStr">
        <is>
          <t>VÄSTMANLANDS LÄN</t>
        </is>
      </c>
      <c r="G98" t="inlineStr">
        <is>
          <t>VÄSTERÅS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46303</v>
      </c>
      <c r="F99" t="inlineStr">
        <is>
          <t>VÄSTMANLANDS LÄN</t>
        </is>
      </c>
      <c r="G99" t="inlineStr">
        <is>
          <t>VÄSTERÅS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46303</v>
      </c>
      <c r="F100" t="inlineStr">
        <is>
          <t>VÄSTMANLANDS LÄN</t>
        </is>
      </c>
      <c r="G100" t="inlineStr">
        <is>
          <t>VÄSTERÅS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46303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45077</v>
      </c>
      <c r="E102" s="1" t="n">
        <v>46303</v>
      </c>
      <c r="F102" t="inlineStr">
        <is>
          <t>VÄSTMANLANDS LÄN</t>
        </is>
      </c>
      <c r="G102" t="inlineStr">
        <is>
          <t>VÄSTERÅS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46303</v>
      </c>
      <c r="F103" t="inlineStr">
        <is>
          <t>VÄSTMANLANDS LÄN</t>
        </is>
      </c>
      <c r="G103" t="inlineStr">
        <is>
          <t>VÄSTERÅS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45162</v>
      </c>
      <c r="E104" s="1" t="n">
        <v>46303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45414</v>
      </c>
      <c r="E105" s="1" t="n">
        <v>46303</v>
      </c>
      <c r="F105" t="inlineStr">
        <is>
          <t>VÄSTMANLANDS LÄN</t>
        </is>
      </c>
      <c r="G105" t="inlineStr">
        <is>
          <t>VÄSTERÅS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46303</v>
      </c>
      <c r="F106" t="inlineStr">
        <is>
          <t>VÄSTMANLANDS LÄN</t>
        </is>
      </c>
      <c r="G106" t="inlineStr">
        <is>
          <t>VÄSTERÅS</t>
        </is>
      </c>
      <c r="I106" t="n">
        <v>15.4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46303</v>
      </c>
      <c r="F107" t="inlineStr">
        <is>
          <t>VÄSTMANLANDS LÄN</t>
        </is>
      </c>
      <c r="G107" t="inlineStr">
        <is>
          <t>VÄSTERÅS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46303</v>
      </c>
      <c r="F108" t="inlineStr">
        <is>
          <t>VÄSTMANLANDS LÄN</t>
        </is>
      </c>
      <c r="G108" t="inlineStr">
        <is>
          <t>VÄSTERÅS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46303</v>
      </c>
      <c r="F109" t="inlineStr">
        <is>
          <t>VÄSTMANLANDS LÄN</t>
        </is>
      </c>
      <c r="G109" t="inlineStr">
        <is>
          <t>VÄSTERÅS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46303</v>
      </c>
      <c r="F110" t="inlineStr">
        <is>
          <t>VÄSTMANLANDS LÄN</t>
        </is>
      </c>
      <c r="G110" t="inlineStr">
        <is>
          <t>VÄSTERÅS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46303</v>
      </c>
      <c r="F111" t="inlineStr">
        <is>
          <t>VÄSTMANLANDS LÄN</t>
        </is>
      </c>
      <c r="G111" t="inlineStr">
        <is>
          <t>VÄSTERÅS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46303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46303</v>
      </c>
      <c r="F113" t="inlineStr">
        <is>
          <t>VÄSTMANLANDS LÄN</t>
        </is>
      </c>
      <c r="G113" t="inlineStr">
        <is>
          <t>VÄSTERÅS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45296</v>
      </c>
      <c r="E114" s="1" t="n">
        <v>46303</v>
      </c>
      <c r="F114" t="inlineStr">
        <is>
          <t>VÄSTMANLANDS LÄN</t>
        </is>
      </c>
      <c r="G114" t="inlineStr">
        <is>
          <t>VÄSTERÅS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45223</v>
      </c>
      <c r="E115" s="1" t="n">
        <v>46303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46303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46303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46303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46303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46303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39127-2022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44816</v>
      </c>
      <c r="E121" s="1" t="n">
        <v>46303</v>
      </c>
      <c r="F121" t="inlineStr">
        <is>
          <t>VÄSTMANLANDS LÄN</t>
        </is>
      </c>
      <c r="G121" t="inlineStr">
        <is>
          <t>VÄSTERÅS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46303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46303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46303</v>
      </c>
      <c r="F124" t="inlineStr">
        <is>
          <t>VÄSTMANLANDS LÄN</t>
        </is>
      </c>
      <c r="G124" t="inlineStr">
        <is>
          <t>VÄSTERÅS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46303</v>
      </c>
      <c r="F125" t="inlineStr">
        <is>
          <t>VÄSTMANLANDS LÄN</t>
        </is>
      </c>
      <c r="G125" t="inlineStr">
        <is>
          <t>VÄSTERÅS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46303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Kommuner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46303</v>
      </c>
      <c r="F127" t="inlineStr">
        <is>
          <t>VÄSTMANLANDS LÄN</t>
        </is>
      </c>
      <c r="G127" t="inlineStr">
        <is>
          <t>VÄSTERÅS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46303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46303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45083</v>
      </c>
      <c r="E130" s="1" t="n">
        <v>46303</v>
      </c>
      <c r="F130" t="inlineStr">
        <is>
          <t>VÄSTMANLANDS LÄN</t>
        </is>
      </c>
      <c r="G130" t="inlineStr">
        <is>
          <t>VÄSTERÅS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46303</v>
      </c>
      <c r="F131" t="inlineStr">
        <is>
          <t>VÄSTMANLANDS LÄN</t>
        </is>
      </c>
      <c r="G131" t="inlineStr">
        <is>
          <t>VÄSTERÅS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46303</v>
      </c>
      <c r="F132" t="inlineStr">
        <is>
          <t>VÄSTMANLANDS LÄN</t>
        </is>
      </c>
      <c r="G132" t="inlineStr">
        <is>
          <t>VÄSTERÅS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46303</v>
      </c>
      <c r="F133" t="inlineStr">
        <is>
          <t>VÄSTMANLANDS LÄN</t>
        </is>
      </c>
      <c r="G133" t="inlineStr">
        <is>
          <t>VÄSTERÅS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46303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46303</v>
      </c>
      <c r="F135" t="inlineStr">
        <is>
          <t>VÄSTMANLANDS LÄN</t>
        </is>
      </c>
      <c r="G135" t="inlineStr">
        <is>
          <t>VÄSTERÅS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46303</v>
      </c>
      <c r="F136" t="inlineStr">
        <is>
          <t>VÄSTMANLANDS LÄN</t>
        </is>
      </c>
      <c r="G136" t="inlineStr">
        <is>
          <t>VÄSTERÅS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44874</v>
      </c>
      <c r="E137" s="1" t="n">
        <v>46303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56076-2023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45235</v>
      </c>
      <c r="E138" s="1" t="n">
        <v>46303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Aktiebolag</t>
        </is>
      </c>
      <c r="I138" t="n">
        <v>37.8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45019</v>
      </c>
      <c r="E139" s="1" t="n">
        <v>46303</v>
      </c>
      <c r="F139" t="inlineStr">
        <is>
          <t>VÄSTMANLANDS LÄN</t>
        </is>
      </c>
      <c r="G139" t="inlineStr">
        <is>
          <t>VÄSTERÅS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44908</v>
      </c>
      <c r="E140" s="1" t="n">
        <v>46303</v>
      </c>
      <c r="F140" t="inlineStr">
        <is>
          <t>VÄSTMANLANDS LÄN</t>
        </is>
      </c>
      <c r="G140" t="inlineStr">
        <is>
          <t>VÄSTERÅS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46303</v>
      </c>
      <c r="F141" t="inlineStr">
        <is>
          <t>VÄSTMANLANDS LÄN</t>
        </is>
      </c>
      <c r="G141" t="inlineStr">
        <is>
          <t>VÄSTERÅS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73601-2021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46303</v>
      </c>
      <c r="F142" t="inlineStr">
        <is>
          <t>VÄSTMANLANDS LÄN</t>
        </is>
      </c>
      <c r="G142" t="inlineStr">
        <is>
          <t>VÄSTERÅS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46303</v>
      </c>
      <c r="F143" t="inlineStr">
        <is>
          <t>VÄSTMANLANDS LÄN</t>
        </is>
      </c>
      <c r="G143" t="inlineStr">
        <is>
          <t>VÄSTERÅS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46303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Sveaskog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46303</v>
      </c>
      <c r="F145" t="inlineStr">
        <is>
          <t>VÄSTMANLANDS LÄN</t>
        </is>
      </c>
      <c r="G145" t="inlineStr">
        <is>
          <t>VÄSTERÅS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45457</v>
      </c>
      <c r="E146" s="1" t="n">
        <v>46303</v>
      </c>
      <c r="F146" t="inlineStr">
        <is>
          <t>VÄSTMANLANDS LÄN</t>
        </is>
      </c>
      <c r="G146" t="inlineStr">
        <is>
          <t>VÄSTERÅS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18482-2023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45042</v>
      </c>
      <c r="E147" s="1" t="n">
        <v>46303</v>
      </c>
      <c r="F147" t="inlineStr">
        <is>
          <t>VÄSTMANLANDS LÄN</t>
        </is>
      </c>
      <c r="G147" t="inlineStr">
        <is>
          <t>VÄSTERÅS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46303</v>
      </c>
      <c r="F148" t="inlineStr">
        <is>
          <t>VÄSTMANLANDS LÄN</t>
        </is>
      </c>
      <c r="G148" t="inlineStr">
        <is>
          <t>VÄSTERÅS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46303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74314-2021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44559</v>
      </c>
      <c r="E150" s="1" t="n">
        <v>46303</v>
      </c>
      <c r="F150" t="inlineStr">
        <is>
          <t>VÄSTMANLANDS LÄN</t>
        </is>
      </c>
      <c r="G150" t="inlineStr">
        <is>
          <t>VÄSTERÅS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46303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44595</v>
      </c>
      <c r="E152" s="1" t="n">
        <v>46303</v>
      </c>
      <c r="F152" t="inlineStr">
        <is>
          <t>VÄSTMANLANDS LÄN</t>
        </is>
      </c>
      <c r="G152" t="inlineStr">
        <is>
          <t>VÄSTERÅS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46303</v>
      </c>
      <c r="F153" t="inlineStr">
        <is>
          <t>VÄSTMANLANDS LÄN</t>
        </is>
      </c>
      <c r="G153" t="inlineStr">
        <is>
          <t>VÄSTERÅS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70642-2021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44537</v>
      </c>
      <c r="E154" s="1" t="n">
        <v>46303</v>
      </c>
      <c r="F154" t="inlineStr">
        <is>
          <t>VÄSTMANLANDS LÄN</t>
        </is>
      </c>
      <c r="G154" t="inlineStr">
        <is>
          <t>VÄSTERÅS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46303</v>
      </c>
      <c r="F155" t="inlineStr">
        <is>
          <t>VÄSTMANLANDS LÄN</t>
        </is>
      </c>
      <c r="G155" t="inlineStr">
        <is>
          <t>VÄSTERÅS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46303</v>
      </c>
      <c r="F156" t="inlineStr">
        <is>
          <t>VÄSTMANLANDS LÄN</t>
        </is>
      </c>
      <c r="G156" t="inlineStr">
        <is>
          <t>VÄSTERÅS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44899</v>
      </c>
      <c r="E157" s="1" t="n">
        <v>46303</v>
      </c>
      <c r="F157" t="inlineStr">
        <is>
          <t>VÄSTMANLANDS LÄN</t>
        </is>
      </c>
      <c r="G157" t="inlineStr">
        <is>
          <t>VÄSTERÅS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44637</v>
      </c>
      <c r="E158" s="1" t="n">
        <v>46303</v>
      </c>
      <c r="F158" t="inlineStr">
        <is>
          <t>VÄSTMANLANDS LÄN</t>
        </is>
      </c>
      <c r="G158" t="inlineStr">
        <is>
          <t>VÄSTERÅS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16214-2023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45028</v>
      </c>
      <c r="E159" s="1" t="n">
        <v>46303</v>
      </c>
      <c r="F159" t="inlineStr">
        <is>
          <t>VÄSTMANLANDS LÄN</t>
        </is>
      </c>
      <c r="G159" t="inlineStr">
        <is>
          <t>VÄSTERÅS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46303</v>
      </c>
      <c r="F160" t="inlineStr">
        <is>
          <t>VÄSTMANLANDS LÄN</t>
        </is>
      </c>
      <c r="G160" t="inlineStr">
        <is>
          <t>VÄSTERÅS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45160</v>
      </c>
      <c r="E161" s="1" t="n">
        <v>46303</v>
      </c>
      <c r="F161" t="inlineStr">
        <is>
          <t>VÄSTMANLANDS LÄN</t>
        </is>
      </c>
      <c r="G161" t="inlineStr">
        <is>
          <t>VÄSTERÅS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46303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46303</v>
      </c>
      <c r="F163" t="inlineStr">
        <is>
          <t>VÄSTMANLANDS LÄN</t>
        </is>
      </c>
      <c r="G163" t="inlineStr">
        <is>
          <t>VÄSTERÅS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46303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46303</v>
      </c>
      <c r="F165" t="inlineStr">
        <is>
          <t>VÄSTMANLANDS LÄN</t>
        </is>
      </c>
      <c r="G165" t="inlineStr">
        <is>
          <t>VÄSTERÅS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46303</v>
      </c>
      <c r="F166" t="inlineStr">
        <is>
          <t>VÄSTMANLANDS LÄN</t>
        </is>
      </c>
      <c r="G166" t="inlineStr">
        <is>
          <t>VÄSTERÅS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46303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Övriga statliga verk och myndigheter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46303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46303</v>
      </c>
      <c r="F169" t="inlineStr">
        <is>
          <t>VÄSTMANLANDS LÄN</t>
        </is>
      </c>
      <c r="G169" t="inlineStr">
        <is>
          <t>VÄSTERÅS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45125</v>
      </c>
      <c r="E170" s="1" t="n">
        <v>46303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45042</v>
      </c>
      <c r="E171" s="1" t="n">
        <v>46303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46303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45516</v>
      </c>
      <c r="E173" s="1" t="n">
        <v>46303</v>
      </c>
      <c r="F173" t="inlineStr">
        <is>
          <t>VÄSTMANLANDS LÄN</t>
        </is>
      </c>
      <c r="G173" t="inlineStr">
        <is>
          <t>VÄSTERÅS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73994-2021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44556</v>
      </c>
      <c r="E174" s="1" t="n">
        <v>46303</v>
      </c>
      <c r="F174" t="inlineStr">
        <is>
          <t>VÄSTMANLANDS LÄN</t>
        </is>
      </c>
      <c r="G174" t="inlineStr">
        <is>
          <t>VÄSTERÅS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46303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Kommuner</t>
        </is>
      </c>
      <c r="I175" t="n">
        <v>12.9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44636</v>
      </c>
      <c r="E176" s="1" t="n">
        <v>46303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Kommuner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46303</v>
      </c>
      <c r="F177" t="inlineStr">
        <is>
          <t>VÄSTMANLANDS LÄN</t>
        </is>
      </c>
      <c r="G177" t="inlineStr">
        <is>
          <t>VÄSTERÅS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46303</v>
      </c>
      <c r="F178" t="inlineStr">
        <is>
          <t>VÄSTMANLANDS LÄN</t>
        </is>
      </c>
      <c r="G178" t="inlineStr">
        <is>
          <t>VÄSTERÅS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46303</v>
      </c>
      <c r="F179" t="inlineStr">
        <is>
          <t>VÄSTMANLANDS LÄN</t>
        </is>
      </c>
      <c r="G179" t="inlineStr">
        <is>
          <t>VÄSTERÅS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46303</v>
      </c>
      <c r="F180" t="inlineStr">
        <is>
          <t>VÄSTMANLANDS LÄN</t>
        </is>
      </c>
      <c r="G180" t="inlineStr">
        <is>
          <t>VÄSTERÅS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46303</v>
      </c>
      <c r="F181" t="inlineStr">
        <is>
          <t>VÄSTMANLANDS LÄN</t>
        </is>
      </c>
      <c r="G181" t="inlineStr">
        <is>
          <t>VÄSTERÅS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73597-2021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44552</v>
      </c>
      <c r="E182" s="1" t="n">
        <v>46303</v>
      </c>
      <c r="F182" t="inlineStr">
        <is>
          <t>VÄSTMANLANDS LÄN</t>
        </is>
      </c>
      <c r="G182" t="inlineStr">
        <is>
          <t>VÄSTERÅS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46303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45506</v>
      </c>
      <c r="E184" s="1" t="n">
        <v>46303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Kommuner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67350-2021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44523</v>
      </c>
      <c r="E185" s="1" t="n">
        <v>46303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Övriga Aktiebolag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46303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46303</v>
      </c>
      <c r="F187" t="inlineStr">
        <is>
          <t>VÄSTMANLANDS LÄN</t>
        </is>
      </c>
      <c r="G187" t="inlineStr">
        <is>
          <t>VÄSTERÅS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17808-2023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45037</v>
      </c>
      <c r="E188" s="1" t="n">
        <v>46303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44606</v>
      </c>
      <c r="E189" s="1" t="n">
        <v>46303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46303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44623</v>
      </c>
      <c r="E191" s="1" t="n">
        <v>46303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46303</v>
      </c>
      <c r="F192" t="inlineStr">
        <is>
          <t>VÄSTMANLANDS LÄN</t>
        </is>
      </c>
      <c r="G192" t="inlineStr">
        <is>
          <t>VÄSTERÅS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46303</v>
      </c>
      <c r="F193" t="inlineStr">
        <is>
          <t>VÄSTMANLANDS LÄN</t>
        </is>
      </c>
      <c r="G193" t="inlineStr">
        <is>
          <t>VÄSTERÅS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46303</v>
      </c>
      <c r="F194" t="inlineStr">
        <is>
          <t>VÄSTMANLANDS LÄN</t>
        </is>
      </c>
      <c r="G194" t="inlineStr">
        <is>
          <t>VÄSTERÅS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46303</v>
      </c>
      <c r="F195" t="inlineStr">
        <is>
          <t>VÄSTMANLANDS LÄN</t>
        </is>
      </c>
      <c r="G195" t="inlineStr">
        <is>
          <t>VÄSTERÅS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44635</v>
      </c>
      <c r="E196" s="1" t="n">
        <v>46303</v>
      </c>
      <c r="F196" t="inlineStr">
        <is>
          <t>VÄSTMANLANDS LÄN</t>
        </is>
      </c>
      <c r="G196" t="inlineStr">
        <is>
          <t>VÄSTERÅS</t>
        </is>
      </c>
      <c r="I196" t="n">
        <v>12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44610</v>
      </c>
      <c r="E197" s="1" t="n">
        <v>46303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46303</v>
      </c>
      <c r="F198" t="inlineStr">
        <is>
          <t>VÄSTMANLANDS LÄN</t>
        </is>
      </c>
      <c r="G198" t="inlineStr">
        <is>
          <t>VÄSTERÅS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44717</v>
      </c>
      <c r="E199" s="1" t="n">
        <v>46303</v>
      </c>
      <c r="F199" t="inlineStr">
        <is>
          <t>VÄSTMANLANDS LÄN</t>
        </is>
      </c>
      <c r="G199" t="inlineStr">
        <is>
          <t>VÄSTERÅS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46303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46303</v>
      </c>
      <c r="F201" t="inlineStr">
        <is>
          <t>VÄSTMANLANDS LÄN</t>
        </is>
      </c>
      <c r="G201" t="inlineStr">
        <is>
          <t>VÄSTERÅS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44662</v>
      </c>
      <c r="E202" s="1" t="n">
        <v>46303</v>
      </c>
      <c r="F202" t="inlineStr">
        <is>
          <t>VÄSTMANLANDS LÄN</t>
        </is>
      </c>
      <c r="G202" t="inlineStr">
        <is>
          <t>VÄSTERÅS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46303</v>
      </c>
      <c r="F203" t="inlineStr">
        <is>
          <t>VÄSTMANLANDS LÄN</t>
        </is>
      </c>
      <c r="G203" t="inlineStr">
        <is>
          <t>VÄSTERÅS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46303</v>
      </c>
      <c r="F205" t="inlineStr">
        <is>
          <t>VÄSTMANLANDS LÄN</t>
        </is>
      </c>
      <c r="G205" t="inlineStr">
        <is>
          <t>VÄSTERÅS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63851-2021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44509</v>
      </c>
      <c r="E206" s="1" t="n">
        <v>46303</v>
      </c>
      <c r="F206" t="inlineStr">
        <is>
          <t>VÄSTMANLANDS LÄN</t>
        </is>
      </c>
      <c r="G206" t="inlineStr">
        <is>
          <t>VÄSTERÅS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46303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46303</v>
      </c>
      <c r="F208" t="inlineStr">
        <is>
          <t>VÄSTMANLANDS LÄN</t>
        </is>
      </c>
      <c r="G208" t="inlineStr">
        <is>
          <t>VÄSTERÅS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46303</v>
      </c>
      <c r="F209" t="inlineStr">
        <is>
          <t>VÄSTMANLANDS LÄN</t>
        </is>
      </c>
      <c r="G209" t="inlineStr">
        <is>
          <t>VÄSTERÅS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46303</v>
      </c>
      <c r="F210" t="inlineStr">
        <is>
          <t>VÄSTMANLANDS LÄN</t>
        </is>
      </c>
      <c r="G210" t="inlineStr">
        <is>
          <t>VÄSTERÅS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46303</v>
      </c>
      <c r="F211" t="inlineStr">
        <is>
          <t>VÄSTMANLANDS LÄN</t>
        </is>
      </c>
      <c r="G211" t="inlineStr">
        <is>
          <t>VÄSTERÅS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46303</v>
      </c>
      <c r="F212" t="inlineStr">
        <is>
          <t>VÄSTMANLANDS LÄN</t>
        </is>
      </c>
      <c r="G212" t="inlineStr">
        <is>
          <t>VÄSTERÅS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44743</v>
      </c>
      <c r="E213" s="1" t="n">
        <v>46303</v>
      </c>
      <c r="F213" t="inlineStr">
        <is>
          <t>VÄSTMANLANDS LÄN</t>
        </is>
      </c>
      <c r="G213" t="inlineStr">
        <is>
          <t>VÄSTERÅS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46303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46303</v>
      </c>
      <c r="F215" t="inlineStr">
        <is>
          <t>VÄSTMANLANDS LÄN</t>
        </is>
      </c>
      <c r="G215" t="inlineStr">
        <is>
          <t>VÄSTERÅS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46303</v>
      </c>
      <c r="F216" t="inlineStr">
        <is>
          <t>VÄSTMANLANDS LÄN</t>
        </is>
      </c>
      <c r="G216" t="inlineStr">
        <is>
          <t>VÄSTERÅS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45628</v>
      </c>
      <c r="E217" s="1" t="n">
        <v>46303</v>
      </c>
      <c r="F217" t="inlineStr">
        <is>
          <t>VÄSTMANLANDS LÄN</t>
        </is>
      </c>
      <c r="G217" t="inlineStr">
        <is>
          <t>VÄSTERÅS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46303</v>
      </c>
      <c r="F218" t="inlineStr">
        <is>
          <t>VÄSTMANLANDS LÄN</t>
        </is>
      </c>
      <c r="G218" t="inlineStr">
        <is>
          <t>VÄSTERÅS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46303</v>
      </c>
      <c r="F219" t="inlineStr">
        <is>
          <t>VÄSTMANLANDS LÄN</t>
        </is>
      </c>
      <c r="G219" t="inlineStr">
        <is>
          <t>VÄSTERÅS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46303</v>
      </c>
      <c r="F220" t="inlineStr">
        <is>
          <t>VÄSTMANLANDS LÄN</t>
        </is>
      </c>
      <c r="G220" t="inlineStr">
        <is>
          <t>VÄSTERÅS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45027</v>
      </c>
      <c r="E221" s="1" t="n">
        <v>46303</v>
      </c>
      <c r="F221" t="inlineStr">
        <is>
          <t>VÄSTMANLANDS LÄN</t>
        </is>
      </c>
      <c r="G221" t="inlineStr">
        <is>
          <t>VÄSTERÅS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45027</v>
      </c>
      <c r="E222" s="1" t="n">
        <v>46303</v>
      </c>
      <c r="F222" t="inlineStr">
        <is>
          <t>VÄSTMANLANDS LÄN</t>
        </is>
      </c>
      <c r="G222" t="inlineStr">
        <is>
          <t>VÄSTERÅS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46303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46303</v>
      </c>
      <c r="F224" t="inlineStr">
        <is>
          <t>VÄSTMANLANDS LÄN</t>
        </is>
      </c>
      <c r="G224" t="inlineStr">
        <is>
          <t>VÄSTERÅS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46303</v>
      </c>
      <c r="F225" t="inlineStr">
        <is>
          <t>VÄSTMANLANDS LÄN</t>
        </is>
      </c>
      <c r="G225" t="inlineStr">
        <is>
          <t>VÄSTERÅS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46303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46303</v>
      </c>
      <c r="F227" t="inlineStr">
        <is>
          <t>VÄSTMANLANDS LÄN</t>
        </is>
      </c>
      <c r="G227" t="inlineStr">
        <is>
          <t>VÄSTERÅS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26556-2022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46303</v>
      </c>
      <c r="F228" t="inlineStr">
        <is>
          <t>VÄSTMANLANDS LÄN</t>
        </is>
      </c>
      <c r="G228" t="inlineStr">
        <is>
          <t>VÄSTERÅS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46303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45282</v>
      </c>
      <c r="E230" s="1" t="n">
        <v>46303</v>
      </c>
      <c r="F230" t="inlineStr">
        <is>
          <t>VÄSTMANLANDS LÄN</t>
        </is>
      </c>
      <c r="G230" t="inlineStr">
        <is>
          <t>VÄSTERÅS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45607</v>
      </c>
      <c r="E231" s="1" t="n">
        <v>46303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3118-2022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44582</v>
      </c>
      <c r="E232" s="1" t="n">
        <v>46303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Övriga Aktiebolag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46303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46303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46303</v>
      </c>
      <c r="F235" t="inlineStr">
        <is>
          <t>VÄSTMANLANDS LÄN</t>
        </is>
      </c>
      <c r="G235" t="inlineStr">
        <is>
          <t>VÄSTERÅS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46303</v>
      </c>
      <c r="F236" t="inlineStr">
        <is>
          <t>VÄSTMANLANDS LÄN</t>
        </is>
      </c>
      <c r="G236" t="inlineStr">
        <is>
          <t>VÄSTERÅS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46303</v>
      </c>
      <c r="F237" t="inlineStr">
        <is>
          <t>VÄSTMANLANDS LÄN</t>
        </is>
      </c>
      <c r="G237" t="inlineStr">
        <is>
          <t>VÄSTERÅS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45019</v>
      </c>
      <c r="E238" s="1" t="n">
        <v>46303</v>
      </c>
      <c r="F238" t="inlineStr">
        <is>
          <t>VÄSTMANLANDS LÄN</t>
        </is>
      </c>
      <c r="G238" t="inlineStr">
        <is>
          <t>VÄSTERÅS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46303</v>
      </c>
      <c r="F239" t="inlineStr">
        <is>
          <t>VÄSTMANLANDS LÄN</t>
        </is>
      </c>
      <c r="G239" t="inlineStr">
        <is>
          <t>VÄSTERÅS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46303</v>
      </c>
      <c r="F240" t="inlineStr">
        <is>
          <t>VÄSTMANLANDS LÄN</t>
        </is>
      </c>
      <c r="G240" t="inlineStr">
        <is>
          <t>VÄSTERÅS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46303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Allmännings- och besparingsskogar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44648</v>
      </c>
      <c r="E242" s="1" t="n">
        <v>46303</v>
      </c>
      <c r="F242" t="inlineStr">
        <is>
          <t>VÄSTMANLANDS LÄN</t>
        </is>
      </c>
      <c r="G242" t="inlineStr">
        <is>
          <t>VÄSTERÅS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46303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44961</v>
      </c>
      <c r="E244" s="1" t="n">
        <v>46303</v>
      </c>
      <c r="F244" t="inlineStr">
        <is>
          <t>VÄSTMANLANDS LÄN</t>
        </is>
      </c>
      <c r="G244" t="inlineStr">
        <is>
          <t>VÄSTERÅS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67352-2021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44523</v>
      </c>
      <c r="E245" s="1" t="n">
        <v>46303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Övriga Aktiebolag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46303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Allmännings- och besparingsskogar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44671</v>
      </c>
      <c r="E247" s="1" t="n">
        <v>46303</v>
      </c>
      <c r="F247" t="inlineStr">
        <is>
          <t>VÄSTMANLANDS LÄN</t>
        </is>
      </c>
      <c r="G247" t="inlineStr">
        <is>
          <t>VÄSTERÅS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22700-2024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46303</v>
      </c>
      <c r="F248" t="inlineStr">
        <is>
          <t>VÄSTMANLANDS LÄN</t>
        </is>
      </c>
      <c r="G248" t="inlineStr">
        <is>
          <t>VÄSTERÅS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46303</v>
      </c>
      <c r="F249" t="inlineStr">
        <is>
          <t>VÄSTMANLANDS LÄN</t>
        </is>
      </c>
      <c r="G249" t="inlineStr">
        <is>
          <t>VÄSTERÅS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46303</v>
      </c>
      <c r="F250" t="inlineStr">
        <is>
          <t>VÄSTMANLANDS LÄN</t>
        </is>
      </c>
      <c r="G250" t="inlineStr">
        <is>
          <t>VÄSTERÅS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46303</v>
      </c>
      <c r="F251" t="inlineStr">
        <is>
          <t>VÄSTMANLANDS LÄN</t>
        </is>
      </c>
      <c r="G251" t="inlineStr">
        <is>
          <t>VÄSTERÅS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7797-2026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46062</v>
      </c>
      <c r="E252" s="1" t="n">
        <v>46303</v>
      </c>
      <c r="F252" t="inlineStr">
        <is>
          <t>VÄSTMANLANDS LÄN</t>
        </is>
      </c>
      <c r="G252" t="inlineStr">
        <is>
          <t>VÄSTERÅS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44657</v>
      </c>
      <c r="E253" s="1" t="n">
        <v>46303</v>
      </c>
      <c r="F253" t="inlineStr">
        <is>
          <t>VÄSTMANLANDS LÄN</t>
        </is>
      </c>
      <c r="G253" t="inlineStr">
        <is>
          <t>VÄSTERÅS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46190</v>
      </c>
      <c r="E254" s="1" t="n">
        <v>46303</v>
      </c>
      <c r="F254" t="inlineStr">
        <is>
          <t>VÄSTMANLANDS LÄN</t>
        </is>
      </c>
      <c r="G254" t="inlineStr">
        <is>
          <t>VÄSTERÅS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44755</v>
      </c>
      <c r="E255" s="1" t="n">
        <v>46303</v>
      </c>
      <c r="F255" t="inlineStr">
        <is>
          <t>VÄSTMANLANDS LÄN</t>
        </is>
      </c>
      <c r="G255" t="inlineStr">
        <is>
          <t>VÄSTERÅS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46303</v>
      </c>
      <c r="F256" t="inlineStr">
        <is>
          <t>VÄSTMANLANDS LÄN</t>
        </is>
      </c>
      <c r="G256" t="inlineStr">
        <is>
          <t>VÄSTERÅS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11137-2023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44987</v>
      </c>
      <c r="E257" s="1" t="n">
        <v>46303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46303</v>
      </c>
      <c r="F258" t="inlineStr">
        <is>
          <t>VÄSTMANLANDS LÄN</t>
        </is>
      </c>
      <c r="G258" t="inlineStr">
        <is>
          <t>VÄSTERÅS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44610</v>
      </c>
      <c r="E259" s="1" t="n">
        <v>46303</v>
      </c>
      <c r="F259" t="inlineStr">
        <is>
          <t>VÄSTMANLANDS LÄN</t>
        </is>
      </c>
      <c r="G259" t="inlineStr">
        <is>
          <t>VÄSTERÅS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46303</v>
      </c>
      <c r="F260" t="inlineStr">
        <is>
          <t>VÄSTMANLANDS LÄN</t>
        </is>
      </c>
      <c r="G260" t="inlineStr">
        <is>
          <t>VÄSTERÅS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45072</v>
      </c>
      <c r="E261" s="1" t="n">
        <v>46303</v>
      </c>
      <c r="F261" t="inlineStr">
        <is>
          <t>VÄSTMANLANDS LÄN</t>
        </is>
      </c>
      <c r="G261" t="inlineStr">
        <is>
          <t>VÄSTERÅS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46303</v>
      </c>
      <c r="F262" t="inlineStr">
        <is>
          <t>VÄSTMANLANDS LÄN</t>
        </is>
      </c>
      <c r="G262" t="inlineStr">
        <is>
          <t>VÄSTERÅS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46303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46303</v>
      </c>
      <c r="F264" t="inlineStr">
        <is>
          <t>VÄSTMANLANDS LÄN</t>
        </is>
      </c>
      <c r="G264" t="inlineStr">
        <is>
          <t>VÄSTERÅS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45952</v>
      </c>
      <c r="E265" s="1" t="n">
        <v>46303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statliga verk och myndigheter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46303</v>
      </c>
      <c r="F266" t="inlineStr">
        <is>
          <t>VÄSTMANLANDS LÄN</t>
        </is>
      </c>
      <c r="G266" t="inlineStr">
        <is>
          <t>VÄSTERÅS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46083</v>
      </c>
      <c r="E267" s="1" t="n">
        <v>46303</v>
      </c>
      <c r="F267" t="inlineStr">
        <is>
          <t>VÄSTMANLANDS LÄN</t>
        </is>
      </c>
      <c r="G267" t="inlineStr">
        <is>
          <t>VÄSTERÅS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46078</v>
      </c>
      <c r="E268" s="1" t="n">
        <v>46303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44594</v>
      </c>
      <c r="E269" s="1" t="n">
        <v>46303</v>
      </c>
      <c r="F269" t="inlineStr">
        <is>
          <t>VÄSTMANLANDS LÄN</t>
        </is>
      </c>
      <c r="G269" t="inlineStr">
        <is>
          <t>VÄSTERÅS</t>
        </is>
      </c>
      <c r="I269" t="n">
        <v>20.3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11739-2026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46303</v>
      </c>
      <c r="F270" t="inlineStr">
        <is>
          <t>VÄSTMANLANDS LÄN</t>
        </is>
      </c>
      <c r="G270" t="inlineStr">
        <is>
          <t>VÄSTERÅS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44600</v>
      </c>
      <c r="E271" s="1" t="n">
        <v>46303</v>
      </c>
      <c r="F271" t="inlineStr">
        <is>
          <t>VÄSTMANLANDS LÄN</t>
        </is>
      </c>
      <c r="G271" t="inlineStr">
        <is>
          <t>VÄSTERÅS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46303</v>
      </c>
      <c r="F272" t="inlineStr">
        <is>
          <t>VÄSTMANLANDS LÄN</t>
        </is>
      </c>
      <c r="G272" t="inlineStr">
        <is>
          <t>VÄSTERÅS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46303</v>
      </c>
      <c r="F273" t="inlineStr">
        <is>
          <t>VÄSTMANLANDS LÄN</t>
        </is>
      </c>
      <c r="G273" t="inlineStr">
        <is>
          <t>VÄSTERÅS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46303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44978</v>
      </c>
      <c r="E275" s="1" t="n">
        <v>46303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46303</v>
      </c>
      <c r="F276" t="inlineStr">
        <is>
          <t>VÄSTMANLANDS LÄN</t>
        </is>
      </c>
      <c r="G276" t="inlineStr">
        <is>
          <t>VÄSTERÅS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46303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46303</v>
      </c>
      <c r="F278" t="inlineStr">
        <is>
          <t>VÄSTMANLANDS LÄN</t>
        </is>
      </c>
      <c r="G278" t="inlineStr">
        <is>
          <t>VÄSTERÅS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46303</v>
      </c>
      <c r="F279" t="inlineStr">
        <is>
          <t>VÄSTMANLANDS LÄN</t>
        </is>
      </c>
      <c r="G279" t="inlineStr">
        <is>
          <t>VÄSTERÅS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46303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46303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46303</v>
      </c>
      <c r="F282" t="inlineStr">
        <is>
          <t>VÄSTMANLANDS LÄN</t>
        </is>
      </c>
      <c r="G282" t="inlineStr">
        <is>
          <t>VÄSTERÅS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46303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Kommuner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46303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Allmännings- och besparingsskogar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46303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46303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46213</v>
      </c>
      <c r="E287" s="1" t="n">
        <v>46303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46303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9.800000000000001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46215</v>
      </c>
      <c r="E289" s="1" t="n">
        <v>46303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46215</v>
      </c>
      <c r="E290" s="1" t="n">
        <v>46303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46303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46215</v>
      </c>
      <c r="E292" s="1" t="n">
        <v>46303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44574</v>
      </c>
      <c r="E293" s="1" t="n">
        <v>46303</v>
      </c>
      <c r="F293" t="inlineStr">
        <is>
          <t>VÄSTMANLANDS LÄN</t>
        </is>
      </c>
      <c r="G293" t="inlineStr">
        <is>
          <t>VÄSTERÅS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31232-2026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46217</v>
      </c>
      <c r="E294" s="1" t="n">
        <v>46303</v>
      </c>
      <c r="F294" t="inlineStr">
        <is>
          <t>VÄSTMANLANDS LÄN</t>
        </is>
      </c>
      <c r="G294" t="inlineStr">
        <is>
          <t>VÄSTERÅS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50987-2024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46303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46303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46303</v>
      </c>
      <c r="F297" t="inlineStr">
        <is>
          <t>VÄSTMANLANDS LÄN</t>
        </is>
      </c>
      <c r="G297" t="inlineStr">
        <is>
          <t>VÄSTERÅS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46303</v>
      </c>
      <c r="F298" t="inlineStr">
        <is>
          <t>VÄSTMANLANDS LÄN</t>
        </is>
      </c>
      <c r="G298" t="inlineStr">
        <is>
          <t>VÄSTERÅS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46303</v>
      </c>
      <c r="F299" t="inlineStr">
        <is>
          <t>VÄSTMANLANDS LÄN</t>
        </is>
      </c>
      <c r="G299" t="inlineStr">
        <is>
          <t>VÄSTERÅS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46303</v>
      </c>
      <c r="F300" t="inlineStr">
        <is>
          <t>VÄSTMANLANDS LÄN</t>
        </is>
      </c>
      <c r="G300" t="inlineStr">
        <is>
          <t>VÄSTERÅS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55684-2023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45232</v>
      </c>
      <c r="E301" s="1" t="n">
        <v>46303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Övriga Aktiebolag</t>
        </is>
      </c>
      <c r="I301" t="n">
        <v>29.4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39810-2024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46303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Kyrkan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19927-2026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46303</v>
      </c>
      <c r="F303" t="inlineStr">
        <is>
          <t>VÄSTMANLANDS LÄN</t>
        </is>
      </c>
      <c r="G303" t="inlineStr">
        <is>
          <t>VÄSTERÅS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46303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46303</v>
      </c>
      <c r="F305" t="inlineStr">
        <is>
          <t>VÄSTMANLANDS LÄN</t>
        </is>
      </c>
      <c r="G305" t="inlineStr">
        <is>
          <t>VÄSTERÅS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18467-2023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45042</v>
      </c>
      <c r="E306" s="1" t="n">
        <v>46303</v>
      </c>
      <c r="F306" t="inlineStr">
        <is>
          <t>VÄSTMANLANDS LÄN</t>
        </is>
      </c>
      <c r="G306" t="inlineStr">
        <is>
          <t>VÄSTERÅS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46303</v>
      </c>
      <c r="F307" t="inlineStr">
        <is>
          <t>VÄSTMANLANDS LÄN</t>
        </is>
      </c>
      <c r="G307" t="inlineStr">
        <is>
          <t>VÄSTERÅS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45370</v>
      </c>
      <c r="E308" s="1" t="n">
        <v>46303</v>
      </c>
      <c r="F308" t="inlineStr">
        <is>
          <t>VÄSTMANLANDS LÄN</t>
        </is>
      </c>
      <c r="G308" t="inlineStr">
        <is>
          <t>VÄSTERÅS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46303</v>
      </c>
      <c r="F309" t="inlineStr">
        <is>
          <t>VÄSTMANLANDS LÄN</t>
        </is>
      </c>
      <c r="G309" t="inlineStr">
        <is>
          <t>VÄSTERÅS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46303</v>
      </c>
      <c r="F310" t="inlineStr">
        <is>
          <t>VÄSTMANLANDS LÄN</t>
        </is>
      </c>
      <c r="G310" t="inlineStr">
        <is>
          <t>VÄSTERÅS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46303</v>
      </c>
      <c r="F311" t="inlineStr">
        <is>
          <t>VÄSTMANLANDS LÄN</t>
        </is>
      </c>
      <c r="G311" t="inlineStr">
        <is>
          <t>VÄSTERÅS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46303</v>
      </c>
      <c r="F312" t="inlineStr">
        <is>
          <t>VÄSTMANLANDS LÄN</t>
        </is>
      </c>
      <c r="G312" t="inlineStr">
        <is>
          <t>VÄSTERÅS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46303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45713</v>
      </c>
      <c r="E314" s="1" t="n">
        <v>46303</v>
      </c>
      <c r="F314" t="inlineStr">
        <is>
          <t>VÄSTMANLANDS LÄN</t>
        </is>
      </c>
      <c r="G314" t="inlineStr">
        <is>
          <t>VÄSTERÅS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46303</v>
      </c>
      <c r="F315" t="inlineStr">
        <is>
          <t>VÄSTMANLANDS LÄN</t>
        </is>
      </c>
      <c r="G315" t="inlineStr">
        <is>
          <t>VÄSTERÅS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46272</v>
      </c>
      <c r="E316" s="1" t="n">
        <v>46303</v>
      </c>
      <c r="F316" t="inlineStr">
        <is>
          <t>VÄSTMANLANDS LÄN</t>
        </is>
      </c>
      <c r="G316" t="inlineStr">
        <is>
          <t>VÄSTERÅS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46303</v>
      </c>
      <c r="F317" t="inlineStr">
        <is>
          <t>VÄSTMANLANDS LÄN</t>
        </is>
      </c>
      <c r="G317" t="inlineStr">
        <is>
          <t>VÄSTERÅS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46303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46290</v>
      </c>
      <c r="E319" s="1" t="n">
        <v>46303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46289</v>
      </c>
      <c r="E320" s="1" t="n">
        <v>46303</v>
      </c>
      <c r="F320" t="inlineStr">
        <is>
          <t>VÄSTMANLANDS LÄN</t>
        </is>
      </c>
      <c r="G320" t="inlineStr">
        <is>
          <t>VÄSTERÅS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46289</v>
      </c>
      <c r="E321" s="1" t="n">
        <v>46303</v>
      </c>
      <c r="F321" t="inlineStr">
        <is>
          <t>VÄSTMANLANDS LÄN</t>
        </is>
      </c>
      <c r="G321" t="inlineStr">
        <is>
          <t>VÄSTERÅS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46303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46287</v>
      </c>
      <c r="E323" s="1" t="n">
        <v>46303</v>
      </c>
      <c r="F323" t="inlineStr">
        <is>
          <t>VÄSTMANLANDS LÄN</t>
        </is>
      </c>
      <c r="G323" t="inlineStr">
        <is>
          <t>VÄSTERÅS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46303</v>
      </c>
      <c r="F324" t="inlineStr">
        <is>
          <t>VÄSTMANLANDS LÄN</t>
        </is>
      </c>
      <c r="G324" t="inlineStr">
        <is>
          <t>VÄSTERÅS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46215</v>
      </c>
      <c r="E325" s="1" t="n">
        <v>46303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46303</v>
      </c>
      <c r="F326" t="inlineStr">
        <is>
          <t>VÄSTMANLANDS LÄN</t>
        </is>
      </c>
      <c r="G326" t="inlineStr">
        <is>
          <t>VÄSTERÅS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46303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46303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1415-2022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44634</v>
      </c>
      <c r="E329" s="1" t="n">
        <v>46303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46303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46303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46303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46303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2026-10-08T02:07:46Z</dcterms:created>
  <dcterms:modified xmlns:dcterms="http://purl.org/dc/terms/" xmlns:xsi="http://www.w3.org/2001/XMLSchema-instance" xsi:type="dcterms:W3CDTF">2026-10-08T02:07:46Z</dcterms:modified>
</cp:coreProperties>
</file>