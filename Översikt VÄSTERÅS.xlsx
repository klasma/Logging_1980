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46284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46284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46284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46284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46284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22449-2026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46284</v>
      </c>
      <c r="F17" t="inlineStr">
        <is>
          <t>VÄSTMANLANDS LÄN</t>
        </is>
      </c>
      <c r="G17" t="inlineStr">
        <is>
          <t>VÄSTERÅS</t>
        </is>
      </c>
      <c r="I17" t="n">
        <v>1.5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Nordfladdermus
Gråskimlig fladdermus
Större brunfladdermus
Vattenfladdermus</t>
        </is>
      </c>
      <c r="W17">
        <f>HYPERLINK("https://klasma.github.io/Logging_1980/artfynd/A 22449-2026 artfynd.xlsx", "A 22449-2026")</f>
        <v/>
      </c>
      <c r="X17">
        <f>HYPERLINK("https://klasma.github.io/Logging_1980/kartor/A 22449-2026 karta.png", "A 22449-2026")</f>
        <v/>
      </c>
      <c r="Y17">
        <f>HYPERLINK("https://klasma.github.io/Logging_1980/kartor_geotiff/A 22449-2026 georefererad karta.tif", "A 22449-2026")</f>
        <v/>
      </c>
      <c r="AA17">
        <f>HYPERLINK("https://klasma.github.io/Logging_1980/klagomål/A 22449-2026 FSC-klagomål.docx", "A 22449-2026")</f>
        <v/>
      </c>
      <c r="AB17">
        <f>HYPERLINK("https://klasma.github.io/Logging_1980/klagomålsmail/A 22449-2026 FSC-klagomål mail.docx", "A 22449-2026")</f>
        <v/>
      </c>
      <c r="AC17">
        <f>HYPERLINK("https://klasma.github.io/Logging_1980/tillsyn/A 22449-2026 tillsynsbegäran.docx", "A 22449-2026")</f>
        <v/>
      </c>
      <c r="AD17">
        <f>HYPERLINK("https://klasma.github.io/Logging_1980/tillsynsmail/A 22449-2026 tillsynsbegäran mail.docx", "A 22449-2026")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46284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46284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46284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46284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46284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46284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46284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46284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46284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46284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46284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46284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46284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46284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46284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46284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46284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46284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46284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12.4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Fiskgjuse</t>
        </is>
      </c>
      <c r="W36">
        <f>HYPERLINK("https://klasma.github.io/Logging_1980/artfynd/A 59143-2025 artfynd.xlsx", "A 59143-2025")</f>
        <v/>
      </c>
      <c r="X36">
        <f>HYPERLINK("https://klasma.github.io/Logging_1980/kartor/A 59143-2025 karta.png", "A 59143-2025")</f>
        <v/>
      </c>
      <c r="Y36">
        <f>HYPERLINK("https://klasma.github.io/Logging_1980/kartor_geotiff/A 59143-2025 georefererad karta.tif", "A 59143-2025")</f>
        <v/>
      </c>
      <c r="AA36">
        <f>HYPERLINK("https://klasma.github.io/Logging_1980/klagomål/A 59143-2025 FSC-klagomål.docx", "A 59143-2025")</f>
        <v/>
      </c>
      <c r="AB36">
        <f>HYPERLINK("https://klasma.github.io/Logging_1980/klagomålsmail/A 59143-2025 FSC-klagomål mail.docx", "A 59143-2025")</f>
        <v/>
      </c>
      <c r="AC36">
        <f>HYPERLINK("https://klasma.github.io/Logging_1980/tillsyn/A 59143-2025 tillsynsbegäran.docx", "A 59143-2025")</f>
        <v/>
      </c>
      <c r="AD36">
        <f>HYPERLINK("https://klasma.github.io/Logging_1980/tillsynsmail/A 59143-2025 tillsynsbegäran mail.docx", "A 59143-2025")</f>
        <v/>
      </c>
      <c r="AE36">
        <f>HYPERLINK("https://klasma.github.io/Logging_1980/fåglar/A 59143-2025 prioriterade fågelarter.docx", "A 59143-2025")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46284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46284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46284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46284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46284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46284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46284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46284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46284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55676-2023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45232</v>
      </c>
      <c r="E46" s="1" t="n">
        <v>46284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37.9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HYPERLINK("https://klasma.github.io/Logging_1980/artfynd/A 55676-2023 artfynd.xlsx", "A 55676-2023")</f>
        <v/>
      </c>
      <c r="X46">
        <f>HYPERLINK("https://klasma.github.io/Logging_1980/kartor/A 55676-2023 karta.png", "A 55676-2023")</f>
        <v/>
      </c>
      <c r="Y46">
        <f>HYPERLINK("https://klasma.github.io/Logging_1980/kartor_geotiff/A 55676-2023 georefererad karta.tif", "A 55676-2023")</f>
        <v/>
      </c>
      <c r="AA46">
        <f>HYPERLINK("https://klasma.github.io/Logging_1980/klagomål/A 55676-2023 FSC-klagomål.docx", "A 55676-2023")</f>
        <v/>
      </c>
      <c r="AB46">
        <f>HYPERLINK("https://klasma.github.io/Logging_1980/klagomålsmail/A 55676-2023 FSC-klagomål mail.docx", "A 55676-2023")</f>
        <v/>
      </c>
      <c r="AC46">
        <f>HYPERLINK("https://klasma.github.io/Logging_1980/tillsyn/A 55676-2023 tillsynsbegäran.docx", "A 55676-2023")</f>
        <v/>
      </c>
      <c r="AD46">
        <f>HYPERLINK("https://klasma.github.io/Logging_1980/tillsynsmail/A 55676-2023 tillsynsbegäran mail.docx", "A 55676-2023")</f>
        <v/>
      </c>
      <c r="AE46">
        <f>HYPERLINK("https://klasma.github.io/Logging_1980/fåglar/A 55676-2023 prioriterade fågelarter.docx", "A 55676-2023")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46284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Mindre märgborre</t>
        </is>
      </c>
      <c r="W47">
        <f>HYPERLINK("https://klasma.github.io/Logging_1980/artfynd/A 51147-2023 artfynd.xlsx", "A 51147-2023")</f>
        <v/>
      </c>
      <c r="X47">
        <f>HYPERLINK("https://klasma.github.io/Logging_1980/kartor/A 51147-2023 karta.png", "A 51147-2023")</f>
        <v/>
      </c>
      <c r="Y47">
        <f>HYPERLINK("https://klasma.github.io/Logging_1980/kartor_geotiff/A 51147-2023 georefererad karta.tif", "A 51147-2023")</f>
        <v/>
      </c>
      <c r="AA47">
        <f>HYPERLINK("https://klasma.github.io/Logging_1980/klagomål/A 51147-2023 FSC-klagomål.docx", "A 51147-2023")</f>
        <v/>
      </c>
      <c r="AB47">
        <f>HYPERLINK("https://klasma.github.io/Logging_1980/klagomålsmail/A 51147-2023 FSC-klagomål mail.docx", "A 51147-2023")</f>
        <v/>
      </c>
      <c r="AC47">
        <f>HYPERLINK("https://klasma.github.io/Logging_1980/tillsyn/A 51147-2023 tillsynsbegäran.docx", "A 51147-2023")</f>
        <v/>
      </c>
      <c r="AD47">
        <f>HYPERLINK("https://klasma.github.io/Logging_1980/tillsynsmail/A 51147-2023 tillsynsbegäran mail.docx", "A 51147-2023")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46284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46284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46284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46284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46284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29787-2023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46284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HYPERLINK("https://klasma.github.io/Logging_1980/artfynd/A 29787-2023 artfynd.xlsx", "A 29787-2023")</f>
        <v/>
      </c>
      <c r="X53">
        <f>HYPERLINK("https://klasma.github.io/Logging_1980/kartor/A 29787-2023 karta.png", "A 29787-2023")</f>
        <v/>
      </c>
      <c r="Y53">
        <f>HYPERLINK("https://klasma.github.io/Logging_1980/kartor_geotiff/A 29787-2023 georefererad karta.tif", "A 29787-2023")</f>
        <v/>
      </c>
      <c r="AA53">
        <f>HYPERLINK("https://klasma.github.io/Logging_1980/klagomål/A 29787-2023 FSC-klagomål.docx", "A 29787-2023")</f>
        <v/>
      </c>
      <c r="AB53">
        <f>HYPERLINK("https://klasma.github.io/Logging_1980/klagomålsmail/A 29787-2023 FSC-klagomål mail.docx", "A 29787-2023")</f>
        <v/>
      </c>
      <c r="AC53">
        <f>HYPERLINK("https://klasma.github.io/Logging_1980/tillsyn/A 29787-2023 tillsynsbegäran.docx", "A 29787-2023")</f>
        <v/>
      </c>
      <c r="AD53">
        <f>HYPERLINK("https://klasma.github.io/Logging_1980/tillsynsmail/A 29787-2023 tillsynsbegäran mail.docx", "A 29787-2023")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46284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46284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59140-2025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46284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HYPERLINK("https://klasma.github.io/Logging_1980/artfynd/A 59140-2025 artfynd.xlsx", "A 59140-2025")</f>
        <v/>
      </c>
      <c r="X56">
        <f>HYPERLINK("https://klasma.github.io/Logging_1980/kartor/A 59140-2025 karta.png", "A 59140-2025")</f>
        <v/>
      </c>
      <c r="Y56">
        <f>HYPERLINK("https://klasma.github.io/Logging_1980/kartor_geotiff/A 59140-2025 georefererad karta.tif", "A 59140-2025")</f>
        <v/>
      </c>
      <c r="AA56">
        <f>HYPERLINK("https://klasma.github.io/Logging_1980/klagomål/A 59140-2025 FSC-klagomål.docx", "A 59140-2025")</f>
        <v/>
      </c>
      <c r="AB56">
        <f>HYPERLINK("https://klasma.github.io/Logging_1980/klagomålsmail/A 59140-2025 FSC-klagomål mail.docx", "A 59140-2025")</f>
        <v/>
      </c>
      <c r="AC56">
        <f>HYPERLINK("https://klasma.github.io/Logging_1980/tillsyn/A 59140-2025 tillsynsbegäran.docx", "A 59140-2025")</f>
        <v/>
      </c>
      <c r="AD56">
        <f>HYPERLINK("https://klasma.github.io/Logging_1980/tillsynsmail/A 59140-2025 tillsynsbegäran mail.docx", "A 59140-2025")</f>
        <v/>
      </c>
      <c r="AE56">
        <f>HYPERLINK("https://klasma.github.io/Logging_1980/fåglar/A 59140-2025 prioriterade fågelarter.docx", "A 59140-2025")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46284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46284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46284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46284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46284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46284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46284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46284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46284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46284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46284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46284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46284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46284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46284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46284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46284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46284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46284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46284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46284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46284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46284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46284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46284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46284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46284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46284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46284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46284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46284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46284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46284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46284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46284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46284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46284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46284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46284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46284</v>
      </c>
      <c r="F96" t="inlineStr">
        <is>
          <t>VÄSTMANLANDS LÄN</t>
        </is>
      </c>
      <c r="G96" t="inlineStr">
        <is>
          <t>VÄSTERÅS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46284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46284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46284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46284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46284</v>
      </c>
      <c r="F101" t="inlineStr">
        <is>
          <t>VÄSTMANLANDS LÄN</t>
        </is>
      </c>
      <c r="G101" t="inlineStr">
        <is>
          <t>VÄSTERÅS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46284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46284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46284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45019</v>
      </c>
      <c r="E105" s="1" t="n">
        <v>46284</v>
      </c>
      <c r="F105" t="inlineStr">
        <is>
          <t>VÄSTMANLANDS LÄN</t>
        </is>
      </c>
      <c r="G105" t="inlineStr">
        <is>
          <t>VÄSTERÅS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46284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44961</v>
      </c>
      <c r="E107" s="1" t="n">
        <v>46284</v>
      </c>
      <c r="F107" t="inlineStr">
        <is>
          <t>VÄSTMANLANDS LÄN</t>
        </is>
      </c>
      <c r="G107" t="inlineStr">
        <is>
          <t>VÄSTERÅS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46284</v>
      </c>
      <c r="F108" t="inlineStr">
        <is>
          <t>VÄSTMANLANDS LÄN</t>
        </is>
      </c>
      <c r="G108" t="inlineStr">
        <is>
          <t>VÄSTERÅS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46284</v>
      </c>
      <c r="F109" t="inlineStr">
        <is>
          <t>VÄSTMANLANDS LÄN</t>
        </is>
      </c>
      <c r="G109" t="inlineStr">
        <is>
          <t>VÄSTERÅS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46284</v>
      </c>
      <c r="F110" t="inlineStr">
        <is>
          <t>VÄSTMANLANDS LÄN</t>
        </is>
      </c>
      <c r="G110" t="inlineStr">
        <is>
          <t>VÄSTERÅS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46284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46284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45223</v>
      </c>
      <c r="E113" s="1" t="n">
        <v>46284</v>
      </c>
      <c r="F113" t="inlineStr">
        <is>
          <t>VÄSTMANLANDS LÄN</t>
        </is>
      </c>
      <c r="G113" t="inlineStr">
        <is>
          <t>VÄSTERÅS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45628</v>
      </c>
      <c r="E114" s="1" t="n">
        <v>46284</v>
      </c>
      <c r="F114" t="inlineStr">
        <is>
          <t>VÄSTMANLANDS LÄN</t>
        </is>
      </c>
      <c r="G114" t="inlineStr">
        <is>
          <t>VÄSTERÅS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46284</v>
      </c>
      <c r="F115" t="inlineStr">
        <is>
          <t>VÄSTMANLANDS LÄN</t>
        </is>
      </c>
      <c r="G115" t="inlineStr">
        <is>
          <t>VÄSTERÅS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59536-2024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45638</v>
      </c>
      <c r="E116" s="1" t="n">
        <v>46284</v>
      </c>
      <c r="F116" t="inlineStr">
        <is>
          <t>VÄSTMANLANDS LÄN</t>
        </is>
      </c>
      <c r="G116" t="inlineStr">
        <is>
          <t>VÄSTERÅS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45453</v>
      </c>
      <c r="E117" s="1" t="n">
        <v>46284</v>
      </c>
      <c r="F117" t="inlineStr">
        <is>
          <t>VÄSTMANLANDS LÄN</t>
        </is>
      </c>
      <c r="G117" t="inlineStr">
        <is>
          <t>VÄSTERÅS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46284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Kommuner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44875</v>
      </c>
      <c r="E119" s="1" t="n">
        <v>46284</v>
      </c>
      <c r="F119" t="inlineStr">
        <is>
          <t>VÄSTMANLANDS LÄN</t>
        </is>
      </c>
      <c r="G119" t="inlineStr">
        <is>
          <t>VÄSTERÅS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46284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46284</v>
      </c>
      <c r="F121" t="inlineStr">
        <is>
          <t>VÄSTMANLANDS LÄN</t>
        </is>
      </c>
      <c r="G121" t="inlineStr">
        <is>
          <t>VÄSTERÅS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11137-2023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44987</v>
      </c>
      <c r="E122" s="1" t="n">
        <v>46284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46284</v>
      </c>
      <c r="F123" t="inlineStr">
        <is>
          <t>VÄSTMANLANDS LÄN</t>
        </is>
      </c>
      <c r="G123" t="inlineStr">
        <is>
          <t>VÄSTERÅS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46284</v>
      </c>
      <c r="F124" t="inlineStr">
        <is>
          <t>VÄSTMANLANDS LÄN</t>
        </is>
      </c>
      <c r="G124" t="inlineStr">
        <is>
          <t>VÄSTERÅS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46284</v>
      </c>
      <c r="F125" t="inlineStr">
        <is>
          <t>VÄSTMANLANDS LÄN</t>
        </is>
      </c>
      <c r="G125" t="inlineStr">
        <is>
          <t>VÄSTERÅS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46284</v>
      </c>
      <c r="F126" t="inlineStr">
        <is>
          <t>VÄSTMANLANDS LÄN</t>
        </is>
      </c>
      <c r="G126" t="inlineStr">
        <is>
          <t>VÄSTERÅS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46284</v>
      </c>
      <c r="F127" t="inlineStr">
        <is>
          <t>VÄSTMANLANDS LÄN</t>
        </is>
      </c>
      <c r="G127" t="inlineStr">
        <is>
          <t>VÄSTERÅS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46284</v>
      </c>
      <c r="F128" t="inlineStr">
        <is>
          <t>VÄSTMANLANDS LÄN</t>
        </is>
      </c>
      <c r="G128" t="inlineStr">
        <is>
          <t>VÄSTERÅS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45125</v>
      </c>
      <c r="E129" s="1" t="n">
        <v>46284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46284</v>
      </c>
      <c r="F130" t="inlineStr">
        <is>
          <t>VÄSTMANLANDS LÄN</t>
        </is>
      </c>
      <c r="G130" t="inlineStr">
        <is>
          <t>VÄSTERÅS</t>
        </is>
      </c>
      <c r="I130" t="n">
        <v>13.9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46284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46284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46284</v>
      </c>
      <c r="F133" t="inlineStr">
        <is>
          <t>VÄSTMANLANDS LÄN</t>
        </is>
      </c>
      <c r="G133" t="inlineStr">
        <is>
          <t>VÄSTERÅS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51223-2023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46284</v>
      </c>
      <c r="F134" t="inlineStr">
        <is>
          <t>VÄSTMANLANDS LÄN</t>
        </is>
      </c>
      <c r="G134" t="inlineStr">
        <is>
          <t>VÄSTERÅS</t>
        </is>
      </c>
      <c r="I134" t="n">
        <v>7.7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46284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46284</v>
      </c>
      <c r="F136" t="inlineStr">
        <is>
          <t>VÄSTMANLANDS LÄN</t>
        </is>
      </c>
      <c r="G136" t="inlineStr">
        <is>
          <t>VÄSTERÅS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44635</v>
      </c>
      <c r="E137" s="1" t="n">
        <v>46284</v>
      </c>
      <c r="F137" t="inlineStr">
        <is>
          <t>VÄSTMANLANDS LÄN</t>
        </is>
      </c>
      <c r="G137" t="inlineStr">
        <is>
          <t>VÄSTERÅS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46284</v>
      </c>
      <c r="F138" t="inlineStr">
        <is>
          <t>VÄSTMANLANDS LÄN</t>
        </is>
      </c>
      <c r="G138" t="inlineStr">
        <is>
          <t>VÄSTERÅS</t>
        </is>
      </c>
      <c r="I138" t="n">
        <v>12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46284</v>
      </c>
      <c r="F139" t="inlineStr">
        <is>
          <t>VÄSTMANLANDS LÄN</t>
        </is>
      </c>
      <c r="G139" t="inlineStr">
        <is>
          <t>VÄSTERÅS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45595</v>
      </c>
      <c r="E140" s="1" t="n">
        <v>46284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Aktiebolag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46284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46284</v>
      </c>
      <c r="F142" t="inlineStr">
        <is>
          <t>VÄSTMANLANDS LÄN</t>
        </is>
      </c>
      <c r="G142" t="inlineStr">
        <is>
          <t>VÄSTERÅS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46284</v>
      </c>
      <c r="F143" t="inlineStr">
        <is>
          <t>VÄSTMANLANDS LÄN</t>
        </is>
      </c>
      <c r="G143" t="inlineStr">
        <is>
          <t>VÄSTERÅS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46284</v>
      </c>
      <c r="F144" t="inlineStr">
        <is>
          <t>VÄSTMANLANDS LÄN</t>
        </is>
      </c>
      <c r="G144" t="inlineStr">
        <is>
          <t>VÄSTERÅS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45027</v>
      </c>
      <c r="E145" s="1" t="n">
        <v>46284</v>
      </c>
      <c r="F145" t="inlineStr">
        <is>
          <t>VÄSTMANLANDS LÄN</t>
        </is>
      </c>
      <c r="G145" t="inlineStr">
        <is>
          <t>VÄSTERÅS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45027</v>
      </c>
      <c r="E146" s="1" t="n">
        <v>46284</v>
      </c>
      <c r="F146" t="inlineStr">
        <is>
          <t>VÄSTMANLANDS LÄN</t>
        </is>
      </c>
      <c r="G146" t="inlineStr">
        <is>
          <t>VÄSTERÅS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46284</v>
      </c>
      <c r="F147" t="inlineStr">
        <is>
          <t>VÄSTMANLANDS LÄN</t>
        </is>
      </c>
      <c r="G147" t="inlineStr">
        <is>
          <t>VÄSTERÅS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46284</v>
      </c>
      <c r="F148" t="inlineStr">
        <is>
          <t>VÄSTMANLANDS LÄN</t>
        </is>
      </c>
      <c r="G148" t="inlineStr">
        <is>
          <t>VÄSTERÅS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46284</v>
      </c>
      <c r="F149" t="inlineStr">
        <is>
          <t>VÄSTMANLANDS LÄN</t>
        </is>
      </c>
      <c r="G149" t="inlineStr">
        <is>
          <t>VÄSTERÅS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46284</v>
      </c>
      <c r="F150" t="inlineStr">
        <is>
          <t>VÄSTMANLANDS LÄN</t>
        </is>
      </c>
      <c r="G150" t="inlineStr">
        <is>
          <t>VÄSTERÅS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52015-2024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45607</v>
      </c>
      <c r="E151" s="1" t="n">
        <v>46284</v>
      </c>
      <c r="F151" t="inlineStr">
        <is>
          <t>VÄSTMANLANDS LÄN</t>
        </is>
      </c>
      <c r="G151" t="inlineStr">
        <is>
          <t>VÄSTERÅS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46284</v>
      </c>
      <c r="F152" t="inlineStr">
        <is>
          <t>VÄSTMANLANDS LÄN</t>
        </is>
      </c>
      <c r="G152" t="inlineStr">
        <is>
          <t>VÄSTERÅS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46284</v>
      </c>
      <c r="F153" t="inlineStr">
        <is>
          <t>VÄSTMANLANDS LÄN</t>
        </is>
      </c>
      <c r="G153" t="inlineStr">
        <is>
          <t>VÄSTERÅS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46284</v>
      </c>
      <c r="F154" t="inlineStr">
        <is>
          <t>VÄSTMANLANDS LÄN</t>
        </is>
      </c>
      <c r="G154" t="inlineStr">
        <is>
          <t>VÄSTERÅS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46284</v>
      </c>
      <c r="F155" t="inlineStr">
        <is>
          <t>VÄSTMANLANDS LÄN</t>
        </is>
      </c>
      <c r="G155" t="inlineStr">
        <is>
          <t>VÄSTERÅS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44582</v>
      </c>
      <c r="E156" s="1" t="n">
        <v>46284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46284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statliga verk och myndigheter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44812</v>
      </c>
      <c r="E158" s="1" t="n">
        <v>46284</v>
      </c>
      <c r="F158" t="inlineStr">
        <is>
          <t>VÄSTMANLANDS LÄN</t>
        </is>
      </c>
      <c r="G158" t="inlineStr">
        <is>
          <t>VÄSTERÅS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46284</v>
      </c>
      <c r="F159" t="inlineStr">
        <is>
          <t>VÄSTMANLANDS LÄN</t>
        </is>
      </c>
      <c r="G159" t="inlineStr">
        <is>
          <t>VÄSTERÅS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46284</v>
      </c>
      <c r="F160" t="inlineStr">
        <is>
          <t>VÄSTMANLANDS LÄN</t>
        </is>
      </c>
      <c r="G160" t="inlineStr">
        <is>
          <t>VÄSTERÅS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45042</v>
      </c>
      <c r="E161" s="1" t="n">
        <v>46284</v>
      </c>
      <c r="F161" t="inlineStr">
        <is>
          <t>VÄSTMANLANDS LÄN</t>
        </is>
      </c>
      <c r="G161" t="inlineStr">
        <is>
          <t>VÄSTERÅS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45279</v>
      </c>
      <c r="E162" s="1" t="n">
        <v>46284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46284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46284</v>
      </c>
      <c r="F164" t="inlineStr">
        <is>
          <t>VÄSTMANLANDS LÄN</t>
        </is>
      </c>
      <c r="G164" t="inlineStr">
        <is>
          <t>VÄSTERÅS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46284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Övriga statliga verk och myndigheter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46284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Kyrkan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46284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46284</v>
      </c>
      <c r="F168" t="inlineStr">
        <is>
          <t>VÄSTMANLANDS LÄN</t>
        </is>
      </c>
      <c r="G168" t="inlineStr">
        <is>
          <t>VÄSTERÅS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46284</v>
      </c>
      <c r="F169" t="inlineStr">
        <is>
          <t>VÄSTMANLANDS LÄN</t>
        </is>
      </c>
      <c r="G169" t="inlineStr">
        <is>
          <t>VÄSTERÅS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44595</v>
      </c>
      <c r="E170" s="1" t="n">
        <v>46284</v>
      </c>
      <c r="F170" t="inlineStr">
        <is>
          <t>VÄSTMANLANDS LÄN</t>
        </is>
      </c>
      <c r="G170" t="inlineStr">
        <is>
          <t>VÄSTERÅS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46284</v>
      </c>
      <c r="F171" t="inlineStr">
        <is>
          <t>VÄSTMANLANDS LÄN</t>
        </is>
      </c>
      <c r="G171" t="inlineStr">
        <is>
          <t>VÄSTERÅS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46284</v>
      </c>
      <c r="F172" t="inlineStr">
        <is>
          <t>VÄSTMANLANDS LÄN</t>
        </is>
      </c>
      <c r="G172" t="inlineStr">
        <is>
          <t>VÄSTERÅS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46284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46284</v>
      </c>
      <c r="F174" t="inlineStr">
        <is>
          <t>VÄSTMANLANDS LÄN</t>
        </is>
      </c>
      <c r="G174" t="inlineStr">
        <is>
          <t>VÄSTERÅS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46284</v>
      </c>
      <c r="F175" t="inlineStr">
        <is>
          <t>VÄSTMANLANDS LÄN</t>
        </is>
      </c>
      <c r="G175" t="inlineStr">
        <is>
          <t>VÄSTERÅS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46284</v>
      </c>
      <c r="F176" t="inlineStr">
        <is>
          <t>VÄSTMANLANDS LÄN</t>
        </is>
      </c>
      <c r="G176" t="inlineStr">
        <is>
          <t>VÄSTERÅS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63851-2021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44509</v>
      </c>
      <c r="E177" s="1" t="n">
        <v>46284</v>
      </c>
      <c r="F177" t="inlineStr">
        <is>
          <t>VÄSTMANLANDS LÄN</t>
        </is>
      </c>
      <c r="G177" t="inlineStr">
        <is>
          <t>VÄSTERÅS</t>
        </is>
      </c>
      <c r="I177" t="n">
        <v>11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45077</v>
      </c>
      <c r="E178" s="1" t="n">
        <v>46284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46284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44914</v>
      </c>
      <c r="E180" s="1" t="n">
        <v>46284</v>
      </c>
      <c r="F180" t="inlineStr">
        <is>
          <t>VÄSTMANLANDS LÄN</t>
        </is>
      </c>
      <c r="G180" t="inlineStr">
        <is>
          <t>VÄSTERÅS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46284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18457-2023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45042</v>
      </c>
      <c r="E182" s="1" t="n">
        <v>46284</v>
      </c>
      <c r="F182" t="inlineStr">
        <is>
          <t>VÄSTMANLANDS LÄN</t>
        </is>
      </c>
      <c r="G182" t="inlineStr">
        <is>
          <t>VÄSTERÅS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46162</v>
      </c>
      <c r="E183" s="1" t="n">
        <v>46284</v>
      </c>
      <c r="F183" t="inlineStr">
        <is>
          <t>VÄSTMANLANDS LÄN</t>
        </is>
      </c>
      <c r="G183" t="inlineStr">
        <is>
          <t>VÄSTERÅS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44717</v>
      </c>
      <c r="E184" s="1" t="n">
        <v>46284</v>
      </c>
      <c r="F184" t="inlineStr">
        <is>
          <t>VÄSTMANLANDS LÄN</t>
        </is>
      </c>
      <c r="G184" t="inlineStr">
        <is>
          <t>VÄSTERÅS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46284</v>
      </c>
      <c r="F185" t="inlineStr">
        <is>
          <t>VÄSTMANLANDS LÄN</t>
        </is>
      </c>
      <c r="G185" t="inlineStr">
        <is>
          <t>VÄSTERÅS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46284</v>
      </c>
      <c r="F186" t="inlineStr">
        <is>
          <t>VÄSTMANLANDS LÄN</t>
        </is>
      </c>
      <c r="G186" t="inlineStr">
        <is>
          <t>VÄSTERÅS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44680</v>
      </c>
      <c r="E187" s="1" t="n">
        <v>46284</v>
      </c>
      <c r="F187" t="inlineStr">
        <is>
          <t>VÄSTMANLANDS LÄN</t>
        </is>
      </c>
      <c r="G187" t="inlineStr">
        <is>
          <t>VÄSTERÅS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46284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46284</v>
      </c>
      <c r="F189" t="inlineStr">
        <is>
          <t>VÄSTMANLANDS LÄN</t>
        </is>
      </c>
      <c r="G189" t="inlineStr">
        <is>
          <t>VÄSTERÅS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46284</v>
      </c>
      <c r="F190" t="inlineStr">
        <is>
          <t>VÄSTMANLANDS LÄN</t>
        </is>
      </c>
      <c r="G190" t="inlineStr">
        <is>
          <t>VÄSTERÅS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44636</v>
      </c>
      <c r="E191" s="1" t="n">
        <v>46284</v>
      </c>
      <c r="F191" t="inlineStr">
        <is>
          <t>VÄSTMANLANDS LÄN</t>
        </is>
      </c>
      <c r="G191" t="inlineStr">
        <is>
          <t>VÄSTERÅS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46284</v>
      </c>
      <c r="F192" t="inlineStr">
        <is>
          <t>VÄSTMANLANDS LÄN</t>
        </is>
      </c>
      <c r="G192" t="inlineStr">
        <is>
          <t>VÄSTERÅS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46284</v>
      </c>
      <c r="F193" t="inlineStr">
        <is>
          <t>VÄSTMANLANDS LÄN</t>
        </is>
      </c>
      <c r="G193" t="inlineStr">
        <is>
          <t>VÄSTERÅS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46284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45274</v>
      </c>
      <c r="E195" s="1" t="n">
        <v>46284</v>
      </c>
      <c r="F195" t="inlineStr">
        <is>
          <t>VÄSTMANLANDS LÄN</t>
        </is>
      </c>
      <c r="G195" t="inlineStr">
        <is>
          <t>VÄSTERÅS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46284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44899</v>
      </c>
      <c r="E197" s="1" t="n">
        <v>46284</v>
      </c>
      <c r="F197" t="inlineStr">
        <is>
          <t>VÄSTMANLANDS LÄN</t>
        </is>
      </c>
      <c r="G197" t="inlineStr">
        <is>
          <t>VÄSTERÅS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46284</v>
      </c>
      <c r="F198" t="inlineStr">
        <is>
          <t>VÄSTMANLANDS LÄN</t>
        </is>
      </c>
      <c r="G198" t="inlineStr">
        <is>
          <t>VÄSTERÅS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15350-2023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45019</v>
      </c>
      <c r="E199" s="1" t="n">
        <v>46284</v>
      </c>
      <c r="F199" t="inlineStr">
        <is>
          <t>VÄSTMANLANDS LÄN</t>
        </is>
      </c>
      <c r="G199" t="inlineStr">
        <is>
          <t>VÄSTERÅS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46170</v>
      </c>
      <c r="E200" s="1" t="n">
        <v>46284</v>
      </c>
      <c r="F200" t="inlineStr">
        <is>
          <t>VÄSTMANLANDS LÄN</t>
        </is>
      </c>
      <c r="G200" t="inlineStr">
        <is>
          <t>VÄSTERÅS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46284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Allmännings- och besparingsskogar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12143-2022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46284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Kommuner</t>
        </is>
      </c>
      <c r="I202" t="n">
        <v>12.9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44636</v>
      </c>
      <c r="E203" s="1" t="n">
        <v>46284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Kommuner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46284</v>
      </c>
      <c r="F204" t="inlineStr">
        <is>
          <t>VÄSTMANLANDS LÄN</t>
        </is>
      </c>
      <c r="G204" t="inlineStr">
        <is>
          <t>VÄSTERÅS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46284</v>
      </c>
      <c r="F205" t="inlineStr">
        <is>
          <t>VÄSTMANLANDS LÄN</t>
        </is>
      </c>
      <c r="G205" t="inlineStr">
        <is>
          <t>VÄSTERÅS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46284</v>
      </c>
      <c r="F206" t="inlineStr">
        <is>
          <t>VÄSTMANLANDS LÄN</t>
        </is>
      </c>
      <c r="G206" t="inlineStr">
        <is>
          <t>VÄSTERÅS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15889-2022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46284</v>
      </c>
      <c r="F207" t="inlineStr">
        <is>
          <t>VÄSTMANLANDS LÄN</t>
        </is>
      </c>
      <c r="G207" t="inlineStr">
        <is>
          <t>VÄSTERÅS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46284</v>
      </c>
      <c r="F208" t="inlineStr">
        <is>
          <t>VÄSTMANLANDS LÄN</t>
        </is>
      </c>
      <c r="G208" t="inlineStr">
        <is>
          <t>VÄSTERÅS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45019</v>
      </c>
      <c r="E209" s="1" t="n">
        <v>46284</v>
      </c>
      <c r="F209" t="inlineStr">
        <is>
          <t>VÄSTMANLANDS LÄN</t>
        </is>
      </c>
      <c r="G209" t="inlineStr">
        <is>
          <t>VÄSTERÅS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46284</v>
      </c>
      <c r="F210" t="inlineStr">
        <is>
          <t>VÄSTMANLANDS LÄN</t>
        </is>
      </c>
      <c r="G210" t="inlineStr">
        <is>
          <t>VÄSTERÅS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18482-2023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45042</v>
      </c>
      <c r="E211" s="1" t="n">
        <v>46284</v>
      </c>
      <c r="F211" t="inlineStr">
        <is>
          <t>VÄSTMANLANDS LÄN</t>
        </is>
      </c>
      <c r="G211" t="inlineStr">
        <is>
          <t>VÄSTERÅS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46284</v>
      </c>
      <c r="F212" t="inlineStr">
        <is>
          <t>VÄSTMANLANDS LÄN</t>
        </is>
      </c>
      <c r="G212" t="inlineStr">
        <is>
          <t>VÄSTERÅS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46284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46284</v>
      </c>
      <c r="F214" t="inlineStr">
        <is>
          <t>VÄSTMANLANDS LÄN</t>
        </is>
      </c>
      <c r="G214" t="inlineStr">
        <is>
          <t>VÄSTERÅS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7797-2026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46062</v>
      </c>
      <c r="E215" s="1" t="n">
        <v>46284</v>
      </c>
      <c r="F215" t="inlineStr">
        <is>
          <t>VÄSTMANLANDS LÄN</t>
        </is>
      </c>
      <c r="G215" t="inlineStr">
        <is>
          <t>VÄSTERÅS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45083</v>
      </c>
      <c r="E216" s="1" t="n">
        <v>46284</v>
      </c>
      <c r="F216" t="inlineStr">
        <is>
          <t>VÄSTMANLANDS LÄN</t>
        </is>
      </c>
      <c r="G216" t="inlineStr">
        <is>
          <t>VÄSTERÅS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45400</v>
      </c>
      <c r="E217" s="1" t="n">
        <v>46284</v>
      </c>
      <c r="F217" t="inlineStr">
        <is>
          <t>VÄSTMANLANDS LÄN</t>
        </is>
      </c>
      <c r="G217" t="inlineStr">
        <is>
          <t>VÄSTERÅS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44606</v>
      </c>
      <c r="E218" s="1" t="n">
        <v>46284</v>
      </c>
      <c r="F218" t="inlineStr">
        <is>
          <t>VÄSTMANLANDS LÄN</t>
        </is>
      </c>
      <c r="G218" t="inlineStr">
        <is>
          <t>VÄSTERÅS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46284</v>
      </c>
      <c r="F219" t="inlineStr">
        <is>
          <t>VÄSTMANLANDS LÄN</t>
        </is>
      </c>
      <c r="G219" t="inlineStr">
        <is>
          <t>VÄSTERÅS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46284</v>
      </c>
      <c r="F220" t="inlineStr">
        <is>
          <t>VÄSTMANLANDS LÄN</t>
        </is>
      </c>
      <c r="G220" t="inlineStr">
        <is>
          <t>VÄSTERÅS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52027-2025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45952</v>
      </c>
      <c r="E221" s="1" t="n">
        <v>46284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Övriga statliga verk och myndigheter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46079</v>
      </c>
      <c r="E222" s="1" t="n">
        <v>46284</v>
      </c>
      <c r="F222" t="inlineStr">
        <is>
          <t>VÄSTMANLANDS LÄN</t>
        </is>
      </c>
      <c r="G222" t="inlineStr">
        <is>
          <t>VÄSTERÅS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46284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Allmännings- och besparingsskogar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46284</v>
      </c>
      <c r="F224" t="inlineStr">
        <is>
          <t>VÄSTMANLANDS LÄN</t>
        </is>
      </c>
      <c r="G224" t="inlineStr">
        <is>
          <t>VÄSTERÅS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46284</v>
      </c>
      <c r="F225" t="inlineStr">
        <is>
          <t>VÄSTMANLANDS LÄN</t>
        </is>
      </c>
      <c r="G225" t="inlineStr">
        <is>
          <t>VÄSTERÅS</t>
        </is>
      </c>
      <c r="I225" t="n">
        <v>20.3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46284</v>
      </c>
      <c r="F226" t="inlineStr">
        <is>
          <t>VÄSTMANLANDS LÄN</t>
        </is>
      </c>
      <c r="G226" t="inlineStr">
        <is>
          <t>VÄSTERÅS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46284</v>
      </c>
      <c r="F227" t="inlineStr">
        <is>
          <t>VÄSTMANLANDS LÄN</t>
        </is>
      </c>
      <c r="G227" t="inlineStr">
        <is>
          <t>VÄSTERÅS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46284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67352-2021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44523</v>
      </c>
      <c r="E229" s="1" t="n">
        <v>46284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Övriga Aktiebolag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46284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46284</v>
      </c>
      <c r="F231" t="inlineStr">
        <is>
          <t>VÄSTMANLANDS LÄN</t>
        </is>
      </c>
      <c r="G231" t="inlineStr">
        <is>
          <t>VÄSTERÅS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46284</v>
      </c>
      <c r="F232" t="inlineStr">
        <is>
          <t>VÄSTMANLANDS LÄN</t>
        </is>
      </c>
      <c r="G232" t="inlineStr">
        <is>
          <t>VÄSTERÅS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46284</v>
      </c>
      <c r="F233" t="inlineStr">
        <is>
          <t>VÄSTMANLANDS LÄN</t>
        </is>
      </c>
      <c r="G233" t="inlineStr">
        <is>
          <t>VÄSTERÅS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44874</v>
      </c>
      <c r="E234" s="1" t="n">
        <v>46284</v>
      </c>
      <c r="F234" t="inlineStr">
        <is>
          <t>VÄSTMANLANDS LÄN</t>
        </is>
      </c>
      <c r="G234" t="inlineStr">
        <is>
          <t>VÄSTERÅS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46284</v>
      </c>
      <c r="F235" t="inlineStr">
        <is>
          <t>VÄSTMANLANDS LÄN</t>
        </is>
      </c>
      <c r="G235" t="inlineStr">
        <is>
          <t>VÄSTERÅS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27301-2026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46284</v>
      </c>
      <c r="F236" t="inlineStr">
        <is>
          <t>VÄSTMANLANDS LÄN</t>
        </is>
      </c>
      <c r="G236" t="inlineStr">
        <is>
          <t>VÄSTERÅS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46284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46190</v>
      </c>
      <c r="E238" s="1" t="n">
        <v>46284</v>
      </c>
      <c r="F238" t="inlineStr">
        <is>
          <t>VÄSTMANLANDS LÄN</t>
        </is>
      </c>
      <c r="G238" t="inlineStr">
        <is>
          <t>VÄSTERÅS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45264</v>
      </c>
      <c r="E239" s="1" t="n">
        <v>46284</v>
      </c>
      <c r="F239" t="inlineStr">
        <is>
          <t>VÄSTMANLANDS LÄN</t>
        </is>
      </c>
      <c r="G239" t="inlineStr">
        <is>
          <t>VÄSTERÅS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18467-2023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45042</v>
      </c>
      <c r="E240" s="1" t="n">
        <v>46284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28341-2026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46284</v>
      </c>
      <c r="F241" t="inlineStr">
        <is>
          <t>VÄSTMANLANDS LÄN</t>
        </is>
      </c>
      <c r="G241" t="inlineStr">
        <is>
          <t>VÄSTERÅS</t>
        </is>
      </c>
      <c r="I241" t="n">
        <v>14.1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45457</v>
      </c>
      <c r="E242" s="1" t="n">
        <v>46284</v>
      </c>
      <c r="F242" t="inlineStr">
        <is>
          <t>VÄSTMANLANDS LÄN</t>
        </is>
      </c>
      <c r="G242" t="inlineStr">
        <is>
          <t>VÄSTERÅS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46284</v>
      </c>
      <c r="F243" t="inlineStr">
        <is>
          <t>VÄSTMANLANDS LÄN</t>
        </is>
      </c>
      <c r="G243" t="inlineStr">
        <is>
          <t>VÄSTERÅS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46284</v>
      </c>
      <c r="F244" t="inlineStr">
        <is>
          <t>VÄSTMANLANDS LÄN</t>
        </is>
      </c>
      <c r="G244" t="inlineStr">
        <is>
          <t>VÄSTERÅS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39817-2024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46284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Kyrkan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16685-2026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46284</v>
      </c>
      <c r="F246" t="inlineStr">
        <is>
          <t>VÄSTMANLANDS LÄN</t>
        </is>
      </c>
      <c r="G246" t="inlineStr">
        <is>
          <t>VÄSTERÅS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46284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46284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46284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46112</v>
      </c>
      <c r="E250" s="1" t="n">
        <v>46284</v>
      </c>
      <c r="F250" t="inlineStr">
        <is>
          <t>VÄSTMANLANDS LÄN</t>
        </is>
      </c>
      <c r="G250" t="inlineStr">
        <is>
          <t>VÄSTERÅS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67350-2021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44523</v>
      </c>
      <c r="E251" s="1" t="n">
        <v>46284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Övriga Aktiebolag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44623</v>
      </c>
      <c r="E252" s="1" t="n">
        <v>46284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46284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Allmännings- och besparingsskogar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46284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Kommuner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46284</v>
      </c>
      <c r="F255" t="inlineStr">
        <is>
          <t>VÄSTMANLANDS LÄN</t>
        </is>
      </c>
      <c r="G255" t="inlineStr">
        <is>
          <t>VÄSTERÅS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73994-2021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44556</v>
      </c>
      <c r="E256" s="1" t="n">
        <v>46284</v>
      </c>
      <c r="F256" t="inlineStr">
        <is>
          <t>VÄSTMANLANDS LÄN</t>
        </is>
      </c>
      <c r="G256" t="inlineStr">
        <is>
          <t>VÄSTERÅS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61249-2021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44498</v>
      </c>
      <c r="E257" s="1" t="n">
        <v>46284</v>
      </c>
      <c r="F257" t="inlineStr">
        <is>
          <t>VÄSTMANLANDS LÄN</t>
        </is>
      </c>
      <c r="G257" t="inlineStr">
        <is>
          <t>VÄSTERÅS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50987-2024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46284</v>
      </c>
      <c r="F258" t="inlineStr">
        <is>
          <t>VÄSTMANLANDS LÄN</t>
        </is>
      </c>
      <c r="G258" t="inlineStr">
        <is>
          <t>VÄSTERÅS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46284</v>
      </c>
      <c r="F259" t="inlineStr">
        <is>
          <t>VÄSTMANLANDS LÄN</t>
        </is>
      </c>
      <c r="G259" t="inlineStr">
        <is>
          <t>VÄSTERÅS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44792</v>
      </c>
      <c r="E260" s="1" t="n">
        <v>46284</v>
      </c>
      <c r="F260" t="inlineStr">
        <is>
          <t>VÄSTMANLANDS LÄN</t>
        </is>
      </c>
      <c r="G260" t="inlineStr">
        <is>
          <t>VÄSTERÅS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46284</v>
      </c>
      <c r="F261" t="inlineStr">
        <is>
          <t>VÄSTMANLANDS LÄN</t>
        </is>
      </c>
      <c r="G261" t="inlineStr">
        <is>
          <t>VÄSTERÅS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52569-2022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44874</v>
      </c>
      <c r="E262" s="1" t="n">
        <v>46284</v>
      </c>
      <c r="F262" t="inlineStr">
        <is>
          <t>VÄSTMANLANDS LÄN</t>
        </is>
      </c>
      <c r="G262" t="inlineStr">
        <is>
          <t>VÄSTERÅS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44708</v>
      </c>
      <c r="E263" s="1" t="n">
        <v>46284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Sveaskog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44755</v>
      </c>
      <c r="E264" s="1" t="n">
        <v>46284</v>
      </c>
      <c r="F264" t="inlineStr">
        <is>
          <t>VÄSTMANLANDS LÄN</t>
        </is>
      </c>
      <c r="G264" t="inlineStr">
        <is>
          <t>VÄSTERÅS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67353-2021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44523</v>
      </c>
      <c r="E265" s="1" t="n">
        <v>46284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Aktiebolag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45169</v>
      </c>
      <c r="E266" s="1" t="n">
        <v>46284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56980-2021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44482</v>
      </c>
      <c r="E267" s="1" t="n">
        <v>46284</v>
      </c>
      <c r="F267" t="inlineStr">
        <is>
          <t>VÄSTMANLANDS LÄN</t>
        </is>
      </c>
      <c r="G267" t="inlineStr">
        <is>
          <t>VÄSTERÅS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45705</v>
      </c>
      <c r="E268" s="1" t="n">
        <v>46284</v>
      </c>
      <c r="F268" t="inlineStr">
        <is>
          <t>VÄSTMANLANDS LÄN</t>
        </is>
      </c>
      <c r="G268" t="inlineStr">
        <is>
          <t>VÄSTERÅS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45713</v>
      </c>
      <c r="E269" s="1" t="n">
        <v>46284</v>
      </c>
      <c r="F269" t="inlineStr">
        <is>
          <t>VÄSTMANLANDS LÄN</t>
        </is>
      </c>
      <c r="G269" t="inlineStr">
        <is>
          <t>VÄSTERÅS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44658</v>
      </c>
      <c r="E270" s="1" t="n">
        <v>46284</v>
      </c>
      <c r="F270" t="inlineStr">
        <is>
          <t>VÄSTMANLANDS LÄN</t>
        </is>
      </c>
      <c r="G270" t="inlineStr">
        <is>
          <t>VÄSTERÅS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46284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46080</v>
      </c>
      <c r="E272" s="1" t="n">
        <v>46284</v>
      </c>
      <c r="F272" t="inlineStr">
        <is>
          <t>VÄSTMANLANDS LÄN</t>
        </is>
      </c>
      <c r="G272" t="inlineStr">
        <is>
          <t>VÄSTERÅS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46284</v>
      </c>
      <c r="F273" t="inlineStr">
        <is>
          <t>VÄSTMANLANDS LÄN</t>
        </is>
      </c>
      <c r="G273" t="inlineStr">
        <is>
          <t>VÄSTERÅS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64714-2023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46284</v>
      </c>
      <c r="F274" t="inlineStr">
        <is>
          <t>VÄSTMANLANDS LÄN</t>
        </is>
      </c>
      <c r="G274" t="inlineStr">
        <is>
          <t>VÄSTERÅS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8727-2023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44978</v>
      </c>
      <c r="E275" s="1" t="n">
        <v>46284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Kyrkan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16214-2023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45028</v>
      </c>
      <c r="E276" s="1" t="n">
        <v>46284</v>
      </c>
      <c r="F276" t="inlineStr">
        <is>
          <t>VÄSTMANLANDS LÄN</t>
        </is>
      </c>
      <c r="G276" t="inlineStr">
        <is>
          <t>VÄSTERÅS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46284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46284</v>
      </c>
      <c r="F278" t="inlineStr">
        <is>
          <t>VÄSTMANLANDS LÄN</t>
        </is>
      </c>
      <c r="G278" t="inlineStr">
        <is>
          <t>VÄSTERÅS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46284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46213</v>
      </c>
      <c r="E280" s="1" t="n">
        <v>46284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Sveaskog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46284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46284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46284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46284</v>
      </c>
      <c r="F284" t="inlineStr">
        <is>
          <t>VÄSTMANLANDS LÄN</t>
        </is>
      </c>
      <c r="G284" t="inlineStr">
        <is>
          <t>VÄSTERÅS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70642-2021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44537</v>
      </c>
      <c r="E285" s="1" t="n">
        <v>46284</v>
      </c>
      <c r="F285" t="inlineStr">
        <is>
          <t>VÄSTMANLANDS LÄN</t>
        </is>
      </c>
      <c r="G285" t="inlineStr">
        <is>
          <t>VÄSTERÅS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23765-2022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46284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46284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46215</v>
      </c>
      <c r="E288" s="1" t="n">
        <v>46284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46215</v>
      </c>
      <c r="E289" s="1" t="n">
        <v>46284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64793-2023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46284</v>
      </c>
      <c r="F290" t="inlineStr">
        <is>
          <t>VÄSTMANLANDS LÄN</t>
        </is>
      </c>
      <c r="G290" t="inlineStr">
        <is>
          <t>VÄSTERÅS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45296</v>
      </c>
      <c r="E291" s="1" t="n">
        <v>46284</v>
      </c>
      <c r="F291" t="inlineStr">
        <is>
          <t>VÄSTMANLANDS LÄN</t>
        </is>
      </c>
      <c r="G291" t="inlineStr">
        <is>
          <t>VÄSTERÅS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17808-2023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45037</v>
      </c>
      <c r="E292" s="1" t="n">
        <v>46284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46284</v>
      </c>
      <c r="F293" t="inlineStr">
        <is>
          <t>VÄSTMANLANDS LÄN</t>
        </is>
      </c>
      <c r="G293" t="inlineStr">
        <is>
          <t>VÄSTERÅS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46284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46217</v>
      </c>
      <c r="E295" s="1" t="n">
        <v>46284</v>
      </c>
      <c r="F295" t="inlineStr">
        <is>
          <t>VÄSTMANLANDS LÄN</t>
        </is>
      </c>
      <c r="G295" t="inlineStr">
        <is>
          <t>VÄSTERÅS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73597-2021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44552</v>
      </c>
      <c r="E296" s="1" t="n">
        <v>46284</v>
      </c>
      <c r="F296" t="inlineStr">
        <is>
          <t>VÄSTMANLANDS LÄN</t>
        </is>
      </c>
      <c r="G296" t="inlineStr">
        <is>
          <t>VÄSTERÅS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46284</v>
      </c>
      <c r="F297" t="inlineStr">
        <is>
          <t>VÄSTMANLANDS LÄN</t>
        </is>
      </c>
      <c r="G297" t="inlineStr">
        <is>
          <t>VÄSTERÅS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46284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22700-2024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45448</v>
      </c>
      <c r="E299" s="1" t="n">
        <v>46284</v>
      </c>
      <c r="F299" t="inlineStr">
        <is>
          <t>VÄSTMANLANDS LÄN</t>
        </is>
      </c>
      <c r="G299" t="inlineStr">
        <is>
          <t>VÄSTERÅS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46284</v>
      </c>
      <c r="F300" t="inlineStr">
        <is>
          <t>VÄSTMANLANDS LÄN</t>
        </is>
      </c>
      <c r="G300" t="inlineStr">
        <is>
          <t>VÄSTERÅS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44657</v>
      </c>
      <c r="E301" s="1" t="n">
        <v>46284</v>
      </c>
      <c r="F301" t="inlineStr">
        <is>
          <t>VÄSTMANLANDS LÄN</t>
        </is>
      </c>
      <c r="G301" t="inlineStr">
        <is>
          <t>VÄSTERÅS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46284</v>
      </c>
      <c r="F302" t="inlineStr">
        <is>
          <t>VÄSTMANLANDS LÄN</t>
        </is>
      </c>
      <c r="G302" t="inlineStr">
        <is>
          <t>VÄSTERÅS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45378</v>
      </c>
      <c r="E303" s="1" t="n">
        <v>46284</v>
      </c>
      <c r="F303" t="inlineStr">
        <is>
          <t>VÄSTMANLANDS LÄN</t>
        </is>
      </c>
      <c r="G303" t="inlineStr">
        <is>
          <t>VÄSTERÅS</t>
        </is>
      </c>
      <c r="I303" t="n">
        <v>15.4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46284</v>
      </c>
      <c r="F304" t="inlineStr">
        <is>
          <t>VÄSTMANLANDS LÄN</t>
        </is>
      </c>
      <c r="G304" t="inlineStr">
        <is>
          <t>VÄSTERÅS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46272</v>
      </c>
      <c r="E305" s="1" t="n">
        <v>46284</v>
      </c>
      <c r="F305" t="inlineStr">
        <is>
          <t>VÄSTMANLANDS LÄN</t>
        </is>
      </c>
      <c r="G305" t="inlineStr">
        <is>
          <t>VÄSTERÅS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46274</v>
      </c>
      <c r="E306" s="1" t="n">
        <v>46284</v>
      </c>
      <c r="F306" t="inlineStr">
        <is>
          <t>VÄSTMANLANDS LÄN</t>
        </is>
      </c>
      <c r="G306" t="inlineStr">
        <is>
          <t>VÄSTERÅS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46274</v>
      </c>
      <c r="E307" s="1" t="n">
        <v>46284</v>
      </c>
      <c r="F307" t="inlineStr">
        <is>
          <t>VÄSTMANLANDS LÄN</t>
        </is>
      </c>
      <c r="G307" t="inlineStr">
        <is>
          <t>VÄSTERÅS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46284</v>
      </c>
      <c r="F308" t="inlineStr">
        <is>
          <t>VÄSTMANLANDS LÄN</t>
        </is>
      </c>
      <c r="G308" t="inlineStr">
        <is>
          <t>VÄSTERÅS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45506</v>
      </c>
      <c r="E309" s="1" t="n">
        <v>46284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Kommuner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46284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46284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56076-2023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45235</v>
      </c>
      <c r="E312" s="1" t="n">
        <v>46284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Övriga Aktiebolag</t>
        </is>
      </c>
      <c r="I312" t="n">
        <v>37.8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46284</v>
      </c>
      <c r="F313" t="inlineStr">
        <is>
          <t>VÄSTMANLANDS LÄN</t>
        </is>
      </c>
      <c r="G313" t="inlineStr">
        <is>
          <t>VÄSTERÅS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46284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46284</v>
      </c>
      <c r="F315" t="inlineStr">
        <is>
          <t>VÄSTMANLANDS LÄN</t>
        </is>
      </c>
      <c r="G315" t="inlineStr">
        <is>
          <t>VÄSTERÅS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45516</v>
      </c>
      <c r="E316" s="1" t="n">
        <v>46284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53836-2022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46284</v>
      </c>
      <c r="F317" t="inlineStr">
        <is>
          <t>VÄSTMANLANDS LÄN</t>
        </is>
      </c>
      <c r="G317" t="inlineStr">
        <is>
          <t>VÄSTERÅS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44880</v>
      </c>
      <c r="E318" s="1" t="n">
        <v>46284</v>
      </c>
      <c r="F318" t="inlineStr">
        <is>
          <t>VÄSTMANLANDS LÄN</t>
        </is>
      </c>
      <c r="G318" t="inlineStr">
        <is>
          <t>VÄSTERÅS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46284</v>
      </c>
      <c r="F319" t="inlineStr">
        <is>
          <t>VÄSTMANLANDS LÄN</t>
        </is>
      </c>
      <c r="G319" t="inlineStr">
        <is>
          <t>VÄSTERÅS</t>
        </is>
      </c>
      <c r="I319" t="n">
        <v>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31578-2025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46284</v>
      </c>
      <c r="F320" t="inlineStr">
        <is>
          <t>VÄSTMANLANDS LÄN</t>
        </is>
      </c>
      <c r="G320" t="inlineStr">
        <is>
          <t>VÄSTERÅS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46284</v>
      </c>
      <c r="F321" t="inlineStr">
        <is>
          <t>VÄSTMANLANDS LÄN</t>
        </is>
      </c>
      <c r="G321" t="inlineStr">
        <is>
          <t>VÄSTERÅS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46284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46284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46284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1415-2022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44634</v>
      </c>
      <c r="E325" s="1" t="n">
        <v>46284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Kyrkan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46284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46284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46284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2026-09-19T02:06:17Z</dcterms:created>
  <dcterms:modified xmlns:dcterms="http://purl.org/dc/terms/" xmlns:xsi="http://www.w3.org/2001/XMLSchema-instance" xsi:type="dcterms:W3CDTF">2026-09-19T02:06:18Z</dcterms:modified>
</cp:coreProperties>
</file>