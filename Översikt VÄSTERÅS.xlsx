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46252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46252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46252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46252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46252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46252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46252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46252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46252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46252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46252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64735-2023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46252</v>
      </c>
      <c r="F25" t="inlineStr">
        <is>
          <t>VÄSTMANLANDS LÄN</t>
        </is>
      </c>
      <c r="G25" t="inlineStr">
        <is>
          <t>VÄSTERÅS</t>
        </is>
      </c>
      <c r="H25" t="inlineStr">
        <is>
          <t>Övriga Aktiebolag</t>
        </is>
      </c>
      <c r="I25" t="n">
        <v>12.5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6</v>
      </c>
      <c r="U25" t="n">
        <v>1</v>
      </c>
      <c r="V25" s="2" t="inlineStr">
        <is>
          <t>Backsippa
Vårstarr
Gullviva</t>
        </is>
      </c>
      <c r="W25">
        <f>HYPERLINK("https://klasma.github.io/Logging_1980/artfynd/A 64735-2023 artfynd.xlsx", "A 64735-2023")</f>
        <v/>
      </c>
      <c r="X25">
        <f>HYPERLINK("https://klasma.github.io/Logging_1980/kartor/A 64735-2023 karta.png", "A 64735-2023")</f>
        <v/>
      </c>
      <c r="Y25">
        <f>HYPERLINK("https://klasma.github.io/Logging_1980/kartor_geotiff/A 64735-2023 georefererad karta.tif", "A 64735-2023")</f>
        <v/>
      </c>
      <c r="AA25">
        <f>HYPERLINK("https://klasma.github.io/Logging_1980/klagomål/A 64735-2023 FSC-klagomål.docx", "A 64735-2023")</f>
        <v/>
      </c>
      <c r="AB25">
        <f>HYPERLINK("https://klasma.github.io/Logging_1980/klagomålsmail/A 64735-2023 FSC-klagomål mail.docx", "A 64735-2023")</f>
        <v/>
      </c>
      <c r="AC25">
        <f>HYPERLINK("https://klasma.github.io/Logging_1980/tillsyn/A 64735-2023 tillsynsbegäran.docx", "A 64735-2023")</f>
        <v/>
      </c>
      <c r="AD25">
        <f>HYPERLINK("https://klasma.github.io/Logging_1980/tillsynsmail/A 64735-2023 tillsynsbegäran mail.docx", "A 64735-2023")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46252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46252</v>
      </c>
      <c r="F27" t="inlineStr">
        <is>
          <t>VÄSTMANLANDS LÄN</t>
        </is>
      </c>
      <c r="G27" t="inlineStr">
        <is>
          <t>VÄSTERÅS</t>
        </is>
      </c>
      <c r="I27" t="n">
        <v>13</v>
      </c>
      <c r="J27" t="n">
        <v>0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Källpraktmossa
Stubbspretmossa
Vanlig rörsvepemossa</t>
        </is>
      </c>
      <c r="W27">
        <f>HYPERLINK("https://klasma.github.io/Logging_1980/artfynd/A 64201-2023 artfynd.xlsx", "A 64201-2023")</f>
        <v/>
      </c>
      <c r="X27">
        <f>HYPERLINK("https://klasma.github.io/Logging_1980/kartor/A 64201-2023 karta.png", "A 64201-2023")</f>
        <v/>
      </c>
      <c r="Y27">
        <f>HYPERLINK("https://klasma.github.io/Logging_1980/kartor_geotiff/A 64201-2023 georefererad karta.tif", "A 64201-2023")</f>
        <v/>
      </c>
      <c r="AA27">
        <f>HYPERLINK("https://klasma.github.io/Logging_1980/klagomål/A 64201-2023 FSC-klagomål.docx", "A 64201-2023")</f>
        <v/>
      </c>
      <c r="AB27">
        <f>HYPERLINK("https://klasma.github.io/Logging_1980/klagomålsmail/A 64201-2023 FSC-klagomål mail.docx", "A 64201-2023")</f>
        <v/>
      </c>
      <c r="AC27">
        <f>HYPERLINK("https://klasma.github.io/Logging_1980/tillsyn/A 64201-2023 tillsynsbegäran.docx", "A 64201-2023")</f>
        <v/>
      </c>
      <c r="AD27">
        <f>HYPERLINK("https://klasma.github.io/Logging_1980/tillsynsmail/A 64201-2023 tillsynsbegäran mail.docx", "A 64201-2023")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46252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46252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46252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46252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46252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46252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46252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46252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46252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40886-2025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46252</v>
      </c>
      <c r="F42" t="inlineStr">
        <is>
          <t>VÄSTMANLANDS LÄN</t>
        </is>
      </c>
      <c r="G42" t="inlineStr">
        <is>
          <t>VÄSTERÅS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HYPERLINK("https://klasma.github.io/Logging_1980/artfynd/A 40886-2025 artfynd.xlsx", "A 40886-2025")</f>
        <v/>
      </c>
      <c r="X42">
        <f>HYPERLINK("https://klasma.github.io/Logging_1980/kartor/A 40886-2025 karta.png", "A 40886-2025")</f>
        <v/>
      </c>
      <c r="Y42">
        <f>HYPERLINK("https://klasma.github.io/Logging_1980/kartor_geotiff/A 40886-2025 georefererad karta.tif", "A 40886-2025")</f>
        <v/>
      </c>
      <c r="AA42">
        <f>HYPERLINK("https://klasma.github.io/Logging_1980/klagomål/A 40886-2025 FSC-klagomål.docx", "A 40886-2025")</f>
        <v/>
      </c>
      <c r="AB42">
        <f>HYPERLINK("https://klasma.github.io/Logging_1980/klagomålsmail/A 40886-2025 FSC-klagomål mail.docx", "A 40886-2025")</f>
        <v/>
      </c>
      <c r="AC42">
        <f>HYPERLINK("https://klasma.github.io/Logging_1980/tillsyn/A 40886-2025 tillsynsbegäran.docx", "A 40886-2025")</f>
        <v/>
      </c>
      <c r="AD42">
        <f>HYPERLINK("https://klasma.github.io/Logging_1980/tillsynsmail/A 40886-2025 tillsynsbegäran mail.docx", "A 40886-2025")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46252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HYPERLINK("https://klasma.github.io/Logging_1980/artfynd/A 50193-2022 artfynd.xlsx", "A 50193-2022")</f>
        <v/>
      </c>
      <c r="X43">
        <f>HYPERLINK("https://klasma.github.io/Logging_1980/kartor/A 50193-2022 karta.png", "A 50193-2022")</f>
        <v/>
      </c>
      <c r="Y43">
        <f>HYPERLINK("https://klasma.github.io/Logging_1980/kartor_geotiff/A 50193-2022 georefererad karta.tif", "A 50193-2022")</f>
        <v/>
      </c>
      <c r="AA43">
        <f>HYPERLINK("https://klasma.github.io/Logging_1980/klagomål/A 50193-2022 FSC-klagomål.docx", "A 50193-2022")</f>
        <v/>
      </c>
      <c r="AB43">
        <f>HYPERLINK("https://klasma.github.io/Logging_1980/klagomålsmail/A 50193-2022 FSC-klagomål mail.docx", "A 50193-2022")</f>
        <v/>
      </c>
      <c r="AC43">
        <f>HYPERLINK("https://klasma.github.io/Logging_1980/tillsyn/A 50193-2022 tillsynsbegäran.docx", "A 50193-2022")</f>
        <v/>
      </c>
      <c r="AD43">
        <f>HYPERLINK("https://klasma.github.io/Logging_1980/tillsynsmail/A 50193-2022 tillsynsbegäran mail.docx", "A 50193-2022")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46252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26568-2022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44739</v>
      </c>
      <c r="E45" s="1" t="n">
        <v>46252</v>
      </c>
      <c r="F45" t="inlineStr">
        <is>
          <t>VÄSTMANLANDS LÄN</t>
        </is>
      </c>
      <c r="G45" t="inlineStr">
        <is>
          <t>VÄSTERÅS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Mistel</t>
        </is>
      </c>
      <c r="W45">
        <f>HYPERLINK("https://klasma.github.io/Logging_1980/artfynd/A 26568-2022 artfynd.xlsx", "A 26568-2022")</f>
        <v/>
      </c>
      <c r="X45">
        <f>HYPERLINK("https://klasma.github.io/Logging_1980/kartor/A 26568-2022 karta.png", "A 26568-2022")</f>
        <v/>
      </c>
      <c r="Y45">
        <f>HYPERLINK("https://klasma.github.io/Logging_1980/kartor_geotiff/A 26568-2022 georefererad karta.tif", "A 26568-2022")</f>
        <v/>
      </c>
      <c r="AA45">
        <f>HYPERLINK("https://klasma.github.io/Logging_1980/klagomål/A 26568-2022 FSC-klagomål.docx", "A 26568-2022")</f>
        <v/>
      </c>
      <c r="AB45">
        <f>HYPERLINK("https://klasma.github.io/Logging_1980/klagomålsmail/A 26568-2022 FSC-klagomål mail.docx", "A 26568-2022")</f>
        <v/>
      </c>
      <c r="AC45">
        <f>HYPERLINK("https://klasma.github.io/Logging_1980/tillsyn/A 26568-2022 tillsynsbegäran.docx", "A 26568-2022")</f>
        <v/>
      </c>
      <c r="AD45">
        <f>HYPERLINK("https://klasma.github.io/Logging_1980/tillsynsmail/A 26568-2022 tillsynsbegäran mail.docx", "A 26568-2022")</f>
        <v/>
      </c>
    </row>
    <row r="46" ht="15" customHeight="1">
      <c r="A46" t="inlineStr">
        <is>
          <t>A 12905-2022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46252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23.9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HYPERLINK("https://klasma.github.io/Logging_1980/artfynd/A 12905-2022 artfynd.xlsx", "A 12905-2022")</f>
        <v/>
      </c>
      <c r="X46">
        <f>HYPERLINK("https://klasma.github.io/Logging_1980/kartor/A 12905-2022 karta.png", "A 12905-2022")</f>
        <v/>
      </c>
      <c r="Y46">
        <f>HYPERLINK("https://klasma.github.io/Logging_1980/kartor_geotiff/A 12905-2022 georefererad karta.tif", "A 12905-2022")</f>
        <v/>
      </c>
      <c r="AA46">
        <f>HYPERLINK("https://klasma.github.io/Logging_1980/klagomål/A 12905-2022 FSC-klagomål.docx", "A 12905-2022")</f>
        <v/>
      </c>
      <c r="AB46">
        <f>HYPERLINK("https://klasma.github.io/Logging_1980/klagomålsmail/A 12905-2022 FSC-klagomål mail.docx", "A 12905-2022")</f>
        <v/>
      </c>
      <c r="AC46">
        <f>HYPERLINK("https://klasma.github.io/Logging_1980/tillsyn/A 12905-2022 tillsynsbegäran.docx", "A 12905-2022")</f>
        <v/>
      </c>
      <c r="AD46">
        <f>HYPERLINK("https://klasma.github.io/Logging_1980/tillsynsmail/A 12905-2022 tillsynsbegäran mail.docx", "A 12905-2022")</f>
        <v/>
      </c>
    </row>
    <row r="47" ht="15" customHeight="1">
      <c r="A47" t="inlineStr">
        <is>
          <t>A 8362-2022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44610</v>
      </c>
      <c r="E47" s="1" t="n">
        <v>46252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3.7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Köpingfibbla</t>
        </is>
      </c>
      <c r="W47">
        <f>HYPERLINK("https://klasma.github.io/Logging_1980/artfynd/A 8362-2022 artfynd.xlsx", "A 8362-2022")</f>
        <v/>
      </c>
      <c r="X47">
        <f>HYPERLINK("https://klasma.github.io/Logging_1980/kartor/A 8362-2022 karta.png", "A 8362-2022")</f>
        <v/>
      </c>
      <c r="Y47">
        <f>HYPERLINK("https://klasma.github.io/Logging_1980/kartor_geotiff/A 8362-2022 georefererad karta.tif", "A 8362-2022")</f>
        <v/>
      </c>
      <c r="AA47">
        <f>HYPERLINK("https://klasma.github.io/Logging_1980/klagomål/A 8362-2022 FSC-klagomål.docx", "A 8362-2022")</f>
        <v/>
      </c>
      <c r="AB47">
        <f>HYPERLINK("https://klasma.github.io/Logging_1980/klagomålsmail/A 8362-2022 FSC-klagomål mail.docx", "A 8362-2022")</f>
        <v/>
      </c>
      <c r="AC47">
        <f>HYPERLINK("https://klasma.github.io/Logging_1980/tillsyn/A 8362-2022 tillsynsbegäran.docx", "A 8362-2022")</f>
        <v/>
      </c>
      <c r="AD47">
        <f>HYPERLINK("https://klasma.github.io/Logging_1980/tillsynsmail/A 8362-2022 tillsynsbegäran mail.docx", "A 8362-2022")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46252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58395-2022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46252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Korskovall</t>
        </is>
      </c>
      <c r="W49">
        <f>HYPERLINK("https://klasma.github.io/Logging_1980/artfynd/A 58395-2022 artfynd.xlsx", "A 58395-2022")</f>
        <v/>
      </c>
      <c r="X49">
        <f>HYPERLINK("https://klasma.github.io/Logging_1980/kartor/A 58395-2022 karta.png", "A 58395-2022")</f>
        <v/>
      </c>
      <c r="Y49">
        <f>HYPERLINK("https://klasma.github.io/Logging_1980/kartor_geotiff/A 58395-2022 georefererad karta.tif", "A 58395-2022")</f>
        <v/>
      </c>
      <c r="AA49">
        <f>HYPERLINK("https://klasma.github.io/Logging_1980/klagomål/A 58395-2022 FSC-klagomål.docx", "A 58395-2022")</f>
        <v/>
      </c>
      <c r="AB49">
        <f>HYPERLINK("https://klasma.github.io/Logging_1980/klagomålsmail/A 58395-2022 FSC-klagomål mail.docx", "A 58395-2022")</f>
        <v/>
      </c>
      <c r="AC49">
        <f>HYPERLINK("https://klasma.github.io/Logging_1980/tillsyn/A 58395-2022 tillsynsbegäran.docx", "A 58395-2022")</f>
        <v/>
      </c>
      <c r="AD49">
        <f>HYPERLINK("https://klasma.github.io/Logging_1980/tillsynsmail/A 58395-2022 tillsynsbegäran mail.docx", "A 58395-2022")</f>
        <v/>
      </c>
    </row>
    <row r="50" ht="15" customHeight="1">
      <c r="A50" t="inlineStr">
        <is>
          <t>A 51147-2023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46252</v>
      </c>
      <c r="F50" t="inlineStr">
        <is>
          <t>VÄSTMANLANDS LÄN</t>
        </is>
      </c>
      <c r="G50" t="inlineStr">
        <is>
          <t>VÄSTERÅS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Mindre märgborre</t>
        </is>
      </c>
      <c r="W50">
        <f>HYPERLINK("https://klasma.github.io/Logging_1980/artfynd/A 51147-2023 artfynd.xlsx", "A 51147-2023")</f>
        <v/>
      </c>
      <c r="X50">
        <f>HYPERLINK("https://klasma.github.io/Logging_1980/kartor/A 51147-2023 karta.png", "A 51147-2023")</f>
        <v/>
      </c>
      <c r="Y50">
        <f>HYPERLINK("https://klasma.github.io/Logging_1980/kartor_geotiff/A 51147-2023 georefererad karta.tif", "A 51147-2023")</f>
        <v/>
      </c>
      <c r="AA50">
        <f>HYPERLINK("https://klasma.github.io/Logging_1980/klagomål/A 51147-2023 FSC-klagomål.docx", "A 51147-2023")</f>
        <v/>
      </c>
      <c r="AB50">
        <f>HYPERLINK("https://klasma.github.io/Logging_1980/klagomålsmail/A 51147-2023 FSC-klagomål mail.docx", "A 51147-2023")</f>
        <v/>
      </c>
      <c r="AC50">
        <f>HYPERLINK("https://klasma.github.io/Logging_1980/tillsyn/A 51147-2023 tillsynsbegäran.docx", "A 51147-2023")</f>
        <v/>
      </c>
      <c r="AD50">
        <f>HYPERLINK("https://klasma.github.io/Logging_1980/tillsynsmail/A 51147-2023 tillsynsbegäran mail.docx", "A 51147-2023")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46252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HYPERLINK("https://klasma.github.io/Logging_1980/artfynd/A 59140-2025 artfynd.xlsx", "A 59140-2025")</f>
        <v/>
      </c>
      <c r="X51">
        <f>HYPERLINK("https://klasma.github.io/Logging_1980/kartor/A 59140-2025 karta.png", "A 59140-2025")</f>
        <v/>
      </c>
      <c r="Y51">
        <f>HYPERLINK("https://klasma.github.io/Logging_1980/kartor_geotiff/A 59140-2025 georefererad karta.tif", "A 59140-2025")</f>
        <v/>
      </c>
      <c r="AA51">
        <f>HYPERLINK("https://klasma.github.io/Logging_1980/klagomål/A 59140-2025 FSC-klagomål.docx", "A 59140-2025")</f>
        <v/>
      </c>
      <c r="AB51">
        <f>HYPERLINK("https://klasma.github.io/Logging_1980/klagomålsmail/A 59140-2025 FSC-klagomål mail.docx", "A 59140-2025")</f>
        <v/>
      </c>
      <c r="AC51">
        <f>HYPERLINK("https://klasma.github.io/Logging_1980/tillsyn/A 59140-2025 tillsynsbegäran.docx", "A 59140-2025")</f>
        <v/>
      </c>
      <c r="AD51">
        <f>HYPERLINK("https://klasma.github.io/Logging_1980/tillsynsmail/A 59140-2025 tillsynsbegäran mail.docx", "A 59140-2025")</f>
        <v/>
      </c>
      <c r="AE51">
        <f>HYPERLINK("https://klasma.github.io/Logging_1980/fåglar/A 59140-2025 prioriterade fågelarter.docx", "A 59140-2025")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46252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46252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46252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46252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31976-2026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46252</v>
      </c>
      <c r="F56" t="inlineStr">
        <is>
          <t>VÄSTMANLANDS LÄN</t>
        </is>
      </c>
      <c r="G56" t="inlineStr">
        <is>
          <t>VÄSTERÅS</t>
        </is>
      </c>
      <c r="H56" t="inlineStr">
        <is>
          <t>Övriga Aktiebolag</t>
        </is>
      </c>
      <c r="I56" t="n">
        <v>14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Rostfläck</t>
        </is>
      </c>
      <c r="W56">
        <f>HYPERLINK("https://klasma.github.io/Logging_1980/artfynd/A 31976-2026 artfynd.xlsx", "A 31976-2026")</f>
        <v/>
      </c>
      <c r="X56">
        <f>HYPERLINK("https://klasma.github.io/Logging_1980/kartor/A 31976-2026 karta.png", "A 31976-2026")</f>
        <v/>
      </c>
      <c r="Y56">
        <f>HYPERLINK("https://klasma.github.io/Logging_1980/kartor_geotiff/A 31976-2026 georefererad karta.tif", "A 31976-2026")</f>
        <v/>
      </c>
      <c r="AA56">
        <f>HYPERLINK("https://klasma.github.io/Logging_1980/klagomål/A 31976-2026 FSC-klagomål.docx", "A 31976-2026")</f>
        <v/>
      </c>
      <c r="AB56">
        <f>HYPERLINK("https://klasma.github.io/Logging_1980/klagomålsmail/A 31976-2026 FSC-klagomål mail.docx", "A 31976-2026")</f>
        <v/>
      </c>
      <c r="AC56">
        <f>HYPERLINK("https://klasma.github.io/Logging_1980/tillsyn/A 31976-2026 tillsynsbegäran.docx", "A 31976-2026")</f>
        <v/>
      </c>
      <c r="AD56">
        <f>HYPERLINK("https://klasma.github.io/Logging_1980/tillsynsmail/A 31976-2026 tillsynsbegäran mail.docx", "A 31976-2026")</f>
        <v/>
      </c>
    </row>
    <row r="57" ht="15" customHeight="1">
      <c r="A57" t="inlineStr">
        <is>
          <t>A 12058-2026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46252</v>
      </c>
      <c r="F57" t="inlineStr">
        <is>
          <t>VÄSTMANLANDS LÄN</t>
        </is>
      </c>
      <c r="G57" t="inlineStr">
        <is>
          <t>VÄSTERÅS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Törnskata</t>
        </is>
      </c>
      <c r="W57">
        <f>HYPERLINK("https://klasma.github.io/Logging_1980/artfynd/A 12058-2026 artfynd.xlsx", "A 12058-2026")</f>
        <v/>
      </c>
      <c r="X57">
        <f>HYPERLINK("https://klasma.github.io/Logging_1980/kartor/A 12058-2026 karta.png", "A 12058-2026")</f>
        <v/>
      </c>
      <c r="Y57">
        <f>HYPERLINK("https://klasma.github.io/Logging_1980/kartor_geotiff/A 12058-2026 georefererad karta.tif", "A 12058-2026")</f>
        <v/>
      </c>
      <c r="AA57">
        <f>HYPERLINK("https://klasma.github.io/Logging_1980/klagomål/A 12058-2026 FSC-klagomål.docx", "A 12058-2026")</f>
        <v/>
      </c>
      <c r="AB57">
        <f>HYPERLINK("https://klasma.github.io/Logging_1980/klagomålsmail/A 12058-2026 FSC-klagomål mail.docx", "A 12058-2026")</f>
        <v/>
      </c>
      <c r="AC57">
        <f>HYPERLINK("https://klasma.github.io/Logging_1980/tillsyn/A 12058-2026 tillsynsbegäran.docx", "A 12058-2026")</f>
        <v/>
      </c>
      <c r="AD57">
        <f>HYPERLINK("https://klasma.github.io/Logging_1980/tillsynsmail/A 12058-2026 tillsynsbegäran mail.docx", "A 12058-2026")</f>
        <v/>
      </c>
      <c r="AE57">
        <f>HYPERLINK("https://klasma.github.io/Logging_1980/fåglar/A 12058-2026 prioriterade fågelarter.docx", "A 12058-2026")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46252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46252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46252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46252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A 22378-2026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46252</v>
      </c>
      <c r="F62" t="inlineStr">
        <is>
          <t>VÄSTMANLANDS LÄN</t>
        </is>
      </c>
      <c r="G62" t="inlineStr">
        <is>
          <t>VÄSTERÅS</t>
        </is>
      </c>
      <c r="I62" t="n">
        <v>5.6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HYPERLINK("https://klasma.github.io/Logging_1980/artfynd/A 22378-2026 artfynd.xlsx", "A 22378-2026")</f>
        <v/>
      </c>
      <c r="X62">
        <f>HYPERLINK("https://klasma.github.io/Logging_1980/kartor/A 22378-2026 karta.png", "A 22378-2026")</f>
        <v/>
      </c>
      <c r="Y62">
        <f>HYPERLINK("https://klasma.github.io/Logging_1980/kartor_geotiff/A 22378-2026 georefererad karta.tif", "A 22378-2026")</f>
        <v/>
      </c>
      <c r="AA62">
        <f>HYPERLINK("https://klasma.github.io/Logging_1980/klagomål/A 22378-2026 FSC-klagomål.docx", "A 22378-2026")</f>
        <v/>
      </c>
      <c r="AB62">
        <f>HYPERLINK("https://klasma.github.io/Logging_1980/klagomålsmail/A 22378-2026 FSC-klagomål mail.docx", "A 22378-2026")</f>
        <v/>
      </c>
      <c r="AC62">
        <f>HYPERLINK("https://klasma.github.io/Logging_1980/tillsyn/A 22378-2026 tillsynsbegäran.docx", "A 22378-2026")</f>
        <v/>
      </c>
      <c r="AD62">
        <f>HYPERLINK("https://klasma.github.io/Logging_1980/tillsynsmail/A 22378-2026 tillsynsbegäran mail.docx", "A 22378-2026")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46252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46252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46252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46252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46252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46252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46252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46252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46252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46252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46252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46252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46252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46252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46252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46252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46252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46252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46252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46252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46252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46252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46252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46252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46252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46252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46252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46252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56076-2023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45235</v>
      </c>
      <c r="E91" s="1" t="n">
        <v>46252</v>
      </c>
      <c r="F91" t="inlineStr">
        <is>
          <t>VÄSTMANLANDS LÄN</t>
        </is>
      </c>
      <c r="G91" t="inlineStr">
        <is>
          <t>VÄSTERÅS</t>
        </is>
      </c>
      <c r="H91" t="inlineStr">
        <is>
          <t>Övriga Aktiebolag</t>
        </is>
      </c>
      <c r="I91" t="n">
        <v>37.8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45603</v>
      </c>
      <c r="E92" s="1" t="n">
        <v>46252</v>
      </c>
      <c r="F92" t="inlineStr">
        <is>
          <t>VÄSTMANLANDS LÄN</t>
        </is>
      </c>
      <c r="G92" t="inlineStr">
        <is>
          <t>VÄSTERÅS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46252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46252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46252</v>
      </c>
      <c r="F95" t="inlineStr">
        <is>
          <t>VÄSTMANLANDS LÄN</t>
        </is>
      </c>
      <c r="G95" t="inlineStr">
        <is>
          <t>VÄSTERÅS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46252</v>
      </c>
      <c r="F96" t="inlineStr">
        <is>
          <t>VÄSTMANLANDS LÄN</t>
        </is>
      </c>
      <c r="G96" t="inlineStr">
        <is>
          <t>VÄSTERÅS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46252</v>
      </c>
      <c r="F97" t="inlineStr">
        <is>
          <t>VÄSTMANLANDS LÄN</t>
        </is>
      </c>
      <c r="G97" t="inlineStr">
        <is>
          <t>VÄSTERÅS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16035-2023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45027</v>
      </c>
      <c r="E98" s="1" t="n">
        <v>46252</v>
      </c>
      <c r="F98" t="inlineStr">
        <is>
          <t>VÄSTMANLANDS LÄN</t>
        </is>
      </c>
      <c r="G98" t="inlineStr">
        <is>
          <t>VÄSTERÅS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45027</v>
      </c>
      <c r="E99" s="1" t="n">
        <v>46252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10499-2022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44623</v>
      </c>
      <c r="E100" s="1" t="n">
        <v>46252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Sveaskog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46252</v>
      </c>
      <c r="F101" t="inlineStr">
        <is>
          <t>VÄSTMANLANDS LÄN</t>
        </is>
      </c>
      <c r="G101" t="inlineStr">
        <is>
          <t>VÄSTERÅS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44761</v>
      </c>
      <c r="E102" s="1" t="n">
        <v>46252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52015-2024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45607</v>
      </c>
      <c r="E103" s="1" t="n">
        <v>46252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46252</v>
      </c>
      <c r="F104" t="inlineStr">
        <is>
          <t>VÄSTMANLANDS LÄN</t>
        </is>
      </c>
      <c r="G104" t="inlineStr">
        <is>
          <t>VÄSTERÅS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46252</v>
      </c>
      <c r="F105" t="inlineStr">
        <is>
          <t>VÄSTMANLANDS LÄN</t>
        </is>
      </c>
      <c r="G105" t="inlineStr">
        <is>
          <t>VÄSTERÅS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46252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46252</v>
      </c>
      <c r="F107" t="inlineStr">
        <is>
          <t>VÄSTMANLANDS LÄN</t>
        </is>
      </c>
      <c r="G107" t="inlineStr">
        <is>
          <t>VÄSTERÅS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45595</v>
      </c>
      <c r="E108" s="1" t="n">
        <v>46252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Övriga Aktiebolag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46252</v>
      </c>
      <c r="F109" t="inlineStr">
        <is>
          <t>VÄSTMANLANDS LÄN</t>
        </is>
      </c>
      <c r="G109" t="inlineStr">
        <is>
          <t>VÄSTERÅS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44671</v>
      </c>
      <c r="E110" s="1" t="n">
        <v>46252</v>
      </c>
      <c r="F110" t="inlineStr">
        <is>
          <t>VÄSTMANLANDS LÄN</t>
        </is>
      </c>
      <c r="G110" t="inlineStr">
        <is>
          <t>VÄSTERÅS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45232</v>
      </c>
      <c r="E111" s="1" t="n">
        <v>46252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37.9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44826</v>
      </c>
      <c r="E112" s="1" t="n">
        <v>46252</v>
      </c>
      <c r="F112" t="inlineStr">
        <is>
          <t>VÄSTMANLANDS LÄN</t>
        </is>
      </c>
      <c r="G112" t="inlineStr">
        <is>
          <t>VÄSTERÅS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46252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46252</v>
      </c>
      <c r="F114" t="inlineStr">
        <is>
          <t>VÄSTMANLANDS LÄN</t>
        </is>
      </c>
      <c r="G114" t="inlineStr">
        <is>
          <t>VÄSTERÅS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45219</v>
      </c>
      <c r="E115" s="1" t="n">
        <v>46252</v>
      </c>
      <c r="F115" t="inlineStr">
        <is>
          <t>VÄSTMANLANDS LÄN</t>
        </is>
      </c>
      <c r="G115" t="inlineStr">
        <is>
          <t>VÄSTERÅS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55684-2023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45232</v>
      </c>
      <c r="E116" s="1" t="n">
        <v>46252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29.4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18126-2025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46252</v>
      </c>
      <c r="F117" t="inlineStr">
        <is>
          <t>VÄSTMANLANDS LÄN</t>
        </is>
      </c>
      <c r="G117" t="inlineStr">
        <is>
          <t>VÄSTERÅS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46252</v>
      </c>
      <c r="F118" t="inlineStr">
        <is>
          <t>VÄSTMANLANDS LÄN</t>
        </is>
      </c>
      <c r="G118" t="inlineStr">
        <is>
          <t>VÄSTERÅS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44582</v>
      </c>
      <c r="E119" s="1" t="n">
        <v>46252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46252</v>
      </c>
      <c r="F120" t="inlineStr">
        <is>
          <t>VÄSTMANLANDS LÄN</t>
        </is>
      </c>
      <c r="G120" t="inlineStr">
        <is>
          <t>VÄSTERÅS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44812</v>
      </c>
      <c r="E121" s="1" t="n">
        <v>46252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46252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46252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46252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46252</v>
      </c>
      <c r="F125" t="inlineStr">
        <is>
          <t>VÄSTMANLANDS LÄN</t>
        </is>
      </c>
      <c r="G125" t="inlineStr">
        <is>
          <t>VÄSTERÅS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46252</v>
      </c>
      <c r="F126" t="inlineStr">
        <is>
          <t>VÄSTMANLANDS LÄN</t>
        </is>
      </c>
      <c r="G126" t="inlineStr">
        <is>
          <t>VÄSTERÅS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46252</v>
      </c>
      <c r="F127" t="inlineStr">
        <is>
          <t>VÄSTMANLANDS LÄN</t>
        </is>
      </c>
      <c r="G127" t="inlineStr">
        <is>
          <t>VÄSTERÅS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26556-2022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46252</v>
      </c>
      <c r="F128" t="inlineStr">
        <is>
          <t>VÄSTMANLANDS LÄN</t>
        </is>
      </c>
      <c r="G128" t="inlineStr">
        <is>
          <t>VÄSTERÅS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74314-2021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44559</v>
      </c>
      <c r="E129" s="1" t="n">
        <v>46252</v>
      </c>
      <c r="F129" t="inlineStr">
        <is>
          <t>VÄSTMANLANDS LÄN</t>
        </is>
      </c>
      <c r="G129" t="inlineStr">
        <is>
          <t>VÄSTERÅS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45414</v>
      </c>
      <c r="E130" s="1" t="n">
        <v>46252</v>
      </c>
      <c r="F130" t="inlineStr">
        <is>
          <t>VÄSTMANLANDS LÄN</t>
        </is>
      </c>
      <c r="G130" t="inlineStr">
        <is>
          <t>VÄSTERÅS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18465-2023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45042</v>
      </c>
      <c r="E131" s="1" t="n">
        <v>46252</v>
      </c>
      <c r="F131" t="inlineStr">
        <is>
          <t>VÄSTMANLANDS LÄN</t>
        </is>
      </c>
      <c r="G131" t="inlineStr">
        <is>
          <t>VÄSTERÅS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46252</v>
      </c>
      <c r="F132" t="inlineStr">
        <is>
          <t>VÄSTMANLANDS LÄN</t>
        </is>
      </c>
      <c r="G132" t="inlineStr">
        <is>
          <t>VÄSTERÅS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45516</v>
      </c>
      <c r="E133" s="1" t="n">
        <v>46252</v>
      </c>
      <c r="F133" t="inlineStr">
        <is>
          <t>VÄSTMANLANDS LÄN</t>
        </is>
      </c>
      <c r="G133" t="inlineStr">
        <is>
          <t>VÄSTERÅS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44610</v>
      </c>
      <c r="E134" s="1" t="n">
        <v>46252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46252</v>
      </c>
      <c r="F135" t="inlineStr">
        <is>
          <t>VÄSTMANLANDS LÄN</t>
        </is>
      </c>
      <c r="G135" t="inlineStr">
        <is>
          <t>VÄSTERÅS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46252</v>
      </c>
      <c r="F136" t="inlineStr">
        <is>
          <t>VÄSTMANLANDS LÄN</t>
        </is>
      </c>
      <c r="G136" t="inlineStr">
        <is>
          <t>VÄSTERÅS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46252</v>
      </c>
      <c r="F137" t="inlineStr">
        <is>
          <t>VÄSTMANLANDS LÄN</t>
        </is>
      </c>
      <c r="G137" t="inlineStr">
        <is>
          <t>VÄSTERÅS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31361-2025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46252</v>
      </c>
      <c r="F138" t="inlineStr">
        <is>
          <t>VÄSTMANLANDS LÄN</t>
        </is>
      </c>
      <c r="G138" t="inlineStr">
        <is>
          <t>VÄSTERÅS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46252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46252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Kyrkan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46252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45160</v>
      </c>
      <c r="E142" s="1" t="n">
        <v>46252</v>
      </c>
      <c r="F142" t="inlineStr">
        <is>
          <t>VÄSTMANLANDS LÄN</t>
        </is>
      </c>
      <c r="G142" t="inlineStr">
        <is>
          <t>VÄSTERÅS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46252</v>
      </c>
      <c r="F143" t="inlineStr">
        <is>
          <t>VÄSTMANLANDS LÄN</t>
        </is>
      </c>
      <c r="G143" t="inlineStr">
        <is>
          <t>VÄSTERÅS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45019</v>
      </c>
      <c r="E144" s="1" t="n">
        <v>46252</v>
      </c>
      <c r="F144" t="inlineStr">
        <is>
          <t>VÄSTMANLANDS LÄN</t>
        </is>
      </c>
      <c r="G144" t="inlineStr">
        <is>
          <t>VÄSTERÅS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46252</v>
      </c>
      <c r="F145" t="inlineStr">
        <is>
          <t>VÄSTMANLANDS LÄN</t>
        </is>
      </c>
      <c r="G145" t="inlineStr">
        <is>
          <t>VÄSTERÅS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46252</v>
      </c>
      <c r="F146" t="inlineStr">
        <is>
          <t>VÄSTMANLANDS LÄN</t>
        </is>
      </c>
      <c r="G146" t="inlineStr">
        <is>
          <t>VÄSTERÅS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44961</v>
      </c>
      <c r="E147" s="1" t="n">
        <v>46252</v>
      </c>
      <c r="F147" t="inlineStr">
        <is>
          <t>VÄSTMANLANDS LÄN</t>
        </is>
      </c>
      <c r="G147" t="inlineStr">
        <is>
          <t>VÄSTERÅS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42659-2021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44428</v>
      </c>
      <c r="E148" s="1" t="n">
        <v>46252</v>
      </c>
      <c r="F148" t="inlineStr">
        <is>
          <t>VÄSTMANLANDS LÄN</t>
        </is>
      </c>
      <c r="G148" t="inlineStr">
        <is>
          <t>VÄSTERÅS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44662</v>
      </c>
      <c r="E149" s="1" t="n">
        <v>46252</v>
      </c>
      <c r="F149" t="inlineStr">
        <is>
          <t>VÄSTMANLANDS LÄN</t>
        </is>
      </c>
      <c r="G149" t="inlineStr">
        <is>
          <t>VÄSTERÅS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46252</v>
      </c>
      <c r="F150" t="inlineStr">
        <is>
          <t>VÄSTMANLANDS LÄN</t>
        </is>
      </c>
      <c r="G150" t="inlineStr">
        <is>
          <t>VÄSTERÅS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46252</v>
      </c>
      <c r="F151" t="inlineStr">
        <is>
          <t>VÄSTMANLANDS LÄN</t>
        </is>
      </c>
      <c r="G151" t="inlineStr">
        <is>
          <t>VÄSTERÅS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46252</v>
      </c>
      <c r="F152" t="inlineStr">
        <is>
          <t>VÄSTMANLANDS LÄN</t>
        </is>
      </c>
      <c r="G152" t="inlineStr">
        <is>
          <t>VÄSTERÅS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46252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Övriga statliga verk och myndigheter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46252</v>
      </c>
      <c r="F154" t="inlineStr">
        <is>
          <t>VÄSTMANLANDS LÄN</t>
        </is>
      </c>
      <c r="G154" t="inlineStr">
        <is>
          <t>VÄSTERÅS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46252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46252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46252</v>
      </c>
      <c r="F157" t="inlineStr">
        <is>
          <t>VÄSTMANLANDS LÄN</t>
        </is>
      </c>
      <c r="G157" t="inlineStr">
        <is>
          <t>VÄSTERÅS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63851-2021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44509</v>
      </c>
      <c r="E158" s="1" t="n">
        <v>46252</v>
      </c>
      <c r="F158" t="inlineStr">
        <is>
          <t>VÄSTMANLANDS LÄN</t>
        </is>
      </c>
      <c r="G158" t="inlineStr">
        <is>
          <t>VÄSTERÅS</t>
        </is>
      </c>
      <c r="I158" t="n">
        <v>11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46252</v>
      </c>
      <c r="F159" t="inlineStr">
        <is>
          <t>VÄSTMANLANDS LÄN</t>
        </is>
      </c>
      <c r="G159" t="inlineStr">
        <is>
          <t>VÄSTERÅS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46252</v>
      </c>
      <c r="F160" t="inlineStr">
        <is>
          <t>VÄSTMANLANDS LÄN</t>
        </is>
      </c>
      <c r="G160" t="inlineStr">
        <is>
          <t>VÄSTERÅS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51951-2023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45223</v>
      </c>
      <c r="E161" s="1" t="n">
        <v>46252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45628</v>
      </c>
      <c r="E162" s="1" t="n">
        <v>46252</v>
      </c>
      <c r="F162" t="inlineStr">
        <is>
          <t>VÄSTMANLANDS LÄN</t>
        </is>
      </c>
      <c r="G162" t="inlineStr">
        <is>
          <t>VÄSTERÅS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46252</v>
      </c>
      <c r="F163" t="inlineStr">
        <is>
          <t>VÄSTMANLANDS LÄN</t>
        </is>
      </c>
      <c r="G163" t="inlineStr">
        <is>
          <t>VÄSTERÅS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46252</v>
      </c>
      <c r="F164" t="inlineStr">
        <is>
          <t>VÄSTMANLANDS LÄN</t>
        </is>
      </c>
      <c r="G164" t="inlineStr">
        <is>
          <t>VÄSTERÅS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46252</v>
      </c>
      <c r="F165" t="inlineStr">
        <is>
          <t>VÄSTMANLANDS LÄN</t>
        </is>
      </c>
      <c r="G165" t="inlineStr">
        <is>
          <t>VÄSTERÅS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46252</v>
      </c>
      <c r="F166" t="inlineStr">
        <is>
          <t>VÄSTMANLANDS LÄN</t>
        </is>
      </c>
      <c r="G166" t="inlineStr">
        <is>
          <t>VÄSTERÅS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45506</v>
      </c>
      <c r="E167" s="1" t="n">
        <v>46252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Kommuner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46252</v>
      </c>
      <c r="F168" t="inlineStr">
        <is>
          <t>VÄSTMANLANDS LÄN</t>
        </is>
      </c>
      <c r="G168" t="inlineStr">
        <is>
          <t>VÄSTERÅS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46252</v>
      </c>
      <c r="F169" t="inlineStr">
        <is>
          <t>VÄSTMANLANDS LÄN</t>
        </is>
      </c>
      <c r="G169" t="inlineStr">
        <is>
          <t>VÄSTERÅS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18457-2023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45042</v>
      </c>
      <c r="E170" s="1" t="n">
        <v>46252</v>
      </c>
      <c r="F170" t="inlineStr">
        <is>
          <t>VÄSTMANLANDS LÄN</t>
        </is>
      </c>
      <c r="G170" t="inlineStr">
        <is>
          <t>VÄSTERÅS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46252</v>
      </c>
      <c r="F171" t="inlineStr">
        <is>
          <t>VÄSTMANLANDS LÄN</t>
        </is>
      </c>
      <c r="G171" t="inlineStr">
        <is>
          <t>VÄSTERÅS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46252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44717</v>
      </c>
      <c r="E173" s="1" t="n">
        <v>46252</v>
      </c>
      <c r="F173" t="inlineStr">
        <is>
          <t>VÄSTMANLANDS LÄN</t>
        </is>
      </c>
      <c r="G173" t="inlineStr">
        <is>
          <t>VÄSTERÅS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46252</v>
      </c>
      <c r="F174" t="inlineStr">
        <is>
          <t>VÄSTMANLANDS LÄN</t>
        </is>
      </c>
      <c r="G174" t="inlineStr">
        <is>
          <t>VÄSTERÅS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11137-2023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44987</v>
      </c>
      <c r="E175" s="1" t="n">
        <v>46252</v>
      </c>
      <c r="F175" t="inlineStr">
        <is>
          <t>VÄSTMANLANDS LÄN</t>
        </is>
      </c>
      <c r="G175" t="inlineStr">
        <is>
          <t>VÄSTERÅS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51219-2023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46252</v>
      </c>
      <c r="F176" t="inlineStr">
        <is>
          <t>VÄSTMANLANDS LÄN</t>
        </is>
      </c>
      <c r="G176" t="inlineStr">
        <is>
          <t>VÄSTERÅS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46252</v>
      </c>
      <c r="F177" t="inlineStr">
        <is>
          <t>VÄSTMANLANDS LÄN</t>
        </is>
      </c>
      <c r="G177" t="inlineStr">
        <is>
          <t>VÄSTERÅS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46252</v>
      </c>
      <c r="F178" t="inlineStr">
        <is>
          <t>VÄSTMANLANDS LÄN</t>
        </is>
      </c>
      <c r="G178" t="inlineStr">
        <is>
          <t>VÄSTERÅS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44680</v>
      </c>
      <c r="E179" s="1" t="n">
        <v>46252</v>
      </c>
      <c r="F179" t="inlineStr">
        <is>
          <t>VÄSTMANLANDS LÄN</t>
        </is>
      </c>
      <c r="G179" t="inlineStr">
        <is>
          <t>VÄSTERÅS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45560</v>
      </c>
      <c r="E180" s="1" t="n">
        <v>46252</v>
      </c>
      <c r="F180" t="inlineStr">
        <is>
          <t>VÄSTMANLANDS LÄN</t>
        </is>
      </c>
      <c r="G180" t="inlineStr">
        <is>
          <t>VÄSTERÅS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44999</v>
      </c>
      <c r="E181" s="1" t="n">
        <v>46252</v>
      </c>
      <c r="F181" t="inlineStr">
        <is>
          <t>VÄSTMANLANDS LÄN</t>
        </is>
      </c>
      <c r="G181" t="inlineStr">
        <is>
          <t>VÄSTERÅS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46252</v>
      </c>
      <c r="F182" t="inlineStr">
        <is>
          <t>VÄSTMANLANDS LÄN</t>
        </is>
      </c>
      <c r="G182" t="inlineStr">
        <is>
          <t>VÄSTERÅS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12131-2022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44636</v>
      </c>
      <c r="E183" s="1" t="n">
        <v>46252</v>
      </c>
      <c r="F183" t="inlineStr">
        <is>
          <t>VÄSTMANLANDS LÄN</t>
        </is>
      </c>
      <c r="G183" t="inlineStr">
        <is>
          <t>VÄSTERÅS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45279</v>
      </c>
      <c r="E184" s="1" t="n">
        <v>46252</v>
      </c>
      <c r="F184" t="inlineStr">
        <is>
          <t>VÄSTMANLANDS LÄN</t>
        </is>
      </c>
      <c r="G184" t="inlineStr">
        <is>
          <t>VÄSTERÅS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56902-2024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46252</v>
      </c>
      <c r="F185" t="inlineStr">
        <is>
          <t>VÄSTMANLANDS LÄN</t>
        </is>
      </c>
      <c r="G185" t="inlineStr">
        <is>
          <t>VÄSTERÅS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46252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45456</v>
      </c>
      <c r="E187" s="1" t="n">
        <v>46252</v>
      </c>
      <c r="F187" t="inlineStr">
        <is>
          <t>VÄSTMANLANDS LÄN</t>
        </is>
      </c>
      <c r="G187" t="inlineStr">
        <is>
          <t>VÄSTERÅS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46252</v>
      </c>
      <c r="F188" t="inlineStr">
        <is>
          <t>VÄSTMANLANDS LÄN</t>
        </is>
      </c>
      <c r="G188" t="inlineStr">
        <is>
          <t>VÄSTERÅS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46252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46252</v>
      </c>
      <c r="F190" t="inlineStr">
        <is>
          <t>VÄSTMANLANDS LÄN</t>
        </is>
      </c>
      <c r="G190" t="inlineStr">
        <is>
          <t>VÄSTERÅS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44899</v>
      </c>
      <c r="E191" s="1" t="n">
        <v>46252</v>
      </c>
      <c r="F191" t="inlineStr">
        <is>
          <t>VÄSTMANLANDS LÄN</t>
        </is>
      </c>
      <c r="G191" t="inlineStr">
        <is>
          <t>VÄSTERÅS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46252</v>
      </c>
      <c r="F192" t="inlineStr">
        <is>
          <t>VÄSTMANLANDS LÄN</t>
        </is>
      </c>
      <c r="G192" t="inlineStr">
        <is>
          <t>VÄSTERÅS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46252</v>
      </c>
      <c r="F193" t="inlineStr">
        <is>
          <t>VÄSTMANLANDS LÄN</t>
        </is>
      </c>
      <c r="G193" t="inlineStr">
        <is>
          <t>VÄSTERÅS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44636</v>
      </c>
      <c r="E194" s="1" t="n">
        <v>46252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Kommuner</t>
        </is>
      </c>
      <c r="I194" t="n">
        <v>12.9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44636</v>
      </c>
      <c r="E195" s="1" t="n">
        <v>46252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Kommuner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32998-2023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45125</v>
      </c>
      <c r="E196" s="1" t="n">
        <v>46252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46252</v>
      </c>
      <c r="F197" t="inlineStr">
        <is>
          <t>VÄSTMANLANDS LÄN</t>
        </is>
      </c>
      <c r="G197" t="inlineStr">
        <is>
          <t>VÄSTERÅS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64208-2023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45279</v>
      </c>
      <c r="E198" s="1" t="n">
        <v>46252</v>
      </c>
      <c r="F198" t="inlineStr">
        <is>
          <t>VÄSTMANLANDS LÄN</t>
        </is>
      </c>
      <c r="G198" t="inlineStr">
        <is>
          <t>VÄSTERÅS</t>
        </is>
      </c>
      <c r="I198" t="n">
        <v>13.9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46252</v>
      </c>
      <c r="F199" t="inlineStr">
        <is>
          <t>VÄSTMANLANDS LÄN</t>
        </is>
      </c>
      <c r="G199" t="inlineStr">
        <is>
          <t>VÄSTERÅS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46252</v>
      </c>
      <c r="F200" t="inlineStr">
        <is>
          <t>VÄSTMANLANDS LÄN</t>
        </is>
      </c>
      <c r="G200" t="inlineStr">
        <is>
          <t>VÄSTERÅS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46252</v>
      </c>
      <c r="F201" t="inlineStr">
        <is>
          <t>VÄSTMANLANDS LÄN</t>
        </is>
      </c>
      <c r="G201" t="inlineStr">
        <is>
          <t>VÄSTERÅS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44664</v>
      </c>
      <c r="E202" s="1" t="n">
        <v>46252</v>
      </c>
      <c r="F202" t="inlineStr">
        <is>
          <t>VÄSTMANLANDS LÄN</t>
        </is>
      </c>
      <c r="G202" t="inlineStr">
        <is>
          <t>VÄSTERÅS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39127-2022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44816</v>
      </c>
      <c r="E203" s="1" t="n">
        <v>46252</v>
      </c>
      <c r="F203" t="inlineStr">
        <is>
          <t>VÄSTMANLANDS LÄN</t>
        </is>
      </c>
      <c r="G203" t="inlineStr">
        <is>
          <t>VÄSTERÅS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46252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45110</v>
      </c>
      <c r="E205" s="1" t="n">
        <v>46252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46252</v>
      </c>
      <c r="F206" t="inlineStr">
        <is>
          <t>VÄSTMANLANDS LÄN</t>
        </is>
      </c>
      <c r="G206" t="inlineStr">
        <is>
          <t>VÄSTERÅS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45019</v>
      </c>
      <c r="E207" s="1" t="n">
        <v>46252</v>
      </c>
      <c r="F207" t="inlineStr">
        <is>
          <t>VÄSTMANLANDS LÄN</t>
        </is>
      </c>
      <c r="G207" t="inlineStr">
        <is>
          <t>VÄSTERÅS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13376-2022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44645</v>
      </c>
      <c r="E208" s="1" t="n">
        <v>46252</v>
      </c>
      <c r="F208" t="inlineStr">
        <is>
          <t>VÄSTMANLANDS LÄN</t>
        </is>
      </c>
      <c r="G208" t="inlineStr">
        <is>
          <t>VÄSTERÅS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18482-2023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45042</v>
      </c>
      <c r="E209" s="1" t="n">
        <v>46252</v>
      </c>
      <c r="F209" t="inlineStr">
        <is>
          <t>VÄSTMANLANDS LÄN</t>
        </is>
      </c>
      <c r="G209" t="inlineStr">
        <is>
          <t>VÄSTERÅS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46252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Allmännings- och besparingsskogar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44648</v>
      </c>
      <c r="E211" s="1" t="n">
        <v>46252</v>
      </c>
      <c r="F211" t="inlineStr">
        <is>
          <t>VÄSTMANLANDS LÄN</t>
        </is>
      </c>
      <c r="G211" t="inlineStr">
        <is>
          <t>VÄSTERÅS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51223-2023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45219</v>
      </c>
      <c r="E212" s="1" t="n">
        <v>46252</v>
      </c>
      <c r="F212" t="inlineStr">
        <is>
          <t>VÄSTMANLANDS LÄN</t>
        </is>
      </c>
      <c r="G212" t="inlineStr">
        <is>
          <t>VÄSTERÅS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46252</v>
      </c>
      <c r="F213" t="inlineStr">
        <is>
          <t>VÄSTMANLANDS LÄN</t>
        </is>
      </c>
      <c r="G213" t="inlineStr">
        <is>
          <t>VÄSTERÅS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46252</v>
      </c>
      <c r="F214" t="inlineStr">
        <is>
          <t>VÄSTMANLANDS LÄN</t>
        </is>
      </c>
      <c r="G214" t="inlineStr">
        <is>
          <t>VÄSTERÅS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46252</v>
      </c>
      <c r="F215" t="inlineStr">
        <is>
          <t>VÄSTMANLANDS LÄN</t>
        </is>
      </c>
      <c r="G215" t="inlineStr">
        <is>
          <t>VÄSTERÅS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44635</v>
      </c>
      <c r="E216" s="1" t="n">
        <v>46252</v>
      </c>
      <c r="F216" t="inlineStr">
        <is>
          <t>VÄSTMANLANDS LÄN</t>
        </is>
      </c>
      <c r="G216" t="inlineStr">
        <is>
          <t>VÄSTERÅS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45083</v>
      </c>
      <c r="E217" s="1" t="n">
        <v>46252</v>
      </c>
      <c r="F217" t="inlineStr">
        <is>
          <t>VÄSTMANLANDS LÄN</t>
        </is>
      </c>
      <c r="G217" t="inlineStr">
        <is>
          <t>VÄSTERÅS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45400</v>
      </c>
      <c r="E218" s="1" t="n">
        <v>46252</v>
      </c>
      <c r="F218" t="inlineStr">
        <is>
          <t>VÄSTMANLANDS LÄN</t>
        </is>
      </c>
      <c r="G218" t="inlineStr">
        <is>
          <t>VÄSTERÅS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7378-2022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44606</v>
      </c>
      <c r="E219" s="1" t="n">
        <v>46252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46252</v>
      </c>
      <c r="F220" t="inlineStr">
        <is>
          <t>VÄSTMANLANDS LÄN</t>
        </is>
      </c>
      <c r="G220" t="inlineStr">
        <is>
          <t>VÄSTERÅS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46252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44978</v>
      </c>
      <c r="E222" s="1" t="n">
        <v>46252</v>
      </c>
      <c r="F222" t="inlineStr">
        <is>
          <t>VÄSTMANLANDS LÄN</t>
        </is>
      </c>
      <c r="G222" t="inlineStr">
        <is>
          <t>VÄSTERÅS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67352-2021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44523</v>
      </c>
      <c r="E223" s="1" t="n">
        <v>46252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Övriga Aktiebolag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46252</v>
      </c>
      <c r="F224" t="inlineStr">
        <is>
          <t>VÄSTMANLANDS LÄN</t>
        </is>
      </c>
      <c r="G224" t="inlineStr">
        <is>
          <t>VÄSTERÅS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45579</v>
      </c>
      <c r="E225" s="1" t="n">
        <v>46252</v>
      </c>
      <c r="F225" t="inlineStr">
        <is>
          <t>VÄSTMANLANDS LÄN</t>
        </is>
      </c>
      <c r="G225" t="inlineStr">
        <is>
          <t>VÄSTERÅS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44874</v>
      </c>
      <c r="E226" s="1" t="n">
        <v>46252</v>
      </c>
      <c r="F226" t="inlineStr">
        <is>
          <t>VÄSTMANLANDS LÄN</t>
        </is>
      </c>
      <c r="G226" t="inlineStr">
        <is>
          <t>VÄSTERÅS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46252</v>
      </c>
      <c r="F227" t="inlineStr">
        <is>
          <t>VÄSTMANLANDS LÄN</t>
        </is>
      </c>
      <c r="G227" t="inlineStr">
        <is>
          <t>VÄSTERÅS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46252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46252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Allmännings- och besparingsskogar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46252</v>
      </c>
      <c r="F230" t="inlineStr">
        <is>
          <t>VÄSTMANLANDS LÄN</t>
        </is>
      </c>
      <c r="G230" t="inlineStr">
        <is>
          <t>VÄSTERÅS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46252</v>
      </c>
      <c r="F231" t="inlineStr">
        <is>
          <t>VÄSTMANLANDS LÄN</t>
        </is>
      </c>
      <c r="G231" t="inlineStr">
        <is>
          <t>VÄSTERÅS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7797-2026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46062</v>
      </c>
      <c r="E232" s="1" t="n">
        <v>46252</v>
      </c>
      <c r="F232" t="inlineStr">
        <is>
          <t>VÄSTMANLANDS LÄN</t>
        </is>
      </c>
      <c r="G232" t="inlineStr">
        <is>
          <t>VÄSTERÅS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44901</v>
      </c>
      <c r="E233" s="1" t="n">
        <v>46252</v>
      </c>
      <c r="F233" t="inlineStr">
        <is>
          <t>VÄSTMANLANDS LÄN</t>
        </is>
      </c>
      <c r="G233" t="inlineStr">
        <is>
          <t>VÄSTERÅS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46252</v>
      </c>
      <c r="F234" t="inlineStr">
        <is>
          <t>VÄSTMANLANDS LÄN</t>
        </is>
      </c>
      <c r="G234" t="inlineStr">
        <is>
          <t>VÄSTERÅS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46252</v>
      </c>
      <c r="F235" t="inlineStr">
        <is>
          <t>VÄSTMANLANDS LÄN</t>
        </is>
      </c>
      <c r="G235" t="inlineStr">
        <is>
          <t>VÄSTERÅS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46252</v>
      </c>
      <c r="F236" t="inlineStr">
        <is>
          <t>VÄSTMANLANDS LÄN</t>
        </is>
      </c>
      <c r="G236" t="inlineStr">
        <is>
          <t>VÄSTERÅS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46252</v>
      </c>
      <c r="F237" t="inlineStr">
        <is>
          <t>VÄSTMANLANDS LÄN</t>
        </is>
      </c>
      <c r="G237" t="inlineStr">
        <is>
          <t>VÄSTERÅS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46252</v>
      </c>
      <c r="F238" t="inlineStr">
        <is>
          <t>VÄSTMANLANDS LÄN</t>
        </is>
      </c>
      <c r="G238" t="inlineStr">
        <is>
          <t>VÄSTERÅS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18467-2023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45042</v>
      </c>
      <c r="E239" s="1" t="n">
        <v>46252</v>
      </c>
      <c r="F239" t="inlineStr">
        <is>
          <t>VÄSTMANLANDS LÄN</t>
        </is>
      </c>
      <c r="G239" t="inlineStr">
        <is>
          <t>VÄSTERÅS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24402-2024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45457</v>
      </c>
      <c r="E240" s="1" t="n">
        <v>46252</v>
      </c>
      <c r="F240" t="inlineStr">
        <is>
          <t>VÄSTMANLANDS LÄN</t>
        </is>
      </c>
      <c r="G240" t="inlineStr">
        <is>
          <t>VÄSTERÅS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46252</v>
      </c>
      <c r="F241" t="inlineStr">
        <is>
          <t>VÄSTMANLANDS LÄN</t>
        </is>
      </c>
      <c r="G241" t="inlineStr">
        <is>
          <t>VÄSTERÅS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52027-2025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45952</v>
      </c>
      <c r="E242" s="1" t="n">
        <v>46252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Övriga statliga verk och myndigheter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46252</v>
      </c>
      <c r="F243" t="inlineStr">
        <is>
          <t>VÄSTMANLANDS LÄN</t>
        </is>
      </c>
      <c r="G243" t="inlineStr">
        <is>
          <t>VÄSTERÅS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46252</v>
      </c>
      <c r="F244" t="inlineStr">
        <is>
          <t>VÄSTMANLANDS LÄN</t>
        </is>
      </c>
      <c r="G244" t="inlineStr">
        <is>
          <t>VÄSTERÅS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44594</v>
      </c>
      <c r="E245" s="1" t="n">
        <v>46252</v>
      </c>
      <c r="F245" t="inlineStr">
        <is>
          <t>VÄSTMANLANDS LÄN</t>
        </is>
      </c>
      <c r="G245" t="inlineStr">
        <is>
          <t>VÄSTERÅS</t>
        </is>
      </c>
      <c r="I245" t="n">
        <v>20.3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46252</v>
      </c>
      <c r="F246" t="inlineStr">
        <is>
          <t>VÄSTMANLANDS LÄN</t>
        </is>
      </c>
      <c r="G246" t="inlineStr">
        <is>
          <t>VÄSTERÅS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46078</v>
      </c>
      <c r="E247" s="1" t="n">
        <v>46252</v>
      </c>
      <c r="F247" t="inlineStr">
        <is>
          <t>VÄSTMANLANDS LÄN</t>
        </is>
      </c>
      <c r="G247" t="inlineStr">
        <is>
          <t>VÄSTERÅS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45553</v>
      </c>
      <c r="E248" s="1" t="n">
        <v>46252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Kyrkan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46252</v>
      </c>
      <c r="F249" t="inlineStr">
        <is>
          <t>VÄSTMANLANDS LÄN</t>
        </is>
      </c>
      <c r="G249" t="inlineStr">
        <is>
          <t>VÄSTERÅS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67350-2021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44523</v>
      </c>
      <c r="E250" s="1" t="n">
        <v>46252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Övriga Aktiebolag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44623</v>
      </c>
      <c r="E251" s="1" t="n">
        <v>46252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46190</v>
      </c>
      <c r="E252" s="1" t="n">
        <v>46252</v>
      </c>
      <c r="F252" t="inlineStr">
        <is>
          <t>VÄSTMANLANDS LÄN</t>
        </is>
      </c>
      <c r="G252" t="inlineStr">
        <is>
          <t>VÄSTERÅS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46252</v>
      </c>
      <c r="F253" t="inlineStr">
        <is>
          <t>VÄSTMANLANDS LÄN</t>
        </is>
      </c>
      <c r="G253" t="inlineStr">
        <is>
          <t>VÄSTERÅS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45033</v>
      </c>
      <c r="E254" s="1" t="n">
        <v>46252</v>
      </c>
      <c r="F254" t="inlineStr">
        <is>
          <t>VÄSTMANLANDS LÄN</t>
        </is>
      </c>
      <c r="G254" t="inlineStr">
        <is>
          <t>VÄSTERÅS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73994-2021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44556</v>
      </c>
      <c r="E255" s="1" t="n">
        <v>46252</v>
      </c>
      <c r="F255" t="inlineStr">
        <is>
          <t>VÄSTMANLANDS LÄN</t>
        </is>
      </c>
      <c r="G255" t="inlineStr">
        <is>
          <t>VÄSTERÅS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46080</v>
      </c>
      <c r="E256" s="1" t="n">
        <v>46252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46252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61249-2021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44498</v>
      </c>
      <c r="E258" s="1" t="n">
        <v>46252</v>
      </c>
      <c r="F258" t="inlineStr">
        <is>
          <t>VÄSTMANLANDS LÄN</t>
        </is>
      </c>
      <c r="G258" t="inlineStr">
        <is>
          <t>VÄSTERÅS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46252</v>
      </c>
      <c r="F259" t="inlineStr">
        <is>
          <t>VÄSTMANLANDS LÄN</t>
        </is>
      </c>
      <c r="G259" t="inlineStr">
        <is>
          <t>VÄSTERÅS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46252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46252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46252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44792</v>
      </c>
      <c r="E263" s="1" t="n">
        <v>46252</v>
      </c>
      <c r="F263" t="inlineStr">
        <is>
          <t>VÄSTMANLANDS LÄN</t>
        </is>
      </c>
      <c r="G263" t="inlineStr">
        <is>
          <t>VÄSTERÅS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46252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46252</v>
      </c>
      <c r="F265" t="inlineStr">
        <is>
          <t>VÄSTMANLANDS LÄN</t>
        </is>
      </c>
      <c r="G265" t="inlineStr">
        <is>
          <t>VÄSTERÅS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46252</v>
      </c>
      <c r="F266" t="inlineStr">
        <is>
          <t>VÄSTMANLANDS LÄN</t>
        </is>
      </c>
      <c r="G266" t="inlineStr">
        <is>
          <t>VÄSTERÅS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52569-2022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44874</v>
      </c>
      <c r="E267" s="1" t="n">
        <v>46252</v>
      </c>
      <c r="F267" t="inlineStr">
        <is>
          <t>VÄSTMANLANDS LÄN</t>
        </is>
      </c>
      <c r="G267" t="inlineStr">
        <is>
          <t>VÄSTERÅS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44708</v>
      </c>
      <c r="E268" s="1" t="n">
        <v>46252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44755</v>
      </c>
      <c r="E269" s="1" t="n">
        <v>46252</v>
      </c>
      <c r="F269" t="inlineStr">
        <is>
          <t>VÄSTMANLANDS LÄN</t>
        </is>
      </c>
      <c r="G269" t="inlineStr">
        <is>
          <t>VÄSTERÅS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46252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Allmännings- och besparingsskogar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46252</v>
      </c>
      <c r="F271" t="inlineStr">
        <is>
          <t>VÄSTMANLANDS LÄN</t>
        </is>
      </c>
      <c r="G271" t="inlineStr">
        <is>
          <t>VÄSTERÅS</t>
        </is>
      </c>
      <c r="I271" t="n">
        <v>14.1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67353-2021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46252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46252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46252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46252</v>
      </c>
      <c r="F275" t="inlineStr">
        <is>
          <t>VÄSTMANLANDS LÄN</t>
        </is>
      </c>
      <c r="G275" t="inlineStr">
        <is>
          <t>VÄSTERÅS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56980-2021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44482</v>
      </c>
      <c r="E276" s="1" t="n">
        <v>46252</v>
      </c>
      <c r="F276" t="inlineStr">
        <is>
          <t>VÄSTMANLANDS LÄN</t>
        </is>
      </c>
      <c r="G276" t="inlineStr">
        <is>
          <t>VÄSTERÅS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45705</v>
      </c>
      <c r="E277" s="1" t="n">
        <v>46252</v>
      </c>
      <c r="F277" t="inlineStr">
        <is>
          <t>VÄSTMANLANDS LÄN</t>
        </is>
      </c>
      <c r="G277" t="inlineStr">
        <is>
          <t>VÄSTERÅS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46252</v>
      </c>
      <c r="F278" t="inlineStr">
        <is>
          <t>VÄSTMANLANDS LÄN</t>
        </is>
      </c>
      <c r="G278" t="inlineStr">
        <is>
          <t>VÄSTERÅS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46252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44658</v>
      </c>
      <c r="E280" s="1" t="n">
        <v>46252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58960-2022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44903</v>
      </c>
      <c r="E281" s="1" t="n">
        <v>46252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46252</v>
      </c>
      <c r="F282" t="inlineStr">
        <is>
          <t>VÄSTMANLANDS LÄN</t>
        </is>
      </c>
      <c r="G282" t="inlineStr">
        <is>
          <t>VÄSTERÅS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8727-2023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44978</v>
      </c>
      <c r="E283" s="1" t="n">
        <v>46252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Kyrkan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16214-2023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45028</v>
      </c>
      <c r="E284" s="1" t="n">
        <v>46252</v>
      </c>
      <c r="F284" t="inlineStr">
        <is>
          <t>VÄSTMANLANDS LÄN</t>
        </is>
      </c>
      <c r="G284" t="inlineStr">
        <is>
          <t>VÄSTERÅS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46252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46252</v>
      </c>
      <c r="F286" t="inlineStr">
        <is>
          <t>VÄSTMANLANDS LÄN</t>
        </is>
      </c>
      <c r="G286" t="inlineStr">
        <is>
          <t>VÄSTERÅS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46252</v>
      </c>
      <c r="F287" t="inlineStr">
        <is>
          <t>VÄSTMANLANDS LÄN</t>
        </is>
      </c>
      <c r="G287" t="inlineStr">
        <is>
          <t>VÄSTERÅS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46252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46252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70642-2021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44537</v>
      </c>
      <c r="E290" s="1" t="n">
        <v>46252</v>
      </c>
      <c r="F290" t="inlineStr">
        <is>
          <t>VÄSTMANLANDS LÄN</t>
        </is>
      </c>
      <c r="G290" t="inlineStr">
        <is>
          <t>VÄSTERÅS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46252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45282</v>
      </c>
      <c r="E292" s="1" t="n">
        <v>46252</v>
      </c>
      <c r="F292" t="inlineStr">
        <is>
          <t>VÄSTMANLANDS LÄN</t>
        </is>
      </c>
      <c r="G292" t="inlineStr">
        <is>
          <t>VÄSTERÅS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45296</v>
      </c>
      <c r="E293" s="1" t="n">
        <v>46252</v>
      </c>
      <c r="F293" t="inlineStr">
        <is>
          <t>VÄSTMANLANDS LÄN</t>
        </is>
      </c>
      <c r="G293" t="inlineStr">
        <is>
          <t>VÄSTERÅS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17808-2023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45037</v>
      </c>
      <c r="E294" s="1" t="n">
        <v>46252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46252</v>
      </c>
      <c r="F295" t="inlineStr">
        <is>
          <t>VÄSTMANLANDS LÄN</t>
        </is>
      </c>
      <c r="G295" t="inlineStr">
        <is>
          <t>VÄSTERÅS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46252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46217</v>
      </c>
      <c r="E297" s="1" t="n">
        <v>46252</v>
      </c>
      <c r="F297" t="inlineStr">
        <is>
          <t>VÄSTMANLANDS LÄN</t>
        </is>
      </c>
      <c r="G297" t="inlineStr">
        <is>
          <t>VÄSTERÅS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73597-2021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44552</v>
      </c>
      <c r="E298" s="1" t="n">
        <v>46252</v>
      </c>
      <c r="F298" t="inlineStr">
        <is>
          <t>VÄSTMANLANDS LÄN</t>
        </is>
      </c>
      <c r="G298" t="inlineStr">
        <is>
          <t>VÄSTERÅS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46252</v>
      </c>
      <c r="F299" t="inlineStr">
        <is>
          <t>VÄSTMANLANDS LÄN</t>
        </is>
      </c>
      <c r="G299" t="inlineStr">
        <is>
          <t>VÄSTERÅS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46252</v>
      </c>
      <c r="F300" t="inlineStr">
        <is>
          <t>VÄSTMANLANDS LÄN</t>
        </is>
      </c>
      <c r="G300" t="inlineStr">
        <is>
          <t>VÄSTERÅS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44657</v>
      </c>
      <c r="E301" s="1" t="n">
        <v>46252</v>
      </c>
      <c r="F301" t="inlineStr">
        <is>
          <t>VÄSTMANLANDS LÄN</t>
        </is>
      </c>
      <c r="G301" t="inlineStr">
        <is>
          <t>VÄSTERÅS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45378</v>
      </c>
      <c r="E302" s="1" t="n">
        <v>46252</v>
      </c>
      <c r="F302" t="inlineStr">
        <is>
          <t>VÄSTMANLANDS LÄN</t>
        </is>
      </c>
      <c r="G302" t="inlineStr">
        <is>
          <t>VÄSTERÅS</t>
        </is>
      </c>
      <c r="I302" t="n">
        <v>15.4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46252</v>
      </c>
      <c r="F303" t="inlineStr">
        <is>
          <t>VÄSTMANLANDS LÄN</t>
        </is>
      </c>
      <c r="G303" t="inlineStr">
        <is>
          <t>VÄSTERÅS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22287-2026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46252</v>
      </c>
      <c r="F304" t="inlineStr">
        <is>
          <t>VÄSTMANLANDS LÄN</t>
        </is>
      </c>
      <c r="G304" t="inlineStr">
        <is>
          <t>VÄSTERÅS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46252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46252</v>
      </c>
      <c r="F306" t="inlineStr">
        <is>
          <t>VÄSTMANLANDS LÄN</t>
        </is>
      </c>
      <c r="G306" t="inlineStr">
        <is>
          <t>VÄSTERÅS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46252</v>
      </c>
      <c r="F307" t="inlineStr">
        <is>
          <t>VÄSTMANLANDS LÄN</t>
        </is>
      </c>
      <c r="G307" t="inlineStr">
        <is>
          <t>VÄSTERÅS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46252</v>
      </c>
      <c r="F308" t="inlineStr">
        <is>
          <t>VÄSTMANLANDS LÄN</t>
        </is>
      </c>
      <c r="G308" t="inlineStr">
        <is>
          <t>VÄSTERÅS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46162</v>
      </c>
      <c r="E309" s="1" t="n">
        <v>46252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46252</v>
      </c>
      <c r="F310" t="inlineStr">
        <is>
          <t>VÄSTMANLANDS LÄN</t>
        </is>
      </c>
      <c r="G310" t="inlineStr">
        <is>
          <t>VÄSTERÅS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45506</v>
      </c>
      <c r="E311" s="1" t="n">
        <v>46252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Kommuner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38345-2024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45545</v>
      </c>
      <c r="E312" s="1" t="n">
        <v>46252</v>
      </c>
      <c r="F312" t="inlineStr">
        <is>
          <t>VÄSTMANLANDS LÄN</t>
        </is>
      </c>
      <c r="G312" t="inlineStr">
        <is>
          <t>VÄSTERÅS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46252</v>
      </c>
      <c r="F313" t="inlineStr">
        <is>
          <t>VÄSTMANLANDS LÄN</t>
        </is>
      </c>
      <c r="G313" t="inlineStr">
        <is>
          <t>VÄSTERÅS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46169</v>
      </c>
      <c r="E314" s="1" t="n">
        <v>46252</v>
      </c>
      <c r="F314" t="inlineStr">
        <is>
          <t>VÄSTMANLANDS LÄN</t>
        </is>
      </c>
      <c r="G314" t="inlineStr">
        <is>
          <t>VÄSTERÅS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46169</v>
      </c>
      <c r="E315" s="1" t="n">
        <v>46252</v>
      </c>
      <c r="F315" t="inlineStr">
        <is>
          <t>VÄSTMANLANDS LÄN</t>
        </is>
      </c>
      <c r="G315" t="inlineStr">
        <is>
          <t>VÄSTERÅS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45274</v>
      </c>
      <c r="E316" s="1" t="n">
        <v>46252</v>
      </c>
      <c r="F316" t="inlineStr">
        <is>
          <t>VÄSTMANLANDS LÄN</t>
        </is>
      </c>
      <c r="G316" t="inlineStr">
        <is>
          <t>VÄSTERÅS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46252</v>
      </c>
      <c r="F317" t="inlineStr">
        <is>
          <t>VÄSTMANLANDS LÄN</t>
        </is>
      </c>
      <c r="G317" t="inlineStr">
        <is>
          <t>VÄSTERÅS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46252</v>
      </c>
      <c r="F318" t="inlineStr">
        <is>
          <t>VÄSTMANLANDS LÄN</t>
        </is>
      </c>
      <c r="G318" t="inlineStr">
        <is>
          <t>VÄSTERÅS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46252</v>
      </c>
      <c r="F319" t="inlineStr">
        <is>
          <t>VÄSTMANLANDS LÄN</t>
        </is>
      </c>
      <c r="G319" t="inlineStr">
        <is>
          <t>VÄSTERÅS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46213</v>
      </c>
      <c r="E320" s="1" t="n">
        <v>46252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46215</v>
      </c>
      <c r="E321" s="1" t="n">
        <v>46252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46215</v>
      </c>
      <c r="E322" s="1" t="n">
        <v>46252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46252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46215</v>
      </c>
      <c r="E324" s="1" t="n">
        <v>46252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46215</v>
      </c>
      <c r="E325" s="1" t="n">
        <v>46252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46215</v>
      </c>
      <c r="E326" s="1" t="n">
        <v>46252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46252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46252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953-2023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45005</v>
      </c>
      <c r="E329" s="1" t="n">
        <v>46252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46252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46252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46252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46252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2026-08-18T01:47:41Z</dcterms:created>
  <dcterms:modified xmlns:dcterms="http://purl.org/dc/terms/" xmlns:xsi="http://www.w3.org/2001/XMLSchema-instance" xsi:type="dcterms:W3CDTF">2026-08-18T01:47:41Z</dcterms:modified>
</cp:coreProperties>
</file>