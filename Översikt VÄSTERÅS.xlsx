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46267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46267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46267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46267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46267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46267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46267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46267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46267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46267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46267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46267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46267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46267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46267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46267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46267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46267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46267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46267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46267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46267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46267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46267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46267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46267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46267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46267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46267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46267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46267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46267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46267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Lönnlav</t>
        </is>
      </c>
      <c r="W45">
        <f>HYPERLINK("https://klasma.github.io/Logging_1980/artfynd/A 16374-2025 artfynd.xlsx", "A 16374-2025")</f>
        <v/>
      </c>
      <c r="X45">
        <f>HYPERLINK("https://klasma.github.io/Logging_1980/kartor/A 16374-2025 karta.png", "A 16374-2025")</f>
        <v/>
      </c>
      <c r="Y45">
        <f>HYPERLINK("https://klasma.github.io/Logging_1980/kartor_geotiff/A 16374-2025 georefererad karta.tif", "A 16374-2025")</f>
        <v/>
      </c>
      <c r="AA45">
        <f>HYPERLINK("https://klasma.github.io/Logging_1980/klagomål/A 16374-2025 FSC-klagomål.docx", "A 16374-2025")</f>
        <v/>
      </c>
      <c r="AB45">
        <f>HYPERLINK("https://klasma.github.io/Logging_1980/klagomålsmail/A 16374-2025 FSC-klagomål mail.docx", "A 16374-2025")</f>
        <v/>
      </c>
      <c r="AC45">
        <f>HYPERLINK("https://klasma.github.io/Logging_1980/tillsyn/A 16374-2025 tillsynsbegäran.docx", "A 16374-2025")</f>
        <v/>
      </c>
      <c r="AD45">
        <f>HYPERLINK("https://klasma.github.io/Logging_1980/tillsynsmail/A 16374-2025 tillsynsbegäran mail.docx", "A 16374-2025")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46267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Bandad skulderbock</t>
        </is>
      </c>
      <c r="W46">
        <f>HYPERLINK("https://klasma.github.io/Logging_1980/artfynd/A 61059-2024 artfynd.xlsx", "A 61059-2024")</f>
        <v/>
      </c>
      <c r="X46">
        <f>HYPERLINK("https://klasma.github.io/Logging_1980/kartor/A 61059-2024 karta.png", "A 61059-2024")</f>
        <v/>
      </c>
      <c r="Y46">
        <f>HYPERLINK("https://klasma.github.io/Logging_1980/kartor_geotiff/A 61059-2024 georefererad karta.tif", "A 61059-2024")</f>
        <v/>
      </c>
      <c r="AA46">
        <f>HYPERLINK("https://klasma.github.io/Logging_1980/klagomål/A 61059-2024 FSC-klagomål.docx", "A 61059-2024")</f>
        <v/>
      </c>
      <c r="AB46">
        <f>HYPERLINK("https://klasma.github.io/Logging_1980/klagomålsmail/A 61059-2024 FSC-klagomål mail.docx", "A 61059-2024")</f>
        <v/>
      </c>
      <c r="AC46">
        <f>HYPERLINK("https://klasma.github.io/Logging_1980/tillsyn/A 61059-2024 tillsynsbegäran.docx", "A 61059-2024")</f>
        <v/>
      </c>
      <c r="AD46">
        <f>HYPERLINK("https://klasma.github.io/Logging_1980/tillsynsmail/A 61059-2024 tillsynsbegäran mail.docx", "A 61059-2024")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46267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46267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46267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46267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59520-2024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46267</v>
      </c>
      <c r="F51" t="inlineStr">
        <is>
          <t>VÄSTMANLANDS LÄN</t>
        </is>
      </c>
      <c r="G51" t="inlineStr">
        <is>
          <t>VÄSTERÅS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59520-2024 artfynd.xlsx", "A 59520-2024")</f>
        <v/>
      </c>
      <c r="X51">
        <f>HYPERLINK("https://klasma.github.io/Logging_1980/kartor/A 59520-2024 karta.png", "A 59520-2024")</f>
        <v/>
      </c>
      <c r="Y51">
        <f>HYPERLINK("https://klasma.github.io/Logging_1980/kartor_geotiff/A 59520-2024 georefererad karta.tif", "A 59520-2024")</f>
        <v/>
      </c>
      <c r="AA51">
        <f>HYPERLINK("https://klasma.github.io/Logging_1980/klagomål/A 59520-2024 FSC-klagomål.docx", "A 59520-2024")</f>
        <v/>
      </c>
      <c r="AB51">
        <f>HYPERLINK("https://klasma.github.io/Logging_1980/klagomålsmail/A 59520-2024 FSC-klagomål mail.docx", "A 59520-2024")</f>
        <v/>
      </c>
      <c r="AC51">
        <f>HYPERLINK("https://klasma.github.io/Logging_1980/tillsyn/A 59520-2024 tillsynsbegäran.docx", "A 59520-2024")</f>
        <v/>
      </c>
      <c r="AD51">
        <f>HYPERLINK("https://klasma.github.io/Logging_1980/tillsynsmail/A 59520-2024 tillsynsbegäran mail.docx", "A 59520-2024")</f>
        <v/>
      </c>
    </row>
    <row r="52" ht="15" customHeight="1">
      <c r="A52" t="inlineStr">
        <is>
          <t>A 46189-2023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45196</v>
      </c>
      <c r="E52" s="1" t="n">
        <v>46267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HYPERLINK("https://klasma.github.io/Logging_1980/artfynd/A 46189-2023 artfynd.xlsx", "A 46189-2023")</f>
        <v/>
      </c>
      <c r="X52">
        <f>HYPERLINK("https://klasma.github.io/Logging_1980/kartor/A 46189-2023 karta.png", "A 46189-2023")</f>
        <v/>
      </c>
      <c r="Y52">
        <f>HYPERLINK("https://klasma.github.io/Logging_1980/kartor_geotiff/A 46189-2023 georefererad karta.tif", "A 46189-2023")</f>
        <v/>
      </c>
      <c r="AA52">
        <f>HYPERLINK("https://klasma.github.io/Logging_1980/klagomål/A 46189-2023 FSC-klagomål.docx", "A 46189-2023")</f>
        <v/>
      </c>
      <c r="AB52">
        <f>HYPERLINK("https://klasma.github.io/Logging_1980/klagomålsmail/A 46189-2023 FSC-klagomål mail.docx", "A 46189-2023")</f>
        <v/>
      </c>
      <c r="AC52">
        <f>HYPERLINK("https://klasma.github.io/Logging_1980/tillsyn/A 46189-2023 tillsynsbegäran.docx", "A 46189-2023")</f>
        <v/>
      </c>
      <c r="AD52">
        <f>HYPERLINK("https://klasma.github.io/Logging_1980/tillsynsmail/A 46189-2023 tillsynsbegäran mail.docx", "A 46189-2023")</f>
        <v/>
      </c>
    </row>
    <row r="53" ht="15" customHeight="1">
      <c r="A53" t="inlineStr">
        <is>
          <t>A 8362-2022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46267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Köpingfibbla</t>
        </is>
      </c>
      <c r="W53">
        <f>HYPERLINK("https://klasma.github.io/Logging_1980/artfynd/A 8362-2022 artfynd.xlsx", "A 8362-2022")</f>
        <v/>
      </c>
      <c r="X53">
        <f>HYPERLINK("https://klasma.github.io/Logging_1980/kartor/A 8362-2022 karta.png", "A 8362-2022")</f>
        <v/>
      </c>
      <c r="Y53">
        <f>HYPERLINK("https://klasma.github.io/Logging_1980/kartor_geotiff/A 8362-2022 georefererad karta.tif", "A 8362-2022")</f>
        <v/>
      </c>
      <c r="AA53">
        <f>HYPERLINK("https://klasma.github.io/Logging_1980/klagomål/A 8362-2022 FSC-klagomål.docx", "A 8362-2022")</f>
        <v/>
      </c>
      <c r="AB53">
        <f>HYPERLINK("https://klasma.github.io/Logging_1980/klagomålsmail/A 8362-2022 FSC-klagomål mail.docx", "A 8362-2022")</f>
        <v/>
      </c>
      <c r="AC53">
        <f>HYPERLINK("https://klasma.github.io/Logging_1980/tillsyn/A 8362-2022 tillsynsbegäran.docx", "A 8362-2022")</f>
        <v/>
      </c>
      <c r="AD53">
        <f>HYPERLINK("https://klasma.github.io/Logging_1980/tillsynsmail/A 8362-2022 tillsynsbegäran mail.docx", "A 8362-2022")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46267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26568-2022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46267</v>
      </c>
      <c r="F55" t="inlineStr">
        <is>
          <t>VÄSTMANLANDS LÄN</t>
        </is>
      </c>
      <c r="G55" t="inlineStr">
        <is>
          <t>VÄSTERÅS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Mistel</t>
        </is>
      </c>
      <c r="W55">
        <f>HYPERLINK("https://klasma.github.io/Logging_1980/artfynd/A 26568-2022 artfynd.xlsx", "A 26568-2022")</f>
        <v/>
      </c>
      <c r="X55">
        <f>HYPERLINK("https://klasma.github.io/Logging_1980/kartor/A 26568-2022 karta.png", "A 26568-2022")</f>
        <v/>
      </c>
      <c r="Y55">
        <f>HYPERLINK("https://klasma.github.io/Logging_1980/kartor_geotiff/A 26568-2022 georefererad karta.tif", "A 26568-2022")</f>
        <v/>
      </c>
      <c r="AA55">
        <f>HYPERLINK("https://klasma.github.io/Logging_1980/klagomål/A 26568-2022 FSC-klagomål.docx", "A 26568-2022")</f>
        <v/>
      </c>
      <c r="AB55">
        <f>HYPERLINK("https://klasma.github.io/Logging_1980/klagomålsmail/A 26568-2022 FSC-klagomål mail.docx", "A 26568-2022")</f>
        <v/>
      </c>
      <c r="AC55">
        <f>HYPERLINK("https://klasma.github.io/Logging_1980/tillsyn/A 26568-2022 tillsynsbegäran.docx", "A 26568-2022")</f>
        <v/>
      </c>
      <c r="AD55">
        <f>HYPERLINK("https://klasma.github.io/Logging_1980/tillsynsmail/A 26568-2022 tillsynsbegäran mail.docx", "A 26568-2022")</f>
        <v/>
      </c>
    </row>
    <row r="56" ht="15" customHeight="1">
      <c r="A56" t="inlineStr">
        <is>
          <t>A 51147-2023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46267</v>
      </c>
      <c r="F56" t="inlineStr">
        <is>
          <t>VÄSTMANLANDS LÄN</t>
        </is>
      </c>
      <c r="G56" t="inlineStr">
        <is>
          <t>VÄSTERÅS</t>
        </is>
      </c>
      <c r="I56" t="n">
        <v>1.4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Mindre märgborre</t>
        </is>
      </c>
      <c r="W56">
        <f>HYPERLINK("https://klasma.github.io/Logging_1980/artfynd/A 51147-2023 artfynd.xlsx", "A 51147-2023")</f>
        <v/>
      </c>
      <c r="X56">
        <f>HYPERLINK("https://klasma.github.io/Logging_1980/kartor/A 51147-2023 karta.png", "A 51147-2023")</f>
        <v/>
      </c>
      <c r="Y56">
        <f>HYPERLINK("https://klasma.github.io/Logging_1980/kartor_geotiff/A 51147-2023 georefererad karta.tif", "A 51147-2023")</f>
        <v/>
      </c>
      <c r="AA56">
        <f>HYPERLINK("https://klasma.github.io/Logging_1980/klagomål/A 51147-2023 FSC-klagomål.docx", "A 51147-2023")</f>
        <v/>
      </c>
      <c r="AB56">
        <f>HYPERLINK("https://klasma.github.io/Logging_1980/klagomålsmail/A 51147-2023 FSC-klagomål mail.docx", "A 51147-2023")</f>
        <v/>
      </c>
      <c r="AC56">
        <f>HYPERLINK("https://klasma.github.io/Logging_1980/tillsyn/A 51147-2023 tillsynsbegäran.docx", "A 51147-2023")</f>
        <v/>
      </c>
      <c r="AD56">
        <f>HYPERLINK("https://klasma.github.io/Logging_1980/tillsynsmail/A 51147-2023 tillsynsbegäran mail.docx", "A 51147-2023")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46267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50193-2022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46267</v>
      </c>
      <c r="F58" t="inlineStr">
        <is>
          <t>VÄSTMANLANDS LÄN</t>
        </is>
      </c>
      <c r="G58" t="inlineStr">
        <is>
          <t>VÄSTERÅS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HYPERLINK("https://klasma.github.io/Logging_1980/artfynd/A 50193-2022 artfynd.xlsx", "A 50193-2022")</f>
        <v/>
      </c>
      <c r="X58">
        <f>HYPERLINK("https://klasma.github.io/Logging_1980/kartor/A 50193-2022 karta.png", "A 50193-2022")</f>
        <v/>
      </c>
      <c r="Y58">
        <f>HYPERLINK("https://klasma.github.io/Logging_1980/kartor_geotiff/A 50193-2022 georefererad karta.tif", "A 50193-2022")</f>
        <v/>
      </c>
      <c r="AA58">
        <f>HYPERLINK("https://klasma.github.io/Logging_1980/klagomål/A 50193-2022 FSC-klagomål.docx", "A 50193-2022")</f>
        <v/>
      </c>
      <c r="AB58">
        <f>HYPERLINK("https://klasma.github.io/Logging_1980/klagomålsmail/A 50193-2022 FSC-klagomål mail.docx", "A 50193-2022")</f>
        <v/>
      </c>
      <c r="AC58">
        <f>HYPERLINK("https://klasma.github.io/Logging_1980/tillsyn/A 50193-2022 tillsynsbegäran.docx", "A 50193-2022")</f>
        <v/>
      </c>
      <c r="AD58">
        <f>HYPERLINK("https://klasma.github.io/Logging_1980/tillsynsmail/A 50193-2022 tillsynsbegäran mail.docx", "A 50193-2022")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46267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46267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46267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46267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46267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46267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46267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46267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46267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46267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46267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46267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46267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46267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46267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46267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46267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46267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46267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46267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46267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46267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46267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46267</v>
      </c>
      <c r="F82" t="inlineStr">
        <is>
          <t>VÄSTMANLANDS LÄN</t>
        </is>
      </c>
      <c r="G82" t="inlineStr">
        <is>
          <t>VÄSTERÅS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44608</v>
      </c>
      <c r="E83" s="1" t="n">
        <v>46267</v>
      </c>
      <c r="F83" t="inlineStr">
        <is>
          <t>VÄSTMANLANDS LÄN</t>
        </is>
      </c>
      <c r="G83" t="inlineStr">
        <is>
          <t>VÄSTERÅS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46267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46267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46267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46267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46267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46267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46267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46267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18457-2023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45042</v>
      </c>
      <c r="E92" s="1" t="n">
        <v>46267</v>
      </c>
      <c r="F92" t="inlineStr">
        <is>
          <t>VÄSTMANLANDS LÄN</t>
        </is>
      </c>
      <c r="G92" t="inlineStr">
        <is>
          <t>VÄSTERÅS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46267</v>
      </c>
      <c r="F93" t="inlineStr">
        <is>
          <t>VÄSTMANLANDS LÄN</t>
        </is>
      </c>
      <c r="G93" t="inlineStr">
        <is>
          <t>VÄSTERÅS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67353-2021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46267</v>
      </c>
      <c r="F94" t="inlineStr">
        <is>
          <t>VÄSTMANLANDS LÄN</t>
        </is>
      </c>
      <c r="G94" t="inlineStr">
        <is>
          <t>VÄSTERÅS</t>
        </is>
      </c>
      <c r="H94" t="inlineStr">
        <is>
          <t>Övriga Aktiebolag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46267</v>
      </c>
      <c r="F95" t="inlineStr">
        <is>
          <t>VÄSTMANLANDS LÄN</t>
        </is>
      </c>
      <c r="G95" t="inlineStr">
        <is>
          <t>VÄSTERÅS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46267</v>
      </c>
      <c r="F96" t="inlineStr">
        <is>
          <t>VÄSTMANLANDS LÄN</t>
        </is>
      </c>
      <c r="G96" t="inlineStr">
        <is>
          <t>VÄSTERÅS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46267</v>
      </c>
      <c r="F97" t="inlineStr">
        <is>
          <t>VÄSTMANLANDS LÄN</t>
        </is>
      </c>
      <c r="G97" t="inlineStr">
        <is>
          <t>VÄSTERÅS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46267</v>
      </c>
      <c r="F98" t="inlineStr">
        <is>
          <t>VÄSTMANLANDS LÄN</t>
        </is>
      </c>
      <c r="G98" t="inlineStr">
        <is>
          <t>VÄSTERÅS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46267</v>
      </c>
      <c r="F99" t="inlineStr">
        <is>
          <t>VÄSTMANLANDS LÄN</t>
        </is>
      </c>
      <c r="G99" t="inlineStr">
        <is>
          <t>VÄSTERÅS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46267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45296</v>
      </c>
      <c r="E101" s="1" t="n">
        <v>46267</v>
      </c>
      <c r="F101" t="inlineStr">
        <is>
          <t>VÄSTMANLANDS LÄN</t>
        </is>
      </c>
      <c r="G101" t="inlineStr">
        <is>
          <t>VÄSTERÅS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46267</v>
      </c>
      <c r="F102" t="inlineStr">
        <is>
          <t>VÄSTMANLANDS LÄN</t>
        </is>
      </c>
      <c r="G102" t="inlineStr">
        <is>
          <t>VÄSTERÅS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39127-2022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44816</v>
      </c>
      <c r="E103" s="1" t="n">
        <v>46267</v>
      </c>
      <c r="F103" t="inlineStr">
        <is>
          <t>VÄSTMANLANDS LÄN</t>
        </is>
      </c>
      <c r="G103" t="inlineStr">
        <is>
          <t>VÄSTERÅS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46267</v>
      </c>
      <c r="F104" t="inlineStr">
        <is>
          <t>VÄSTMANLANDS LÄN</t>
        </is>
      </c>
      <c r="G104" t="inlineStr">
        <is>
          <t>VÄSTERÅS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46267</v>
      </c>
      <c r="F105" t="inlineStr">
        <is>
          <t>VÄSTMANLANDS LÄN</t>
        </is>
      </c>
      <c r="G105" t="inlineStr">
        <is>
          <t>VÄSTERÅS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56980-2021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44482</v>
      </c>
      <c r="E106" s="1" t="n">
        <v>46267</v>
      </c>
      <c r="F106" t="inlineStr">
        <is>
          <t>VÄSTMANLANDS LÄN</t>
        </is>
      </c>
      <c r="G106" t="inlineStr">
        <is>
          <t>VÄSTERÅS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46267</v>
      </c>
      <c r="F107" t="inlineStr">
        <is>
          <t>VÄSTMANLANDS LÄN</t>
        </is>
      </c>
      <c r="G107" t="inlineStr">
        <is>
          <t>VÄSTERÅS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45083</v>
      </c>
      <c r="E108" s="1" t="n">
        <v>46267</v>
      </c>
      <c r="F108" t="inlineStr">
        <is>
          <t>VÄSTMANLANDS LÄN</t>
        </is>
      </c>
      <c r="G108" t="inlineStr">
        <is>
          <t>VÄSTERÅS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46267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46267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46267</v>
      </c>
      <c r="F111" t="inlineStr">
        <is>
          <t>VÄSTMANLANDS LÄN</t>
        </is>
      </c>
      <c r="G111" t="inlineStr">
        <is>
          <t>VÄSTERÅS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46267</v>
      </c>
      <c r="F112" t="inlineStr">
        <is>
          <t>VÄSTMANLANDS LÄN</t>
        </is>
      </c>
      <c r="G112" t="inlineStr">
        <is>
          <t>VÄSTERÅS</t>
        </is>
      </c>
      <c r="I112" t="n">
        <v>13.9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45042</v>
      </c>
      <c r="E113" s="1" t="n">
        <v>46267</v>
      </c>
      <c r="F113" t="inlineStr">
        <is>
          <t>VÄSTMANLANDS LÄN</t>
        </is>
      </c>
      <c r="G113" t="inlineStr">
        <is>
          <t>VÄSTERÅS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55676-2023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45232</v>
      </c>
      <c r="E114" s="1" t="n">
        <v>46267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Övriga Aktiebolag</t>
        </is>
      </c>
      <c r="I114" t="n">
        <v>37.9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52764-2022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44875</v>
      </c>
      <c r="E115" s="1" t="n">
        <v>46267</v>
      </c>
      <c r="F115" t="inlineStr">
        <is>
          <t>VÄSTMANLANDS LÄN</t>
        </is>
      </c>
      <c r="G115" t="inlineStr">
        <is>
          <t>VÄSTERÅS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70642-2021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46267</v>
      </c>
      <c r="F116" t="inlineStr">
        <is>
          <t>VÄSTMANLANDS LÄN</t>
        </is>
      </c>
      <c r="G116" t="inlineStr">
        <is>
          <t>VÄSTERÅS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46267</v>
      </c>
      <c r="F117" t="inlineStr">
        <is>
          <t>VÄSTMANLANDS LÄN</t>
        </is>
      </c>
      <c r="G117" t="inlineStr">
        <is>
          <t>VÄSTERÅS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57873-2022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46267</v>
      </c>
      <c r="F118" t="inlineStr">
        <is>
          <t>VÄSTMANLANDS LÄN</t>
        </is>
      </c>
      <c r="G118" t="inlineStr">
        <is>
          <t>VÄSTERÅS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46267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56076-2023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45235</v>
      </c>
      <c r="E120" s="1" t="n">
        <v>46267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Övriga Aktiebolag</t>
        </is>
      </c>
      <c r="I120" t="n">
        <v>37.8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46267</v>
      </c>
      <c r="F121" t="inlineStr">
        <is>
          <t>VÄSTMANLANDS LÄN</t>
        </is>
      </c>
      <c r="G121" t="inlineStr">
        <is>
          <t>VÄSTERÅS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60797-2022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44914</v>
      </c>
      <c r="E122" s="1" t="n">
        <v>46267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46267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46267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46267</v>
      </c>
      <c r="F125" t="inlineStr">
        <is>
          <t>VÄSTMANLANDS LÄN</t>
        </is>
      </c>
      <c r="G125" t="inlineStr">
        <is>
          <t>VÄSTERÅS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44636</v>
      </c>
      <c r="E126" s="1" t="n">
        <v>46267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Kommuner</t>
        </is>
      </c>
      <c r="I126" t="n">
        <v>12.9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46267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Kommuner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46267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46267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46267</v>
      </c>
      <c r="F130" t="inlineStr">
        <is>
          <t>VÄSTMANLANDS LÄN</t>
        </is>
      </c>
      <c r="G130" t="inlineStr">
        <is>
          <t>VÄSTERÅS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17808-2023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45037</v>
      </c>
      <c r="E131" s="1" t="n">
        <v>46267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46267</v>
      </c>
      <c r="F132" t="inlineStr">
        <is>
          <t>VÄSTMANLANDS LÄN</t>
        </is>
      </c>
      <c r="G132" t="inlineStr">
        <is>
          <t>VÄSTERÅS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46267</v>
      </c>
      <c r="F133" t="inlineStr">
        <is>
          <t>VÄSTMANLANDS LÄN</t>
        </is>
      </c>
      <c r="G133" t="inlineStr">
        <is>
          <t>VÄSTERÅS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44717</v>
      </c>
      <c r="E134" s="1" t="n">
        <v>46267</v>
      </c>
      <c r="F134" t="inlineStr">
        <is>
          <t>VÄSTMANLANDS LÄN</t>
        </is>
      </c>
      <c r="G134" t="inlineStr">
        <is>
          <t>VÄSTERÅS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45516</v>
      </c>
      <c r="E135" s="1" t="n">
        <v>46267</v>
      </c>
      <c r="F135" t="inlineStr">
        <is>
          <t>VÄSTMANLANDS LÄN</t>
        </is>
      </c>
      <c r="G135" t="inlineStr">
        <is>
          <t>VÄSTERÅS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46267</v>
      </c>
      <c r="F136" t="inlineStr">
        <is>
          <t>VÄSTMANLANDS LÄN</t>
        </is>
      </c>
      <c r="G136" t="inlineStr">
        <is>
          <t>VÄSTERÅS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46267</v>
      </c>
      <c r="F137" t="inlineStr">
        <is>
          <t>VÄSTMANLANDS LÄN</t>
        </is>
      </c>
      <c r="G137" t="inlineStr">
        <is>
          <t>VÄSTERÅS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46267</v>
      </c>
      <c r="F138" t="inlineStr">
        <is>
          <t>VÄSTMANLANDS LÄN</t>
        </is>
      </c>
      <c r="G138" t="inlineStr">
        <is>
          <t>VÄSTERÅS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44880</v>
      </c>
      <c r="E139" s="1" t="n">
        <v>46267</v>
      </c>
      <c r="F139" t="inlineStr">
        <is>
          <t>VÄSTMANLANDS LÄN</t>
        </is>
      </c>
      <c r="G139" t="inlineStr">
        <is>
          <t>VÄSTERÅS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46267</v>
      </c>
      <c r="F140" t="inlineStr">
        <is>
          <t>VÄSTMANLANDS LÄN</t>
        </is>
      </c>
      <c r="G140" t="inlineStr">
        <is>
          <t>VÄSTERÅS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46267</v>
      </c>
      <c r="F141" t="inlineStr">
        <is>
          <t>VÄSTMANLANDS LÄN</t>
        </is>
      </c>
      <c r="G141" t="inlineStr">
        <is>
          <t>VÄSTERÅS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46267</v>
      </c>
      <c r="F142" t="inlineStr">
        <is>
          <t>VÄSTMANLANDS LÄN</t>
        </is>
      </c>
      <c r="G142" t="inlineStr">
        <is>
          <t>VÄSTERÅS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46267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63851-2021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44509</v>
      </c>
      <c r="E144" s="1" t="n">
        <v>46267</v>
      </c>
      <c r="F144" t="inlineStr">
        <is>
          <t>VÄSTMANLANDS LÄN</t>
        </is>
      </c>
      <c r="G144" t="inlineStr">
        <is>
          <t>VÄSTERÅS</t>
        </is>
      </c>
      <c r="I144" t="n">
        <v>11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46267</v>
      </c>
      <c r="F145" t="inlineStr">
        <is>
          <t>VÄSTMANLANDS LÄN</t>
        </is>
      </c>
      <c r="G145" t="inlineStr">
        <is>
          <t>VÄSTERÅS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46267</v>
      </c>
      <c r="F146" t="inlineStr">
        <is>
          <t>VÄSTMANLANDS LÄN</t>
        </is>
      </c>
      <c r="G146" t="inlineStr">
        <is>
          <t>VÄSTERÅS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45628</v>
      </c>
      <c r="E147" s="1" t="n">
        <v>46267</v>
      </c>
      <c r="F147" t="inlineStr">
        <is>
          <t>VÄSTMANLANDS LÄN</t>
        </is>
      </c>
      <c r="G147" t="inlineStr">
        <is>
          <t>VÄSTERÅS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46267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46267</v>
      </c>
      <c r="F149" t="inlineStr">
        <is>
          <t>VÄSTMANLANDS LÄN</t>
        </is>
      </c>
      <c r="G149" t="inlineStr">
        <is>
          <t>VÄSTERÅS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46267</v>
      </c>
      <c r="F150" t="inlineStr">
        <is>
          <t>VÄSTMANLANDS LÄN</t>
        </is>
      </c>
      <c r="G150" t="inlineStr">
        <is>
          <t>VÄSTERÅS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45027</v>
      </c>
      <c r="E151" s="1" t="n">
        <v>46267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44826</v>
      </c>
      <c r="E152" s="1" t="n">
        <v>46267</v>
      </c>
      <c r="F152" t="inlineStr">
        <is>
          <t>VÄSTMANLANDS LÄN</t>
        </is>
      </c>
      <c r="G152" t="inlineStr">
        <is>
          <t>VÄSTERÅS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46267</v>
      </c>
      <c r="F153" t="inlineStr">
        <is>
          <t>VÄSTMANLANDS LÄN</t>
        </is>
      </c>
      <c r="G153" t="inlineStr">
        <is>
          <t>VÄSTERÅS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46059</v>
      </c>
      <c r="E154" s="1" t="n">
        <v>46267</v>
      </c>
      <c r="F154" t="inlineStr">
        <is>
          <t>VÄSTMANLANDS LÄN</t>
        </is>
      </c>
      <c r="G154" t="inlineStr">
        <is>
          <t>VÄSTERÅS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7797-2026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46062</v>
      </c>
      <c r="E155" s="1" t="n">
        <v>46267</v>
      </c>
      <c r="F155" t="inlineStr">
        <is>
          <t>VÄSTMANLANDS LÄN</t>
        </is>
      </c>
      <c r="G155" t="inlineStr">
        <is>
          <t>VÄSTERÅS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45607</v>
      </c>
      <c r="E156" s="1" t="n">
        <v>46267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44582</v>
      </c>
      <c r="E157" s="1" t="n">
        <v>46267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Aktiebolag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45019</v>
      </c>
      <c r="E158" s="1" t="n">
        <v>46267</v>
      </c>
      <c r="F158" t="inlineStr">
        <is>
          <t>VÄSTMANLANDS LÄN</t>
        </is>
      </c>
      <c r="G158" t="inlineStr">
        <is>
          <t>VÄSTERÅS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46267</v>
      </c>
      <c r="F159" t="inlineStr">
        <is>
          <t>VÄSTMANLANDS LÄN</t>
        </is>
      </c>
      <c r="G159" t="inlineStr">
        <is>
          <t>VÄSTERÅS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46267</v>
      </c>
      <c r="F160" t="inlineStr">
        <is>
          <t>VÄSTMANLANDS LÄN</t>
        </is>
      </c>
      <c r="G160" t="inlineStr">
        <is>
          <t>VÄSTERÅS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46267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statliga verk och myndigheter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46267</v>
      </c>
      <c r="F162" t="inlineStr">
        <is>
          <t>VÄSTMANLANDS LÄN</t>
        </is>
      </c>
      <c r="G162" t="inlineStr">
        <is>
          <t>VÄSTERÅS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46267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46267</v>
      </c>
      <c r="F164" t="inlineStr">
        <is>
          <t>VÄSTMANLANDS LÄN</t>
        </is>
      </c>
      <c r="G164" t="inlineStr">
        <is>
          <t>VÄSTERÅS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46267</v>
      </c>
      <c r="F165" t="inlineStr">
        <is>
          <t>VÄSTMANLANDS LÄN</t>
        </is>
      </c>
      <c r="G165" t="inlineStr">
        <is>
          <t>VÄSTERÅS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46079</v>
      </c>
      <c r="E166" s="1" t="n">
        <v>46267</v>
      </c>
      <c r="F166" t="inlineStr">
        <is>
          <t>VÄSTMANLANDS LÄN</t>
        </is>
      </c>
      <c r="G166" t="inlineStr">
        <is>
          <t>VÄSTERÅS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46267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45735</v>
      </c>
      <c r="E168" s="1" t="n">
        <v>46267</v>
      </c>
      <c r="F168" t="inlineStr">
        <is>
          <t>VÄSTMANLANDS LÄN</t>
        </is>
      </c>
      <c r="G168" t="inlineStr">
        <is>
          <t>VÄSTERÅS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52027-2025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45952</v>
      </c>
      <c r="E169" s="1" t="n">
        <v>46267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Övriga statliga verk och myndigheter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46267</v>
      </c>
      <c r="F170" t="inlineStr">
        <is>
          <t>VÄSTMANLANDS LÄN</t>
        </is>
      </c>
      <c r="G170" t="inlineStr">
        <is>
          <t>VÄSTERÅS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46267</v>
      </c>
      <c r="F171" t="inlineStr">
        <is>
          <t>VÄSTMANLANDS LÄN</t>
        </is>
      </c>
      <c r="G171" t="inlineStr">
        <is>
          <t>VÄSTERÅS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46267</v>
      </c>
      <c r="F172" t="inlineStr">
        <is>
          <t>VÄSTMANLANDS LÄN</t>
        </is>
      </c>
      <c r="G172" t="inlineStr">
        <is>
          <t>VÄSTERÅS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46267</v>
      </c>
      <c r="F173" t="inlineStr">
        <is>
          <t>VÄSTMANLANDS LÄN</t>
        </is>
      </c>
      <c r="G173" t="inlineStr">
        <is>
          <t>VÄSTERÅS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46267</v>
      </c>
      <c r="F174" t="inlineStr">
        <is>
          <t>VÄSTMANLANDS LÄN</t>
        </is>
      </c>
      <c r="G174" t="inlineStr">
        <is>
          <t>VÄSTERÅS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46267</v>
      </c>
      <c r="F175" t="inlineStr">
        <is>
          <t>VÄSTMANLANDS LÄN</t>
        </is>
      </c>
      <c r="G175" t="inlineStr">
        <is>
          <t>VÄSTERÅS</t>
        </is>
      </c>
      <c r="I175" t="n">
        <v>20.3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46267</v>
      </c>
      <c r="F176" t="inlineStr">
        <is>
          <t>VÄSTMANLANDS LÄN</t>
        </is>
      </c>
      <c r="G176" t="inlineStr">
        <is>
          <t>VÄSTERÅS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46267</v>
      </c>
      <c r="F177" t="inlineStr">
        <is>
          <t>VÄSTMANLANDS LÄN</t>
        </is>
      </c>
      <c r="G177" t="inlineStr">
        <is>
          <t>VÄSTERÅS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44874</v>
      </c>
      <c r="E178" s="1" t="n">
        <v>46267</v>
      </c>
      <c r="F178" t="inlineStr">
        <is>
          <t>VÄSTMANLANDS LÄN</t>
        </is>
      </c>
      <c r="G178" t="inlineStr">
        <is>
          <t>VÄSTERÅS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46267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45223</v>
      </c>
      <c r="E180" s="1" t="n">
        <v>46267</v>
      </c>
      <c r="F180" t="inlineStr">
        <is>
          <t>VÄSTMANLANDS LÄN</t>
        </is>
      </c>
      <c r="G180" t="inlineStr">
        <is>
          <t>VÄSTERÅS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46267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46267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45279</v>
      </c>
      <c r="E183" s="1" t="n">
        <v>46267</v>
      </c>
      <c r="F183" t="inlineStr">
        <is>
          <t>VÄSTMANLANDS LÄN</t>
        </is>
      </c>
      <c r="G183" t="inlineStr">
        <is>
          <t>VÄSTERÅS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46267</v>
      </c>
      <c r="F184" t="inlineStr">
        <is>
          <t>VÄSTMANLANDS LÄN</t>
        </is>
      </c>
      <c r="G184" t="inlineStr">
        <is>
          <t>VÄSTERÅS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46267</v>
      </c>
      <c r="F185" t="inlineStr">
        <is>
          <t>VÄSTMANLANDS LÄN</t>
        </is>
      </c>
      <c r="G185" t="inlineStr">
        <is>
          <t>VÄSTERÅS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46267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73601-2021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46267</v>
      </c>
      <c r="F187" t="inlineStr">
        <is>
          <t>VÄSTMANLANDS LÄN</t>
        </is>
      </c>
      <c r="G187" t="inlineStr">
        <is>
          <t>VÄSTERÅS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46267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46267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46267</v>
      </c>
      <c r="F190" t="inlineStr">
        <is>
          <t>VÄSTMANLANDS LÄN</t>
        </is>
      </c>
      <c r="G190" t="inlineStr">
        <is>
          <t>VÄSTERÅS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45532</v>
      </c>
      <c r="E191" s="1" t="n">
        <v>46267</v>
      </c>
      <c r="F191" t="inlineStr">
        <is>
          <t>VÄSTMANLANDS LÄN</t>
        </is>
      </c>
      <c r="G191" t="inlineStr">
        <is>
          <t>VÄSTERÅS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74314-2021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44559</v>
      </c>
      <c r="E192" s="1" t="n">
        <v>46267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46267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Allmännings- och besparingsskogar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44595</v>
      </c>
      <c r="E194" s="1" t="n">
        <v>46267</v>
      </c>
      <c r="F194" t="inlineStr">
        <is>
          <t>VÄSTMANLANDS LÄN</t>
        </is>
      </c>
      <c r="G194" t="inlineStr">
        <is>
          <t>VÄSTERÅS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46104</v>
      </c>
      <c r="E195" s="1" t="n">
        <v>46267</v>
      </c>
      <c r="F195" t="inlineStr">
        <is>
          <t>VÄSTMANLANDS LÄN</t>
        </is>
      </c>
      <c r="G195" t="inlineStr">
        <is>
          <t>VÄSTERÅS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46267</v>
      </c>
      <c r="F196" t="inlineStr">
        <is>
          <t>VÄSTMANLANDS LÄN</t>
        </is>
      </c>
      <c r="G196" t="inlineStr">
        <is>
          <t>VÄSTERÅS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44637</v>
      </c>
      <c r="E197" s="1" t="n">
        <v>46267</v>
      </c>
      <c r="F197" t="inlineStr">
        <is>
          <t>VÄSTMANLANDS LÄN</t>
        </is>
      </c>
      <c r="G197" t="inlineStr">
        <is>
          <t>VÄSTERÅS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16214-2023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45028</v>
      </c>
      <c r="E198" s="1" t="n">
        <v>46267</v>
      </c>
      <c r="F198" t="inlineStr">
        <is>
          <t>VÄSTMANLANDS LÄN</t>
        </is>
      </c>
      <c r="G198" t="inlineStr">
        <is>
          <t>VÄSTERÅS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46267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46267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46267</v>
      </c>
      <c r="F201" t="inlineStr">
        <is>
          <t>VÄSTMANLANDS LÄN</t>
        </is>
      </c>
      <c r="G201" t="inlineStr">
        <is>
          <t>VÄSTERÅS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46267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46267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46267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46267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46267</v>
      </c>
      <c r="F206" t="inlineStr">
        <is>
          <t>VÄSTMANLANDS LÄN</t>
        </is>
      </c>
      <c r="G206" t="inlineStr">
        <is>
          <t>VÄSTERÅS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46267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Kommuner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46120</v>
      </c>
      <c r="E208" s="1" t="n">
        <v>46267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Allmännings- och besparingsskogar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45125</v>
      </c>
      <c r="E209" s="1" t="n">
        <v>46267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18465-2023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45042</v>
      </c>
      <c r="E210" s="1" t="n">
        <v>46267</v>
      </c>
      <c r="F210" t="inlineStr">
        <is>
          <t>VÄSTMANLANDS LÄN</t>
        </is>
      </c>
      <c r="G210" t="inlineStr">
        <is>
          <t>VÄSTERÅS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44556</v>
      </c>
      <c r="E211" s="1" t="n">
        <v>46267</v>
      </c>
      <c r="F211" t="inlineStr">
        <is>
          <t>VÄSTMANLANDS LÄN</t>
        </is>
      </c>
      <c r="G211" t="inlineStr">
        <is>
          <t>VÄSTERÅS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46267</v>
      </c>
      <c r="F212" t="inlineStr">
        <is>
          <t>VÄSTMANLANDS LÄN</t>
        </is>
      </c>
      <c r="G212" t="inlineStr">
        <is>
          <t>VÄSTERÅS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73597-2021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46267</v>
      </c>
      <c r="F213" t="inlineStr">
        <is>
          <t>VÄSTMANLANDS LÄN</t>
        </is>
      </c>
      <c r="G213" t="inlineStr">
        <is>
          <t>VÄSTERÅS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46267</v>
      </c>
      <c r="F214" t="inlineStr">
        <is>
          <t>VÄSTMANLANDS LÄN</t>
        </is>
      </c>
      <c r="G214" t="inlineStr">
        <is>
          <t>VÄSTERÅS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46267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Kommuner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67350-2021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44523</v>
      </c>
      <c r="E216" s="1" t="n">
        <v>46267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Övriga Aktiebolag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46267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46135</v>
      </c>
      <c r="E218" s="1" t="n">
        <v>46267</v>
      </c>
      <c r="F218" t="inlineStr">
        <is>
          <t>VÄSTMANLANDS LÄN</t>
        </is>
      </c>
      <c r="G218" t="inlineStr">
        <is>
          <t>VÄSTERÅS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7378-2022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44606</v>
      </c>
      <c r="E219" s="1" t="n">
        <v>46267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46267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46267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46267</v>
      </c>
      <c r="F222" t="inlineStr">
        <is>
          <t>VÄSTMANLANDS LÄN</t>
        </is>
      </c>
      <c r="G222" t="inlineStr">
        <is>
          <t>VÄSTERÅS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44658</v>
      </c>
      <c r="E223" s="1" t="n">
        <v>46267</v>
      </c>
      <c r="F223" t="inlineStr">
        <is>
          <t>VÄSTMANLANDS LÄN</t>
        </is>
      </c>
      <c r="G223" t="inlineStr">
        <is>
          <t>VÄSTERÅS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19927-2026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46267</v>
      </c>
      <c r="F224" t="inlineStr">
        <is>
          <t>VÄSTMANLANDS LÄN</t>
        </is>
      </c>
      <c r="G224" t="inlineStr">
        <is>
          <t>VÄSTERÅS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46267</v>
      </c>
      <c r="F225" t="inlineStr">
        <is>
          <t>VÄSTMANLANDS LÄN</t>
        </is>
      </c>
      <c r="G225" t="inlineStr">
        <is>
          <t>VÄSTERÅS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46267</v>
      </c>
      <c r="F226" t="inlineStr">
        <is>
          <t>VÄSTMANLANDS LÄN</t>
        </is>
      </c>
      <c r="G226" t="inlineStr">
        <is>
          <t>VÄSTERÅS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8357-2022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46267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46267</v>
      </c>
      <c r="F228" t="inlineStr">
        <is>
          <t>VÄSTMANLANDS LÄN</t>
        </is>
      </c>
      <c r="G228" t="inlineStr">
        <is>
          <t>VÄSTERÅS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46267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46267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46267</v>
      </c>
      <c r="F231" t="inlineStr">
        <is>
          <t>VÄSTMANLANDS LÄN</t>
        </is>
      </c>
      <c r="G231" t="inlineStr">
        <is>
          <t>VÄSTERÅS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44680</v>
      </c>
      <c r="E232" s="1" t="n">
        <v>46267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44743</v>
      </c>
      <c r="E233" s="1" t="n">
        <v>46267</v>
      </c>
      <c r="F233" t="inlineStr">
        <is>
          <t>VÄSTMANLANDS LÄN</t>
        </is>
      </c>
      <c r="G233" t="inlineStr">
        <is>
          <t>VÄSTERÅS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46267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46267</v>
      </c>
      <c r="F235" t="inlineStr">
        <is>
          <t>VÄSTMANLANDS LÄN</t>
        </is>
      </c>
      <c r="G235" t="inlineStr">
        <is>
          <t>VÄSTERÅS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44664</v>
      </c>
      <c r="E236" s="1" t="n">
        <v>46267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46267</v>
      </c>
      <c r="F237" t="inlineStr">
        <is>
          <t>VÄSTMANLANDS LÄN</t>
        </is>
      </c>
      <c r="G237" t="inlineStr">
        <is>
          <t>VÄSTERÅS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44722</v>
      </c>
      <c r="E238" s="1" t="n">
        <v>46267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44739</v>
      </c>
      <c r="E239" s="1" t="n">
        <v>46267</v>
      </c>
      <c r="F239" t="inlineStr">
        <is>
          <t>VÄSTMANLANDS LÄN</t>
        </is>
      </c>
      <c r="G239" t="inlineStr">
        <is>
          <t>VÄSTERÅS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64202-2023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46267</v>
      </c>
      <c r="F240" t="inlineStr">
        <is>
          <t>VÄSTMANLANDS LÄN</t>
        </is>
      </c>
      <c r="G240" t="inlineStr">
        <is>
          <t>VÄSTERÅS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64793-2023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45282</v>
      </c>
      <c r="E241" s="1" t="n">
        <v>46267</v>
      </c>
      <c r="F241" t="inlineStr">
        <is>
          <t>VÄSTMANLANDS LÄN</t>
        </is>
      </c>
      <c r="G241" t="inlineStr">
        <is>
          <t>VÄSTERÅS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46267</v>
      </c>
      <c r="F242" t="inlineStr">
        <is>
          <t>VÄSTMANLANDS LÄN</t>
        </is>
      </c>
      <c r="G242" t="inlineStr">
        <is>
          <t>VÄSTERÅS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44648</v>
      </c>
      <c r="E243" s="1" t="n">
        <v>46267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46267</v>
      </c>
      <c r="F244" t="inlineStr">
        <is>
          <t>VÄSTMANLANDS LÄN</t>
        </is>
      </c>
      <c r="G244" t="inlineStr">
        <is>
          <t>VÄSTERÅS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46267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44961</v>
      </c>
      <c r="E246" s="1" t="n">
        <v>46267</v>
      </c>
      <c r="F246" t="inlineStr">
        <is>
          <t>VÄSTMANLANDS LÄN</t>
        </is>
      </c>
      <c r="G246" t="inlineStr">
        <is>
          <t>VÄSTERÅS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46267</v>
      </c>
      <c r="F247" t="inlineStr">
        <is>
          <t>VÄSTMANLANDS LÄN</t>
        </is>
      </c>
      <c r="G247" t="inlineStr">
        <is>
          <t>VÄSTERÅS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46267</v>
      </c>
      <c r="F248" t="inlineStr">
        <is>
          <t>VÄSTMANLANDS LÄN</t>
        </is>
      </c>
      <c r="G248" t="inlineStr">
        <is>
          <t>VÄSTERÅS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67352-2021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44523</v>
      </c>
      <c r="E249" s="1" t="n">
        <v>46267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Övriga Aktiebolag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44671</v>
      </c>
      <c r="E250" s="1" t="n">
        <v>46267</v>
      </c>
      <c r="F250" t="inlineStr">
        <is>
          <t>VÄSTMANLANDS LÄN</t>
        </is>
      </c>
      <c r="G250" t="inlineStr">
        <is>
          <t>VÄSTERÅS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46267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46267</v>
      </c>
      <c r="F252" t="inlineStr">
        <is>
          <t>VÄSTMANLANDS LÄN</t>
        </is>
      </c>
      <c r="G252" t="inlineStr">
        <is>
          <t>VÄSTERÅS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46267</v>
      </c>
      <c r="F253" t="inlineStr">
        <is>
          <t>VÄSTMANLANDS LÄN</t>
        </is>
      </c>
      <c r="G253" t="inlineStr">
        <is>
          <t>VÄSTERÅS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23497-2026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46267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24262-2026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46267</v>
      </c>
      <c r="F255" t="inlineStr">
        <is>
          <t>VÄSTMANLANDS LÄN</t>
        </is>
      </c>
      <c r="G255" t="inlineStr">
        <is>
          <t>VÄSTERÅS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46267</v>
      </c>
      <c r="F256" t="inlineStr">
        <is>
          <t>VÄSTMANLANDS LÄN</t>
        </is>
      </c>
      <c r="G256" t="inlineStr">
        <is>
          <t>VÄSTERÅS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46267</v>
      </c>
      <c r="F257" t="inlineStr">
        <is>
          <t>VÄSTMANLANDS LÄN</t>
        </is>
      </c>
      <c r="G257" t="inlineStr">
        <is>
          <t>VÄSTERÅS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44657</v>
      </c>
      <c r="E258" s="1" t="n">
        <v>46267</v>
      </c>
      <c r="F258" t="inlineStr">
        <is>
          <t>VÄSTMANLANDS LÄN</t>
        </is>
      </c>
      <c r="G258" t="inlineStr">
        <is>
          <t>VÄSTERÅS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46169</v>
      </c>
      <c r="E259" s="1" t="n">
        <v>46267</v>
      </c>
      <c r="F259" t="inlineStr">
        <is>
          <t>VÄSTMANLANDS LÄN</t>
        </is>
      </c>
      <c r="G259" t="inlineStr">
        <is>
          <t>VÄSTERÅS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45274</v>
      </c>
      <c r="E260" s="1" t="n">
        <v>46267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46267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11137-2023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46267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46267</v>
      </c>
      <c r="F263" t="inlineStr">
        <is>
          <t>VÄSTMANLANDS LÄN</t>
        </is>
      </c>
      <c r="G263" t="inlineStr">
        <is>
          <t>VÄSTERÅS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45019</v>
      </c>
      <c r="E264" s="1" t="n">
        <v>46267</v>
      </c>
      <c r="F264" t="inlineStr">
        <is>
          <t>VÄSTMANLANDS LÄN</t>
        </is>
      </c>
      <c r="G264" t="inlineStr">
        <is>
          <t>VÄSTERÅS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44610</v>
      </c>
      <c r="E265" s="1" t="n">
        <v>46267</v>
      </c>
      <c r="F265" t="inlineStr">
        <is>
          <t>VÄSTMANLANDS LÄN</t>
        </is>
      </c>
      <c r="G265" t="inlineStr">
        <is>
          <t>VÄSTERÅS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45443</v>
      </c>
      <c r="E266" s="1" t="n">
        <v>46267</v>
      </c>
      <c r="F266" t="inlineStr">
        <is>
          <t>VÄSTMANLANDS LÄN</t>
        </is>
      </c>
      <c r="G266" t="inlineStr">
        <is>
          <t>VÄSTERÅS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45072</v>
      </c>
      <c r="E267" s="1" t="n">
        <v>46267</v>
      </c>
      <c r="F267" t="inlineStr">
        <is>
          <t>VÄSTMANLANDS LÄN</t>
        </is>
      </c>
      <c r="G267" t="inlineStr">
        <is>
          <t>VÄSTERÅS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46267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Kyrkan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45804-2024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45579</v>
      </c>
      <c r="E269" s="1" t="n">
        <v>46267</v>
      </c>
      <c r="F269" t="inlineStr">
        <is>
          <t>VÄSTMANLANDS LÄN</t>
        </is>
      </c>
      <c r="G269" t="inlineStr">
        <is>
          <t>VÄSTERÅS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44600</v>
      </c>
      <c r="E270" s="1" t="n">
        <v>46267</v>
      </c>
      <c r="F270" t="inlineStr">
        <is>
          <t>VÄSTMANLANDS LÄN</t>
        </is>
      </c>
      <c r="G270" t="inlineStr">
        <is>
          <t>VÄSTERÅS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46267</v>
      </c>
      <c r="F271" t="inlineStr">
        <is>
          <t>VÄSTMANLANDS LÄN</t>
        </is>
      </c>
      <c r="G271" t="inlineStr">
        <is>
          <t>VÄSTERÅS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46267</v>
      </c>
      <c r="F272" t="inlineStr">
        <is>
          <t>VÄSTMANLANDS LÄN</t>
        </is>
      </c>
      <c r="G272" t="inlineStr">
        <is>
          <t>VÄSTERÅS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44498</v>
      </c>
      <c r="E273" s="1" t="n">
        <v>46267</v>
      </c>
      <c r="F273" t="inlineStr">
        <is>
          <t>VÄSTMANLANDS LÄN</t>
        </is>
      </c>
      <c r="G273" t="inlineStr">
        <is>
          <t>VÄSTERÅS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8727-2023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44978</v>
      </c>
      <c r="E274" s="1" t="n">
        <v>46267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Kyrkan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46267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Allmännings- och besparingsskogar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46267</v>
      </c>
      <c r="F276" t="inlineStr">
        <is>
          <t>VÄSTMANLANDS LÄN</t>
        </is>
      </c>
      <c r="G276" t="inlineStr">
        <is>
          <t>VÄSTERÅS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46267</v>
      </c>
      <c r="F277" t="inlineStr">
        <is>
          <t>VÄSTMANLANDS LÄN</t>
        </is>
      </c>
      <c r="G277" t="inlineStr">
        <is>
          <t>VÄSTERÅS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46267</v>
      </c>
      <c r="F278" t="inlineStr">
        <is>
          <t>VÄSTMANLANDS LÄN</t>
        </is>
      </c>
      <c r="G278" t="inlineStr">
        <is>
          <t>VÄSTERÅS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46267</v>
      </c>
      <c r="F279" t="inlineStr">
        <is>
          <t>VÄSTMANLANDS LÄN</t>
        </is>
      </c>
      <c r="G279" t="inlineStr">
        <is>
          <t>VÄSTERÅS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46267</v>
      </c>
      <c r="F280" t="inlineStr">
        <is>
          <t>VÄSTMANLANDS LÄN</t>
        </is>
      </c>
      <c r="G280" t="inlineStr">
        <is>
          <t>VÄSTERÅS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44659</v>
      </c>
      <c r="E281" s="1" t="n">
        <v>46267</v>
      </c>
      <c r="F281" t="inlineStr">
        <is>
          <t>VÄSTMANLANDS LÄN</t>
        </is>
      </c>
      <c r="G281" t="inlineStr">
        <is>
          <t>VÄSTERÅS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46267</v>
      </c>
      <c r="F282" t="inlineStr">
        <is>
          <t>VÄSTMANLANDS LÄN</t>
        </is>
      </c>
      <c r="G282" t="inlineStr">
        <is>
          <t>VÄSTERÅS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44574</v>
      </c>
      <c r="E283" s="1" t="n">
        <v>46267</v>
      </c>
      <c r="F283" t="inlineStr">
        <is>
          <t>VÄSTMANLANDS LÄN</t>
        </is>
      </c>
      <c r="G283" t="inlineStr">
        <is>
          <t>VÄSTERÅS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46267</v>
      </c>
      <c r="F284" t="inlineStr">
        <is>
          <t>VÄSTMANLANDS LÄN</t>
        </is>
      </c>
      <c r="G284" t="inlineStr">
        <is>
          <t>VÄSTERÅS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46267</v>
      </c>
      <c r="F285" t="inlineStr">
        <is>
          <t>VÄSTMANLANDS LÄN</t>
        </is>
      </c>
      <c r="G285" t="inlineStr">
        <is>
          <t>VÄSTERÅS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46267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46267</v>
      </c>
      <c r="F287" t="inlineStr">
        <is>
          <t>VÄSTMANLANDS LÄN</t>
        </is>
      </c>
      <c r="G287" t="inlineStr">
        <is>
          <t>VÄSTERÅS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46267</v>
      </c>
      <c r="F288" t="inlineStr">
        <is>
          <t>VÄSTMANLANDS LÄN</t>
        </is>
      </c>
      <c r="G288" t="inlineStr">
        <is>
          <t>VÄSTERÅS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55684-2023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45232</v>
      </c>
      <c r="E289" s="1" t="n">
        <v>46267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Övriga Aktiebolag</t>
        </is>
      </c>
      <c r="I289" t="n">
        <v>29.4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39810-2024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46267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Kyrkan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45019</v>
      </c>
      <c r="E291" s="1" t="n">
        <v>46267</v>
      </c>
      <c r="F291" t="inlineStr">
        <is>
          <t>VÄSTMANLANDS LÄN</t>
        </is>
      </c>
      <c r="G291" t="inlineStr">
        <is>
          <t>VÄSTERÅS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18467-2023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45042</v>
      </c>
      <c r="E292" s="1" t="n">
        <v>46267</v>
      </c>
      <c r="F292" t="inlineStr">
        <is>
          <t>VÄSTMANLANDS LÄN</t>
        </is>
      </c>
      <c r="G292" t="inlineStr">
        <is>
          <t>VÄSTERÅS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45033</v>
      </c>
      <c r="E293" s="1" t="n">
        <v>46267</v>
      </c>
      <c r="F293" t="inlineStr">
        <is>
          <t>VÄSTMANLANDS LÄN</t>
        </is>
      </c>
      <c r="G293" t="inlineStr">
        <is>
          <t>VÄSTERÅS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45370</v>
      </c>
      <c r="E294" s="1" t="n">
        <v>46267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45019</v>
      </c>
      <c r="E295" s="1" t="n">
        <v>46267</v>
      </c>
      <c r="F295" t="inlineStr">
        <is>
          <t>VÄSTMANLANDS LÄN</t>
        </is>
      </c>
      <c r="G295" t="inlineStr">
        <is>
          <t>VÄSTERÅS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46267</v>
      </c>
      <c r="F296" t="inlineStr">
        <is>
          <t>VÄSTMANLANDS LÄN</t>
        </is>
      </c>
      <c r="G296" t="inlineStr">
        <is>
          <t>VÄSTERÅS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46267</v>
      </c>
      <c r="F297" t="inlineStr">
        <is>
          <t>VÄSTMANLANDS LÄN</t>
        </is>
      </c>
      <c r="G297" t="inlineStr">
        <is>
          <t>VÄSTERÅS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46267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46267</v>
      </c>
      <c r="F299" t="inlineStr">
        <is>
          <t>VÄSTMANLANDS LÄN</t>
        </is>
      </c>
      <c r="G299" t="inlineStr">
        <is>
          <t>VÄSTERÅS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8871-2026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46267</v>
      </c>
      <c r="F300" t="inlineStr">
        <is>
          <t>VÄSTMANLANDS LÄN</t>
        </is>
      </c>
      <c r="G300" t="inlineStr">
        <is>
          <t>VÄSTERÅS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46267</v>
      </c>
      <c r="F301" t="inlineStr">
        <is>
          <t>VÄSTMANLANDS LÄN</t>
        </is>
      </c>
      <c r="G301" t="inlineStr">
        <is>
          <t>VÄSTERÅS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45264</v>
      </c>
      <c r="E302" s="1" t="n">
        <v>46267</v>
      </c>
      <c r="F302" t="inlineStr">
        <is>
          <t>VÄSTMANLANDS LÄN</t>
        </is>
      </c>
      <c r="G302" t="inlineStr">
        <is>
          <t>VÄSTERÅS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46267</v>
      </c>
      <c r="F303" t="inlineStr">
        <is>
          <t>VÄSTMANLANDS LÄN</t>
        </is>
      </c>
      <c r="G303" t="inlineStr">
        <is>
          <t>VÄSTERÅS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45378</v>
      </c>
      <c r="E304" s="1" t="n">
        <v>46267</v>
      </c>
      <c r="F304" t="inlineStr">
        <is>
          <t>VÄSTMANLANDS LÄN</t>
        </is>
      </c>
      <c r="G304" t="inlineStr">
        <is>
          <t>VÄSTERÅS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46267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46267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46267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46267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46267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46267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46267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46267</v>
      </c>
      <c r="F312" t="inlineStr">
        <is>
          <t>VÄSTMANLANDS LÄN</t>
        </is>
      </c>
      <c r="G312" t="inlineStr">
        <is>
          <t>VÄSTERÅS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45545</v>
      </c>
      <c r="E313" s="1" t="n">
        <v>46267</v>
      </c>
      <c r="F313" t="inlineStr">
        <is>
          <t>VÄSTMANLANDS LÄN</t>
        </is>
      </c>
      <c r="G313" t="inlineStr">
        <is>
          <t>VÄSTERÅS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46267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45506</v>
      </c>
      <c r="E315" s="1" t="n">
        <v>46267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Kommuner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46267</v>
      </c>
      <c r="F316" t="inlineStr">
        <is>
          <t>VÄSTMANLANDS LÄN</t>
        </is>
      </c>
      <c r="G316" t="inlineStr">
        <is>
          <t>VÄSTERÅS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46267</v>
      </c>
      <c r="F317" t="inlineStr">
        <is>
          <t>VÄSTMANLANDS LÄN</t>
        </is>
      </c>
      <c r="G317" t="inlineStr">
        <is>
          <t>VÄSTERÅS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46267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46267</v>
      </c>
      <c r="F319" t="inlineStr">
        <is>
          <t>VÄSTMANLANDS LÄN</t>
        </is>
      </c>
      <c r="G319" t="inlineStr">
        <is>
          <t>VÄSTERÅS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46267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46267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1415-2022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44634</v>
      </c>
      <c r="E322" s="1" t="n">
        <v>46267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Kyrkan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45005</v>
      </c>
      <c r="E323" s="1" t="n">
        <v>46267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46267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46267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46267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2026-09-02T02:07:17Z</dcterms:created>
  <dcterms:modified xmlns:dcterms="http://purl.org/dc/terms/" xmlns:xsi="http://www.w3.org/2001/XMLSchema-instance" xsi:type="dcterms:W3CDTF">2026-09-02T02:07:17Z</dcterms:modified>
</cp:coreProperties>
</file>