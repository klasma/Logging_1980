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46237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46237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46237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46237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46237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31</v>
      </c>
      <c r="U6" t="n">
        <v>31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46237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46237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46237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46237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46237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46237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46237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46237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46237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46237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47695-2023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45203</v>
      </c>
      <c r="E17" s="1" t="n">
        <v>46237</v>
      </c>
      <c r="F17" t="inlineStr">
        <is>
          <t>VÄSTMANLANDS LÄN</t>
        </is>
      </c>
      <c r="G17" t="inlineStr">
        <is>
          <t>VÄSTERÅS</t>
        </is>
      </c>
      <c r="I17" t="n">
        <v>6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Gullklöver
Svinrot
Hasselticka
Kopparödla</t>
        </is>
      </c>
      <c r="W17">
        <f>HYPERLINK("https://klasma.github.io/Logging_1980/artfynd/A 47695-2023 artfynd.xlsx", "A 47695-2023")</f>
        <v/>
      </c>
      <c r="X17">
        <f>HYPERLINK("https://klasma.github.io/Logging_1980/kartor/A 47695-2023 karta.png", "A 47695-2023")</f>
        <v/>
      </c>
      <c r="Y17">
        <f>HYPERLINK("https://klasma.github.io/Logging_1980/kartor_geotiff/A 47695-2023 georefererad karta.tif", "A 47695-2023")</f>
        <v/>
      </c>
      <c r="AA17">
        <f>HYPERLINK("https://klasma.github.io/Logging_1980/klagomål/A 47695-2023 FSC-klagomål.docx", "A 47695-2023")</f>
        <v/>
      </c>
      <c r="AB17">
        <f>HYPERLINK("https://klasma.github.io/Logging_1980/klagomålsmail/A 47695-2023 FSC-klagomål mail.docx", "A 47695-2023")</f>
        <v/>
      </c>
      <c r="AC17">
        <f>HYPERLINK("https://klasma.github.io/Logging_1980/tillsyn/A 47695-2023 tillsynsbegäran.docx", "A 47695-2023")</f>
        <v/>
      </c>
      <c r="AD17">
        <f>HYPERLINK("https://klasma.github.io/Logging_1980/tillsynsmail/A 47695-2023 tillsynsbegäran mail.docx", "A 47695-2023")</f>
        <v/>
      </c>
    </row>
    <row r="18" ht="15" customHeight="1">
      <c r="A18" t="inlineStr">
        <is>
          <t>A 22449-2026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46155</v>
      </c>
      <c r="E18" s="1" t="n">
        <v>46237</v>
      </c>
      <c r="F18" t="inlineStr">
        <is>
          <t>VÄSTMANLANDS LÄN</t>
        </is>
      </c>
      <c r="G18" t="inlineStr">
        <is>
          <t>VÄSTERÅS</t>
        </is>
      </c>
      <c r="I18" t="n">
        <v>1.5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Nordfladdermus
Gråskimlig fladdermus
Större brunfladdermus
Vattenfladdermus</t>
        </is>
      </c>
      <c r="W18">
        <f>HYPERLINK("https://klasma.github.io/Logging_1980/artfynd/A 22449-2026 artfynd.xlsx", "A 22449-2026")</f>
        <v/>
      </c>
      <c r="X18">
        <f>HYPERLINK("https://klasma.github.io/Logging_1980/kartor/A 22449-2026 karta.png", "A 22449-2026")</f>
        <v/>
      </c>
      <c r="Y18">
        <f>HYPERLINK("https://klasma.github.io/Logging_1980/kartor_geotiff/A 22449-2026 georefererad karta.tif", "A 22449-2026")</f>
        <v/>
      </c>
      <c r="AA18">
        <f>HYPERLINK("https://klasma.github.io/Logging_1980/klagomål/A 22449-2026 FSC-klagomål.docx", "A 22449-2026")</f>
        <v/>
      </c>
      <c r="AB18">
        <f>HYPERLINK("https://klasma.github.io/Logging_1980/klagomålsmail/A 22449-2026 FSC-klagomål mail.docx", "A 22449-2026")</f>
        <v/>
      </c>
      <c r="AC18">
        <f>HYPERLINK("https://klasma.github.io/Logging_1980/tillsyn/A 22449-2026 tillsynsbegäran.docx", "A 22449-2026")</f>
        <v/>
      </c>
      <c r="AD18">
        <f>HYPERLINK("https://klasma.github.io/Logging_1980/tillsynsmail/A 22449-2026 tillsynsbegäran mail.docx", "A 22449-2026")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46237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47228-2022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44852</v>
      </c>
      <c r="E20" s="1" t="n">
        <v>46237</v>
      </c>
      <c r="F20" t="inlineStr">
        <is>
          <t>VÄSTMANLANDS LÄN</t>
        </is>
      </c>
      <c r="G20" t="inlineStr">
        <is>
          <t>VÄSTERÅS</t>
        </is>
      </c>
      <c r="I20" t="n">
        <v>11.6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Vithornad barkskinnbagge
Xyletinus ater
Mindre märgborre
Fiskgjuse</t>
        </is>
      </c>
      <c r="W20">
        <f>HYPERLINK("https://klasma.github.io/Logging_1980/artfynd/A 47228-2022 artfynd.xlsx", "A 47228-2022")</f>
        <v/>
      </c>
      <c r="X20">
        <f>HYPERLINK("https://klasma.github.io/Logging_1980/kartor/A 47228-2022 karta.png", "A 47228-2022")</f>
        <v/>
      </c>
      <c r="Y20">
        <f>HYPERLINK("https://klasma.github.io/Logging_1980/kartor_geotiff/A 47228-2022 georefererad karta.tif", "A 47228-2022")</f>
        <v/>
      </c>
      <c r="AA20">
        <f>HYPERLINK("https://klasma.github.io/Logging_1980/klagomål/A 47228-2022 FSC-klagomål.docx", "A 47228-2022")</f>
        <v/>
      </c>
      <c r="AB20">
        <f>HYPERLINK("https://klasma.github.io/Logging_1980/klagomålsmail/A 47228-2022 FSC-klagomål mail.docx", "A 47228-2022")</f>
        <v/>
      </c>
      <c r="AC20">
        <f>HYPERLINK("https://klasma.github.io/Logging_1980/tillsyn/A 47228-2022 tillsynsbegäran.docx", "A 47228-2022")</f>
        <v/>
      </c>
      <c r="AD20">
        <f>HYPERLINK("https://klasma.github.io/Logging_1980/tillsynsmail/A 47228-2022 tillsynsbegäran mail.docx", "A 47228-2022")</f>
        <v/>
      </c>
      <c r="AE20">
        <f>HYPERLINK("https://klasma.github.io/Logging_1980/fåglar/A 47228-2022 prioriterade fågelarter.docx", "A 47228-2022")</f>
        <v/>
      </c>
    </row>
    <row r="21" ht="15" customHeight="1">
      <c r="A21" t="inlineStr">
        <is>
          <t>A 25672-2024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45463</v>
      </c>
      <c r="E21" s="1" t="n">
        <v>46237</v>
      </c>
      <c r="F21" t="inlineStr">
        <is>
          <t>VÄSTMANLANDS LÄN</t>
        </is>
      </c>
      <c r="G21" t="inlineStr">
        <is>
          <t>VÄSTERÅS</t>
        </is>
      </c>
      <c r="I21" t="n">
        <v>11.3</v>
      </c>
      <c r="J21" t="n">
        <v>1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4</v>
      </c>
      <c r="T21" t="n">
        <v>9</v>
      </c>
      <c r="U21" t="n">
        <v>0</v>
      </c>
      <c r="V21" s="2" t="inlineStr">
        <is>
          <t>Backsippa
Flentimotej
Jungfrulin
Solvända</t>
        </is>
      </c>
      <c r="W21">
        <f>HYPERLINK("https://klasma.github.io/Logging_1980/artfynd/A 25672-2024 artfynd.xlsx", "A 25672-2024")</f>
        <v/>
      </c>
      <c r="X21">
        <f>HYPERLINK("https://klasma.github.io/Logging_1980/kartor/A 25672-2024 karta.png", "A 25672-2024")</f>
        <v/>
      </c>
      <c r="Y21">
        <f>HYPERLINK("https://klasma.github.io/Logging_1980/kartor_geotiff/A 25672-2024 georefererad karta.tif", "A 25672-2024")</f>
        <v/>
      </c>
      <c r="AA21">
        <f>HYPERLINK("https://klasma.github.io/Logging_1980/klagomål/A 25672-2024 FSC-klagomål.docx", "A 25672-2024")</f>
        <v/>
      </c>
      <c r="AB21">
        <f>HYPERLINK("https://klasma.github.io/Logging_1980/klagomålsmail/A 25672-2024 FSC-klagomål mail.docx", "A 25672-2024")</f>
        <v/>
      </c>
      <c r="AC21">
        <f>HYPERLINK("https://klasma.github.io/Logging_1980/tillsyn/A 25672-2024 tillsynsbegäran.docx", "A 25672-2024")</f>
        <v/>
      </c>
      <c r="AD21">
        <f>HYPERLINK("https://klasma.github.io/Logging_1980/tillsynsmail/A 25672-2024 tillsynsbegäran mail.docx", "A 25672-2024")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46237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16686-2026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46237</v>
      </c>
      <c r="F23" t="inlineStr">
        <is>
          <t>VÄSTMANLANDS LÄN</t>
        </is>
      </c>
      <c r="G23" t="inlineStr">
        <is>
          <t>VÄSTERÅS</t>
        </is>
      </c>
      <c r="I23" t="n">
        <v>2.1</v>
      </c>
      <c r="J23" t="n">
        <v>1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11</v>
      </c>
      <c r="U23" t="n">
        <v>0</v>
      </c>
      <c r="V23" s="2" t="inlineStr">
        <is>
          <t>Knärot
Motaggsvamp
Blomkålssvamp
Grönpyrola</t>
        </is>
      </c>
      <c r="W23">
        <f>HYPERLINK("https://klasma.github.io/Logging_1980/artfynd/A 16686-2026 artfynd.xlsx", "A 16686-2026")</f>
        <v/>
      </c>
      <c r="X23">
        <f>HYPERLINK("https://klasma.github.io/Logging_1980/kartor/A 16686-2026 karta.png", "A 16686-2026")</f>
        <v/>
      </c>
      <c r="Y23">
        <f>HYPERLINK("https://klasma.github.io/Logging_1980/kartor_geotiff/A 16686-2026 georefererad karta.tif", "A 16686-2026")</f>
        <v/>
      </c>
      <c r="Z23">
        <f>HYPERLINK("https://klasma.github.io/Logging_1980/knärot/A 16686-2026 karta knärot.png", "A 16686-2026")</f>
        <v/>
      </c>
      <c r="AA23">
        <f>HYPERLINK("https://klasma.github.io/Logging_1980/klagomål/A 16686-2026 FSC-klagomål.docx", "A 16686-2026")</f>
        <v/>
      </c>
      <c r="AB23">
        <f>HYPERLINK("https://klasma.github.io/Logging_1980/klagomålsmail/A 16686-2026 FSC-klagomål mail.docx", "A 16686-2026")</f>
        <v/>
      </c>
      <c r="AC23">
        <f>HYPERLINK("https://klasma.github.io/Logging_1980/tillsyn/A 16686-2026 tillsynsbegäran.docx", "A 16686-2026")</f>
        <v/>
      </c>
      <c r="AD23">
        <f>HYPERLINK("https://klasma.github.io/Logging_1980/tillsynsmail/A 16686-2026 tillsynsbegäran mail.docx", "A 16686-2026")</f>
        <v/>
      </c>
    </row>
    <row r="24" ht="15" customHeight="1">
      <c r="A24" t="inlineStr">
        <is>
          <t>A 41262-2023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45174</v>
      </c>
      <c r="E24" s="1" t="n">
        <v>46237</v>
      </c>
      <c r="F24" t="inlineStr">
        <is>
          <t>VÄSTMANLANDS LÄN</t>
        </is>
      </c>
      <c r="G24" t="inlineStr">
        <is>
          <t>VÄSTERÅS</t>
        </is>
      </c>
      <c r="H24" t="inlineStr">
        <is>
          <t>Kommuner</t>
        </is>
      </c>
      <c r="I24" t="n">
        <v>11.4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8</v>
      </c>
      <c r="U24" t="n">
        <v>2</v>
      </c>
      <c r="V24" s="2" t="inlineStr">
        <is>
          <t>Grönsångare
Gulsparv
Kungsfågel
Vanlig groda</t>
        </is>
      </c>
      <c r="W24">
        <f>HYPERLINK("https://klasma.github.io/Logging_1980/artfynd/A 41262-2023 artfynd.xlsx", "A 41262-2023")</f>
        <v/>
      </c>
      <c r="X24">
        <f>HYPERLINK("https://klasma.github.io/Logging_1980/kartor/A 41262-2023 karta.png", "A 41262-2023")</f>
        <v/>
      </c>
      <c r="Y24">
        <f>HYPERLINK("https://klasma.github.io/Logging_1980/kartor_geotiff/A 41262-2023 georefererad karta.tif", "A 41262-2023")</f>
        <v/>
      </c>
      <c r="AA24">
        <f>HYPERLINK("https://klasma.github.io/Logging_1980/klagomål/A 41262-2023 FSC-klagomål.docx", "A 41262-2023")</f>
        <v/>
      </c>
      <c r="AB24">
        <f>HYPERLINK("https://klasma.github.io/Logging_1980/klagomålsmail/A 41262-2023 FSC-klagomål mail.docx", "A 41262-2023")</f>
        <v/>
      </c>
      <c r="AC24">
        <f>HYPERLINK("https://klasma.github.io/Logging_1980/tillsyn/A 41262-2023 tillsynsbegäran.docx", "A 41262-2023")</f>
        <v/>
      </c>
      <c r="AD24">
        <f>HYPERLINK("https://klasma.github.io/Logging_1980/tillsynsmail/A 41262-2023 tillsynsbegäran mail.docx", "A 41262-2023")</f>
        <v/>
      </c>
      <c r="AE24">
        <f>HYPERLINK("https://klasma.github.io/Logging_1980/fåglar/A 41262-2023 prioriterade fågelarter.docx", "A 41262-2023")</f>
        <v/>
      </c>
    </row>
    <row r="25" ht="15" customHeight="1">
      <c r="A25" t="inlineStr">
        <is>
          <t>A 64201-2023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45279</v>
      </c>
      <c r="E25" s="1" t="n">
        <v>46237</v>
      </c>
      <c r="F25" t="inlineStr">
        <is>
          <t>VÄSTMANLANDS LÄN</t>
        </is>
      </c>
      <c r="G25" t="inlineStr">
        <is>
          <t>VÄSTERÅS</t>
        </is>
      </c>
      <c r="I25" t="n">
        <v>13</v>
      </c>
      <c r="J25" t="n">
        <v>0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Källpraktmossa
Stubbspretmossa
Vanlig rörsvepemossa</t>
        </is>
      </c>
      <c r="W25">
        <f>HYPERLINK("https://klasma.github.io/Logging_1980/artfynd/A 64201-2023 artfynd.xlsx", "A 64201-2023")</f>
        <v/>
      </c>
      <c r="X25">
        <f>HYPERLINK("https://klasma.github.io/Logging_1980/kartor/A 64201-2023 karta.png", "A 64201-2023")</f>
        <v/>
      </c>
      <c r="Y25">
        <f>HYPERLINK("https://klasma.github.io/Logging_1980/kartor_geotiff/A 64201-2023 georefererad karta.tif", "A 64201-2023")</f>
        <v/>
      </c>
      <c r="AA25">
        <f>HYPERLINK("https://klasma.github.io/Logging_1980/klagomål/A 64201-2023 FSC-klagomål.docx", "A 64201-2023")</f>
        <v/>
      </c>
      <c r="AB25">
        <f>HYPERLINK("https://klasma.github.io/Logging_1980/klagomålsmail/A 64201-2023 FSC-klagomål mail.docx", "A 64201-2023")</f>
        <v/>
      </c>
      <c r="AC25">
        <f>HYPERLINK("https://klasma.github.io/Logging_1980/tillsyn/A 64201-2023 tillsynsbegäran.docx", "A 64201-2023")</f>
        <v/>
      </c>
      <c r="AD25">
        <f>HYPERLINK("https://klasma.github.io/Logging_1980/tillsynsmail/A 64201-2023 tillsynsbegäran mail.docx", "A 64201-2023")</f>
        <v/>
      </c>
    </row>
    <row r="26" ht="15" customHeight="1">
      <c r="A26" t="inlineStr">
        <is>
          <t>A 14265-2025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46237</v>
      </c>
      <c r="F26" t="inlineStr">
        <is>
          <t>VÄSTMANLANDS LÄN</t>
        </is>
      </c>
      <c r="G26" t="inlineStr">
        <is>
          <t>VÄSTERÅS</t>
        </is>
      </c>
      <c r="I26" t="n">
        <v>2.1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0</v>
      </c>
      <c r="V26" s="2" t="inlineStr">
        <is>
          <t>Knärot
Tallticka
Blåsippa</t>
        </is>
      </c>
      <c r="W26">
        <f>HYPERLINK("https://klasma.github.io/Logging_1980/artfynd/A 14265-2025 artfynd.xlsx", "A 14265-2025")</f>
        <v/>
      </c>
      <c r="X26">
        <f>HYPERLINK("https://klasma.github.io/Logging_1980/kartor/A 14265-2025 karta.png", "A 14265-2025")</f>
        <v/>
      </c>
      <c r="Y26">
        <f>HYPERLINK("https://klasma.github.io/Logging_1980/kartor_geotiff/A 14265-2025 georefererad karta.tif", "A 14265-2025")</f>
        <v/>
      </c>
      <c r="Z26">
        <f>HYPERLINK("https://klasma.github.io/Logging_1980/knärot/A 14265-2025 karta knärot.png", "A 14265-2025")</f>
        <v/>
      </c>
      <c r="AA26">
        <f>HYPERLINK("https://klasma.github.io/Logging_1980/klagomål/A 14265-2025 FSC-klagomål.docx", "A 14265-2025")</f>
        <v/>
      </c>
      <c r="AB26">
        <f>HYPERLINK("https://klasma.github.io/Logging_1980/klagomålsmail/A 14265-2025 FSC-klagomål mail.docx", "A 14265-2025")</f>
        <v/>
      </c>
      <c r="AC26">
        <f>HYPERLINK("https://klasma.github.io/Logging_1980/tillsyn/A 14265-2025 tillsynsbegäran.docx", "A 14265-2025")</f>
        <v/>
      </c>
      <c r="AD26">
        <f>HYPERLINK("https://klasma.github.io/Logging_1980/tillsynsmail/A 14265-2025 tillsynsbegäran mail.docx", "A 14265-2025")</f>
        <v/>
      </c>
    </row>
    <row r="27" ht="15" customHeight="1">
      <c r="A27" t="inlineStr">
        <is>
          <t>A 6249-2024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45337</v>
      </c>
      <c r="E27" s="1" t="n">
        <v>46237</v>
      </c>
      <c r="F27" t="inlineStr">
        <is>
          <t>VÄSTMANLANDS LÄN</t>
        </is>
      </c>
      <c r="G27" t="inlineStr">
        <is>
          <t>VÄSTERÅS</t>
        </is>
      </c>
      <c r="I27" t="n">
        <v>6.5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Grönfink
Blåsippa
Kungsfågel</t>
        </is>
      </c>
      <c r="W27">
        <f>HYPERLINK("https://klasma.github.io/Logging_1980/artfynd/A 6249-2024 artfynd.xlsx", "A 6249-2024")</f>
        <v/>
      </c>
      <c r="X27">
        <f>HYPERLINK("https://klasma.github.io/Logging_1980/kartor/A 6249-2024 karta.png", "A 6249-2024")</f>
        <v/>
      </c>
      <c r="Y27">
        <f>HYPERLINK("https://klasma.github.io/Logging_1980/kartor_geotiff/A 6249-2024 georefererad karta.tif", "A 6249-2024")</f>
        <v/>
      </c>
      <c r="AA27">
        <f>HYPERLINK("https://klasma.github.io/Logging_1980/klagomål/A 6249-2024 FSC-klagomål.docx", "A 6249-2024")</f>
        <v/>
      </c>
      <c r="AB27">
        <f>HYPERLINK("https://klasma.github.io/Logging_1980/klagomålsmail/A 6249-2024 FSC-klagomål mail.docx", "A 6249-2024")</f>
        <v/>
      </c>
      <c r="AC27">
        <f>HYPERLINK("https://klasma.github.io/Logging_1980/tillsyn/A 6249-2024 tillsynsbegäran.docx", "A 6249-2024")</f>
        <v/>
      </c>
      <c r="AD27">
        <f>HYPERLINK("https://klasma.github.io/Logging_1980/tillsynsmail/A 6249-2024 tillsynsbegäran mail.docx", "A 6249-2024")</f>
        <v/>
      </c>
      <c r="AE27">
        <f>HYPERLINK("https://klasma.github.io/Logging_1980/fåglar/A 6249-2024 prioriterade fågelarter.docx", "A 6249-2024")</f>
        <v/>
      </c>
    </row>
    <row r="28" ht="15" customHeight="1">
      <c r="A28" t="inlineStr">
        <is>
          <t>A 11804-2022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44634</v>
      </c>
      <c r="E28" s="1" t="n">
        <v>46237</v>
      </c>
      <c r="F28" t="inlineStr">
        <is>
          <t>VÄSTMANLANDS LÄN</t>
        </is>
      </c>
      <c r="G28" t="inlineStr">
        <is>
          <t>VÄSTERÅS</t>
        </is>
      </c>
      <c r="I28" t="n">
        <v>10.6</v>
      </c>
      <c r="J28" t="n">
        <v>1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Svart trolldruva
Nattviol</t>
        </is>
      </c>
      <c r="W28">
        <f>HYPERLINK("https://klasma.github.io/Logging_1980/artfynd/A 11804-2022 artfynd.xlsx", "A 11804-2022")</f>
        <v/>
      </c>
      <c r="X28">
        <f>HYPERLINK("https://klasma.github.io/Logging_1980/kartor/A 11804-2022 karta.png", "A 11804-2022")</f>
        <v/>
      </c>
      <c r="Y28">
        <f>HYPERLINK("https://klasma.github.io/Logging_1980/kartor_geotiff/A 11804-2022 georefererad karta.tif", "A 11804-2022")</f>
        <v/>
      </c>
      <c r="AA28">
        <f>HYPERLINK("https://klasma.github.io/Logging_1980/klagomål/A 11804-2022 FSC-klagomål.docx", "A 11804-2022")</f>
        <v/>
      </c>
      <c r="AB28">
        <f>HYPERLINK("https://klasma.github.io/Logging_1980/klagomålsmail/A 11804-2022 FSC-klagomål mail.docx", "A 11804-2022")</f>
        <v/>
      </c>
      <c r="AC28">
        <f>HYPERLINK("https://klasma.github.io/Logging_1980/tillsyn/A 11804-2022 tillsynsbegäran.docx", "A 11804-2022")</f>
        <v/>
      </c>
      <c r="AD28">
        <f>HYPERLINK("https://klasma.github.io/Logging_1980/tillsynsmail/A 11804-2022 tillsynsbegäran mail.docx", "A 11804-2022")</f>
        <v/>
      </c>
    </row>
    <row r="29" ht="15" customHeight="1">
      <c r="A29" t="inlineStr">
        <is>
          <t>A 64735-2023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46237</v>
      </c>
      <c r="F29" t="inlineStr">
        <is>
          <t>VÄSTMANLANDS LÄN</t>
        </is>
      </c>
      <c r="G29" t="inlineStr">
        <is>
          <t>VÄSTERÅS</t>
        </is>
      </c>
      <c r="H29" t="inlineStr">
        <is>
          <t>Övriga Aktiebolag</t>
        </is>
      </c>
      <c r="I29" t="n">
        <v>12.5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6</v>
      </c>
      <c r="U29" t="n">
        <v>1</v>
      </c>
      <c r="V29" s="2" t="inlineStr">
        <is>
          <t>Backsippa
Vårstarr
Gullviva</t>
        </is>
      </c>
      <c r="W29">
        <f>HYPERLINK("https://klasma.github.io/Logging_1980/artfynd/A 64735-2023 artfynd.xlsx", "A 64735-2023")</f>
        <v/>
      </c>
      <c r="X29">
        <f>HYPERLINK("https://klasma.github.io/Logging_1980/kartor/A 64735-2023 karta.png", "A 64735-2023")</f>
        <v/>
      </c>
      <c r="Y29">
        <f>HYPERLINK("https://klasma.github.io/Logging_1980/kartor_geotiff/A 64735-2023 georefererad karta.tif", "A 64735-2023")</f>
        <v/>
      </c>
      <c r="AA29">
        <f>HYPERLINK("https://klasma.github.io/Logging_1980/klagomål/A 64735-2023 FSC-klagomål.docx", "A 64735-2023")</f>
        <v/>
      </c>
      <c r="AB29">
        <f>HYPERLINK("https://klasma.github.io/Logging_1980/klagomålsmail/A 64735-2023 FSC-klagomål mail.docx", "A 64735-2023")</f>
        <v/>
      </c>
      <c r="AC29">
        <f>HYPERLINK("https://klasma.github.io/Logging_1980/tillsyn/A 64735-2023 tillsynsbegäran.docx", "A 64735-2023")</f>
        <v/>
      </c>
      <c r="AD29">
        <f>HYPERLINK("https://klasma.github.io/Logging_1980/tillsynsmail/A 64735-2023 tillsynsbegäran mail.docx", "A 64735-2023")</f>
        <v/>
      </c>
    </row>
    <row r="30" ht="15" customHeight="1">
      <c r="A30" t="inlineStr">
        <is>
          <t>A 16684-2026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46237</v>
      </c>
      <c r="F30" t="inlineStr">
        <is>
          <t>VÄSTMANLANDS LÄN</t>
        </is>
      </c>
      <c r="G30" t="inlineStr">
        <is>
          <t>VÄSTERÅS</t>
        </is>
      </c>
      <c r="I30" t="n">
        <v>7.9</v>
      </c>
      <c r="J30" t="n">
        <v>1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3</v>
      </c>
      <c r="T30" t="n">
        <v>7</v>
      </c>
      <c r="U30" t="n">
        <v>0</v>
      </c>
      <c r="V30" s="2" t="inlineStr">
        <is>
          <t>Knärot
Motaggsvamp
Ullticka</t>
        </is>
      </c>
      <c r="W30">
        <f>HYPERLINK("https://klasma.github.io/Logging_1980/artfynd/A 16684-2026 artfynd.xlsx", "A 16684-2026")</f>
        <v/>
      </c>
      <c r="X30">
        <f>HYPERLINK("https://klasma.github.io/Logging_1980/kartor/A 16684-2026 karta.png", "A 16684-2026")</f>
        <v/>
      </c>
      <c r="Y30">
        <f>HYPERLINK("https://klasma.github.io/Logging_1980/kartor_geotiff/A 16684-2026 georefererad karta.tif", "A 16684-2026")</f>
        <v/>
      </c>
      <c r="Z30">
        <f>HYPERLINK("https://klasma.github.io/Logging_1980/knärot/A 16684-2026 karta knärot.png", "A 16684-2026")</f>
        <v/>
      </c>
      <c r="AA30">
        <f>HYPERLINK("https://klasma.github.io/Logging_1980/klagomål/A 16684-2026 FSC-klagomål.docx", "A 16684-2026")</f>
        <v/>
      </c>
      <c r="AB30">
        <f>HYPERLINK("https://klasma.github.io/Logging_1980/klagomålsmail/A 16684-2026 FSC-klagomål mail.docx", "A 16684-2026")</f>
        <v/>
      </c>
      <c r="AC30">
        <f>HYPERLINK("https://klasma.github.io/Logging_1980/tillsyn/A 16684-2026 tillsynsbegäran.docx", "A 16684-2026")</f>
        <v/>
      </c>
      <c r="AD30">
        <f>HYPERLINK("https://klasma.github.io/Logging_1980/tillsynsmail/A 16684-2026 tillsynsbegäran mail.docx", "A 16684-2026")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46237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46237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30759-2022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46237</v>
      </c>
      <c r="F33" t="inlineStr">
        <is>
          <t>VÄSTMANLANDS LÄN</t>
        </is>
      </c>
      <c r="G33" t="inlineStr">
        <is>
          <t>VÄSTERÅS</t>
        </is>
      </c>
      <c r="H33" t="inlineStr">
        <is>
          <t>Kommuner</t>
        </is>
      </c>
      <c r="I33" t="n">
        <v>0.8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5</v>
      </c>
      <c r="U33" t="n">
        <v>4</v>
      </c>
      <c r="V33" s="2" t="inlineStr">
        <is>
          <t>Gullklöver
Blåsippa</t>
        </is>
      </c>
      <c r="W33">
        <f>HYPERLINK("https://klasma.github.io/Logging_1980/artfynd/A 30759-2022 artfynd.xlsx", "A 30759-2022")</f>
        <v/>
      </c>
      <c r="X33">
        <f>HYPERLINK("https://klasma.github.io/Logging_1980/kartor/A 30759-2022 karta.png", "A 30759-2022")</f>
        <v/>
      </c>
      <c r="Y33">
        <f>HYPERLINK("https://klasma.github.io/Logging_1980/kartor_geotiff/A 30759-2022 georefererad karta.tif", "A 30759-2022")</f>
        <v/>
      </c>
      <c r="AA33">
        <f>HYPERLINK("https://klasma.github.io/Logging_1980/klagomål/A 30759-2022 FSC-klagomål.docx", "A 30759-2022")</f>
        <v/>
      </c>
      <c r="AB33">
        <f>HYPERLINK("https://klasma.github.io/Logging_1980/klagomålsmail/A 30759-2022 FSC-klagomål mail.docx", "A 30759-2022")</f>
        <v/>
      </c>
      <c r="AC33">
        <f>HYPERLINK("https://klasma.github.io/Logging_1980/tillsyn/A 30759-2022 tillsynsbegäran.docx", "A 30759-2022")</f>
        <v/>
      </c>
      <c r="AD33">
        <f>HYPERLINK("https://klasma.github.io/Logging_1980/tillsynsmail/A 30759-2022 tillsynsbegäran mail.docx", "A 30759-2022")</f>
        <v/>
      </c>
    </row>
    <row r="34" ht="15" customHeight="1">
      <c r="A34" t="inlineStr">
        <is>
          <t>A 9327-2026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46237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 trolldruva
Tibast</t>
        </is>
      </c>
      <c r="W34">
        <f>HYPERLINK("https://klasma.github.io/Logging_1980/artfynd/A 9327-2026 artfynd.xlsx", "A 9327-2026")</f>
        <v/>
      </c>
      <c r="X34">
        <f>HYPERLINK("https://klasma.github.io/Logging_1980/kartor/A 9327-2026 karta.png", "A 9327-2026")</f>
        <v/>
      </c>
      <c r="Y34">
        <f>HYPERLINK("https://klasma.github.io/Logging_1980/kartor_geotiff/A 9327-2026 georefererad karta.tif", "A 9327-2026")</f>
        <v/>
      </c>
      <c r="AA34">
        <f>HYPERLINK("https://klasma.github.io/Logging_1980/klagomål/A 9327-2026 FSC-klagomål.docx", "A 9327-2026")</f>
        <v/>
      </c>
      <c r="AB34">
        <f>HYPERLINK("https://klasma.github.io/Logging_1980/klagomålsmail/A 9327-2026 FSC-klagomål mail.docx", "A 9327-2026")</f>
        <v/>
      </c>
      <c r="AC34">
        <f>HYPERLINK("https://klasma.github.io/Logging_1980/tillsyn/A 9327-2026 tillsynsbegäran.docx", "A 9327-2026")</f>
        <v/>
      </c>
      <c r="AD34">
        <f>HYPERLINK("https://klasma.github.io/Logging_1980/tillsynsmail/A 9327-2026 tillsynsbegäran mail.docx", "A 9327-2026")</f>
        <v/>
      </c>
    </row>
    <row r="35" ht="15" customHeight="1">
      <c r="A35" t="inlineStr">
        <is>
          <t>A 22452-2026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46155</v>
      </c>
      <c r="E35" s="1" t="n">
        <v>46237</v>
      </c>
      <c r="F35" t="inlineStr">
        <is>
          <t>VÄSTMANLANDS LÄN</t>
        </is>
      </c>
      <c r="G35" t="inlineStr">
        <is>
          <t>VÄSTERÅS</t>
        </is>
      </c>
      <c r="I35" t="n">
        <v>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Blåmossa
Kopparödla</t>
        </is>
      </c>
      <c r="W35">
        <f>HYPERLINK("https://klasma.github.io/Logging_1980/artfynd/A 22452-2026 artfynd.xlsx", "A 22452-2026")</f>
        <v/>
      </c>
      <c r="X35">
        <f>HYPERLINK("https://klasma.github.io/Logging_1980/kartor/A 22452-2026 karta.png", "A 22452-2026")</f>
        <v/>
      </c>
      <c r="Y35">
        <f>HYPERLINK("https://klasma.github.io/Logging_1980/kartor_geotiff/A 22452-2026 georefererad karta.tif", "A 22452-2026")</f>
        <v/>
      </c>
      <c r="AA35">
        <f>HYPERLINK("https://klasma.github.io/Logging_1980/klagomål/A 22452-2026 FSC-klagomål.docx", "A 22452-2026")</f>
        <v/>
      </c>
      <c r="AB35">
        <f>HYPERLINK("https://klasma.github.io/Logging_1980/klagomålsmail/A 22452-2026 FSC-klagomål mail.docx", "A 22452-2026")</f>
        <v/>
      </c>
      <c r="AC35">
        <f>HYPERLINK("https://klasma.github.io/Logging_1980/tillsyn/A 22452-2026 tillsynsbegäran.docx", "A 22452-2026")</f>
        <v/>
      </c>
      <c r="AD35">
        <f>HYPERLINK("https://klasma.github.io/Logging_1980/tillsynsmail/A 22452-2026 tillsynsbegäran mail.docx", "A 22452-2026")</f>
        <v/>
      </c>
    </row>
    <row r="36" ht="15" customHeight="1">
      <c r="A36" t="inlineStr">
        <is>
          <t>A 59143-2025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46237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12.4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Grönpyrola
Fiskgjuse</t>
        </is>
      </c>
      <c r="W36">
        <f>HYPERLINK("https://klasma.github.io/Logging_1980/artfynd/A 59143-2025 artfynd.xlsx", "A 59143-2025")</f>
        <v/>
      </c>
      <c r="X36">
        <f>HYPERLINK("https://klasma.github.io/Logging_1980/kartor/A 59143-2025 karta.png", "A 59143-2025")</f>
        <v/>
      </c>
      <c r="Y36">
        <f>HYPERLINK("https://klasma.github.io/Logging_1980/kartor_geotiff/A 59143-2025 georefererad karta.tif", "A 59143-2025")</f>
        <v/>
      </c>
      <c r="AA36">
        <f>HYPERLINK("https://klasma.github.io/Logging_1980/klagomål/A 59143-2025 FSC-klagomål.docx", "A 59143-2025")</f>
        <v/>
      </c>
      <c r="AB36">
        <f>HYPERLINK("https://klasma.github.io/Logging_1980/klagomålsmail/A 59143-2025 FSC-klagomål mail.docx", "A 59143-2025")</f>
        <v/>
      </c>
      <c r="AC36">
        <f>HYPERLINK("https://klasma.github.io/Logging_1980/tillsyn/A 59143-2025 tillsynsbegäran.docx", "A 59143-2025")</f>
        <v/>
      </c>
      <c r="AD36">
        <f>HYPERLINK("https://klasma.github.io/Logging_1980/tillsynsmail/A 59143-2025 tillsynsbegäran mail.docx", "A 59143-2025")</f>
        <v/>
      </c>
      <c r="AE36">
        <f>HYPERLINK("https://klasma.github.io/Logging_1980/fåglar/A 59143-2025 prioriterade fågelarter.docx", "A 59143-2025")</f>
        <v/>
      </c>
    </row>
    <row r="37" ht="15" customHeight="1">
      <c r="A37" t="inlineStr">
        <is>
          <t>A 59566-2021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46237</v>
      </c>
      <c r="F37" t="inlineStr">
        <is>
          <t>VÄSTMANLANDS LÄN</t>
        </is>
      </c>
      <c r="G37" t="inlineStr">
        <is>
          <t>VÄSTERÅS</t>
        </is>
      </c>
      <c r="I37" t="n">
        <v>2.1</v>
      </c>
      <c r="J37" t="n">
        <v>1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Bombmurkla
Vanlig flatbagge</t>
        </is>
      </c>
      <c r="W37">
        <f>HYPERLINK("https://klasma.github.io/Logging_1980/artfynd/A 59566-2021 artfynd.xlsx", "A 59566-2021")</f>
        <v/>
      </c>
      <c r="X37">
        <f>HYPERLINK("https://klasma.github.io/Logging_1980/kartor/A 59566-2021 karta.png", "A 59566-2021")</f>
        <v/>
      </c>
      <c r="Y37">
        <f>HYPERLINK("https://klasma.github.io/Logging_1980/kartor_geotiff/A 59566-2021 georefererad karta.tif", "A 59566-2021")</f>
        <v/>
      </c>
      <c r="AA37">
        <f>HYPERLINK("https://klasma.github.io/Logging_1980/klagomål/A 59566-2021 FSC-klagomål.docx", "A 59566-2021")</f>
        <v/>
      </c>
      <c r="AB37">
        <f>HYPERLINK("https://klasma.github.io/Logging_1980/klagomålsmail/A 59566-2021 FSC-klagomål mail.docx", "A 59566-2021")</f>
        <v/>
      </c>
      <c r="AC37">
        <f>HYPERLINK("https://klasma.github.io/Logging_1980/tillsyn/A 59566-2021 tillsynsbegäran.docx", "A 59566-2021")</f>
        <v/>
      </c>
      <c r="AD37">
        <f>HYPERLINK("https://klasma.github.io/Logging_1980/tillsynsmail/A 59566-2021 tillsynsbegäran mail.docx", "A 59566-2021")</f>
        <v/>
      </c>
    </row>
    <row r="38" ht="15" customHeight="1">
      <c r="A38" t="inlineStr">
        <is>
          <t>A 54536-2024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45617</v>
      </c>
      <c r="E38" s="1" t="n">
        <v>46237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4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4</v>
      </c>
      <c r="U38" t="n">
        <v>2</v>
      </c>
      <c r="V38" s="2" t="inlineStr">
        <is>
          <t>Jungfrulin
Svinrot</t>
        </is>
      </c>
      <c r="W38">
        <f>HYPERLINK("https://klasma.github.io/Logging_1980/artfynd/A 54536-2024 artfynd.xlsx", "A 54536-2024")</f>
        <v/>
      </c>
      <c r="X38">
        <f>HYPERLINK("https://klasma.github.io/Logging_1980/kartor/A 54536-2024 karta.png", "A 54536-2024")</f>
        <v/>
      </c>
      <c r="Y38">
        <f>HYPERLINK("https://klasma.github.io/Logging_1980/kartor_geotiff/A 54536-2024 georefererad karta.tif", "A 54536-2024")</f>
        <v/>
      </c>
      <c r="AA38">
        <f>HYPERLINK("https://klasma.github.io/Logging_1980/klagomål/A 54536-2024 FSC-klagomål.docx", "A 54536-2024")</f>
        <v/>
      </c>
      <c r="AB38">
        <f>HYPERLINK("https://klasma.github.io/Logging_1980/klagomålsmail/A 54536-2024 FSC-klagomål mail.docx", "A 54536-2024")</f>
        <v/>
      </c>
      <c r="AC38">
        <f>HYPERLINK("https://klasma.github.io/Logging_1980/tillsyn/A 54536-2024 tillsynsbegäran.docx", "A 54536-2024")</f>
        <v/>
      </c>
      <c r="AD38">
        <f>HYPERLINK("https://klasma.github.io/Logging_1980/tillsynsmail/A 54536-2024 tillsynsbegäran mail.docx", "A 54536-2024")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46237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30761-2022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44764</v>
      </c>
      <c r="E40" s="1" t="n">
        <v>46237</v>
      </c>
      <c r="F40" t="inlineStr">
        <is>
          <t>VÄSTMANLANDS LÄN</t>
        </is>
      </c>
      <c r="G40" t="inlineStr">
        <is>
          <t>VÄSTERÅS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Nötkråka</t>
        </is>
      </c>
      <c r="W40">
        <f>HYPERLINK("https://klasma.github.io/Logging_1980/artfynd/A 30761-2022 artfynd.xlsx", "A 30761-2022")</f>
        <v/>
      </c>
      <c r="X40">
        <f>HYPERLINK("https://klasma.github.io/Logging_1980/kartor/A 30761-2022 karta.png", "A 30761-2022")</f>
        <v/>
      </c>
      <c r="Y40">
        <f>HYPERLINK("https://klasma.github.io/Logging_1980/kartor_geotiff/A 30761-2022 georefererad karta.tif", "A 30761-2022")</f>
        <v/>
      </c>
      <c r="AA40">
        <f>HYPERLINK("https://klasma.github.io/Logging_1980/klagomål/A 30761-2022 FSC-klagomål.docx", "A 30761-2022")</f>
        <v/>
      </c>
      <c r="AB40">
        <f>HYPERLINK("https://klasma.github.io/Logging_1980/klagomålsmail/A 30761-2022 FSC-klagomål mail.docx", "A 30761-2022")</f>
        <v/>
      </c>
      <c r="AC40">
        <f>HYPERLINK("https://klasma.github.io/Logging_1980/tillsyn/A 30761-2022 tillsynsbegäran.docx", "A 30761-2022")</f>
        <v/>
      </c>
      <c r="AD40">
        <f>HYPERLINK("https://klasma.github.io/Logging_1980/tillsynsmail/A 30761-2022 tillsynsbegäran mail.docx", "A 30761-2022")</f>
        <v/>
      </c>
      <c r="AE40">
        <f>HYPERLINK("https://klasma.github.io/Logging_1980/fåglar/A 30761-2022 prioriterade fågelarter.docx", "A 30761-2022")</f>
        <v/>
      </c>
    </row>
    <row r="41" ht="15" customHeight="1">
      <c r="A41" t="inlineStr">
        <is>
          <t>A 7534-2022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44607</v>
      </c>
      <c r="E41" s="1" t="n">
        <v>46237</v>
      </c>
      <c r="F41" t="inlineStr">
        <is>
          <t>VÄSTMANLANDS LÄN</t>
        </is>
      </c>
      <c r="G41" t="inlineStr">
        <is>
          <t>VÄSTERÅS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Kråka</t>
        </is>
      </c>
      <c r="W41">
        <f>HYPERLINK("https://klasma.github.io/Logging_1980/artfynd/A 7534-2022 artfynd.xlsx", "A 7534-2022")</f>
        <v/>
      </c>
      <c r="X41">
        <f>HYPERLINK("https://klasma.github.io/Logging_1980/kartor/A 7534-2022 karta.png", "A 7534-2022")</f>
        <v/>
      </c>
      <c r="Y41">
        <f>HYPERLINK("https://klasma.github.io/Logging_1980/kartor_geotiff/A 7534-2022 georefererad karta.tif", "A 7534-2022")</f>
        <v/>
      </c>
      <c r="AA41">
        <f>HYPERLINK("https://klasma.github.io/Logging_1980/klagomål/A 7534-2022 FSC-klagomål.docx", "A 7534-2022")</f>
        <v/>
      </c>
      <c r="AB41">
        <f>HYPERLINK("https://klasma.github.io/Logging_1980/klagomålsmail/A 7534-2022 FSC-klagomål mail.docx", "A 7534-2022")</f>
        <v/>
      </c>
      <c r="AC41">
        <f>HYPERLINK("https://klasma.github.io/Logging_1980/tillsyn/A 7534-2022 tillsynsbegäran.docx", "A 7534-2022")</f>
        <v/>
      </c>
      <c r="AD41">
        <f>HYPERLINK("https://klasma.github.io/Logging_1980/tillsynsmail/A 7534-2022 tillsynsbegäran mail.docx", "A 7534-2022")</f>
        <v/>
      </c>
    </row>
    <row r="42" ht="15" customHeight="1">
      <c r="A42" t="inlineStr">
        <is>
          <t>A 12905-2022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44641</v>
      </c>
      <c r="E42" s="1" t="n">
        <v>46237</v>
      </c>
      <c r="F42" t="inlineStr">
        <is>
          <t>VÄSTMANLANDS LÄN</t>
        </is>
      </c>
      <c r="G42" t="inlineStr">
        <is>
          <t>VÄSTERÅS</t>
        </is>
      </c>
      <c r="H42" t="inlineStr">
        <is>
          <t>Övriga Aktiebolag</t>
        </is>
      </c>
      <c r="I42" t="n">
        <v>23.9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HYPERLINK("https://klasma.github.io/Logging_1980/artfynd/A 12905-2022 artfynd.xlsx", "A 12905-2022")</f>
        <v/>
      </c>
      <c r="X42">
        <f>HYPERLINK("https://klasma.github.io/Logging_1980/kartor/A 12905-2022 karta.png", "A 12905-2022")</f>
        <v/>
      </c>
      <c r="Y42">
        <f>HYPERLINK("https://klasma.github.io/Logging_1980/kartor_geotiff/A 12905-2022 georefererad karta.tif", "A 12905-2022")</f>
        <v/>
      </c>
      <c r="AA42">
        <f>HYPERLINK("https://klasma.github.io/Logging_1980/klagomål/A 12905-2022 FSC-klagomål.docx", "A 12905-2022")</f>
        <v/>
      </c>
      <c r="AB42">
        <f>HYPERLINK("https://klasma.github.io/Logging_1980/klagomålsmail/A 12905-2022 FSC-klagomål mail.docx", "A 12905-2022")</f>
        <v/>
      </c>
      <c r="AC42">
        <f>HYPERLINK("https://klasma.github.io/Logging_1980/tillsyn/A 12905-2022 tillsynsbegäran.docx", "A 12905-2022")</f>
        <v/>
      </c>
      <c r="AD42">
        <f>HYPERLINK("https://klasma.github.io/Logging_1980/tillsynsmail/A 12905-2022 tillsynsbegäran mail.docx", "A 12905-2022")</f>
        <v/>
      </c>
    </row>
    <row r="43" ht="15" customHeight="1">
      <c r="A43" t="inlineStr">
        <is>
          <t>A 50193-2022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44865</v>
      </c>
      <c r="E43" s="1" t="n">
        <v>46237</v>
      </c>
      <c r="F43" t="inlineStr">
        <is>
          <t>VÄSTMANLANDS LÄN</t>
        </is>
      </c>
      <c r="G43" t="inlineStr">
        <is>
          <t>VÄSTERÅS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HYPERLINK("https://klasma.github.io/Logging_1980/artfynd/A 50193-2022 artfynd.xlsx", "A 50193-2022")</f>
        <v/>
      </c>
      <c r="X43">
        <f>HYPERLINK("https://klasma.github.io/Logging_1980/kartor/A 50193-2022 karta.png", "A 50193-2022")</f>
        <v/>
      </c>
      <c r="Y43">
        <f>HYPERLINK("https://klasma.github.io/Logging_1980/kartor_geotiff/A 50193-2022 georefererad karta.tif", "A 50193-2022")</f>
        <v/>
      </c>
      <c r="AA43">
        <f>HYPERLINK("https://klasma.github.io/Logging_1980/klagomål/A 50193-2022 FSC-klagomål.docx", "A 50193-2022")</f>
        <v/>
      </c>
      <c r="AB43">
        <f>HYPERLINK("https://klasma.github.io/Logging_1980/klagomålsmail/A 50193-2022 FSC-klagomål mail.docx", "A 50193-2022")</f>
        <v/>
      </c>
      <c r="AC43">
        <f>HYPERLINK("https://klasma.github.io/Logging_1980/tillsyn/A 50193-2022 tillsynsbegäran.docx", "A 50193-2022")</f>
        <v/>
      </c>
      <c r="AD43">
        <f>HYPERLINK("https://klasma.github.io/Logging_1980/tillsynsmail/A 50193-2022 tillsynsbegäran mail.docx", "A 50193-2022")</f>
        <v/>
      </c>
    </row>
    <row r="44" ht="15" customHeight="1">
      <c r="A44" t="inlineStr">
        <is>
          <t>A 40886-2025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46237</v>
      </c>
      <c r="F44" t="inlineStr">
        <is>
          <t>VÄSTMANLANDS LÄN</t>
        </is>
      </c>
      <c r="G44" t="inlineStr">
        <is>
          <t>VÄSTERÅS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Grönpyrola</t>
        </is>
      </c>
      <c r="W44">
        <f>HYPERLINK("https://klasma.github.io/Logging_1980/artfynd/A 40886-2025 artfynd.xlsx", "A 40886-2025")</f>
        <v/>
      </c>
      <c r="X44">
        <f>HYPERLINK("https://klasma.github.io/Logging_1980/kartor/A 40886-2025 karta.png", "A 40886-2025")</f>
        <v/>
      </c>
      <c r="Y44">
        <f>HYPERLINK("https://klasma.github.io/Logging_1980/kartor_geotiff/A 40886-2025 georefererad karta.tif", "A 40886-2025")</f>
        <v/>
      </c>
      <c r="AA44">
        <f>HYPERLINK("https://klasma.github.io/Logging_1980/klagomål/A 40886-2025 FSC-klagomål.docx", "A 40886-2025")</f>
        <v/>
      </c>
      <c r="AB44">
        <f>HYPERLINK("https://klasma.github.io/Logging_1980/klagomålsmail/A 40886-2025 FSC-klagomål mail.docx", "A 40886-2025")</f>
        <v/>
      </c>
      <c r="AC44">
        <f>HYPERLINK("https://klasma.github.io/Logging_1980/tillsyn/A 40886-2025 tillsynsbegäran.docx", "A 40886-2025")</f>
        <v/>
      </c>
      <c r="AD44">
        <f>HYPERLINK("https://klasma.github.io/Logging_1980/tillsynsmail/A 40886-2025 tillsynsbegäran mail.docx", "A 40886-2025")</f>
        <v/>
      </c>
    </row>
    <row r="45" ht="15" customHeight="1">
      <c r="A45" t="inlineStr">
        <is>
          <t>A 1594-2023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44935</v>
      </c>
      <c r="E45" s="1" t="n">
        <v>46237</v>
      </c>
      <c r="F45" t="inlineStr">
        <is>
          <t>VÄSTMANLANDS LÄN</t>
        </is>
      </c>
      <c r="G45" t="inlineStr">
        <is>
          <t>VÄSTERÅS</t>
        </is>
      </c>
      <c r="I45" t="n">
        <v>10.9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Sparvuggla</t>
        </is>
      </c>
      <c r="W45">
        <f>HYPERLINK("https://klasma.github.io/Logging_1980/artfynd/A 1594-2023 artfynd.xlsx", "A 1594-2023")</f>
        <v/>
      </c>
      <c r="X45">
        <f>HYPERLINK("https://klasma.github.io/Logging_1980/kartor/A 1594-2023 karta.png", "A 1594-2023")</f>
        <v/>
      </c>
      <c r="Y45">
        <f>HYPERLINK("https://klasma.github.io/Logging_1980/kartor_geotiff/A 1594-2023 georefererad karta.tif", "A 1594-2023")</f>
        <v/>
      </c>
      <c r="AA45">
        <f>HYPERLINK("https://klasma.github.io/Logging_1980/klagomål/A 1594-2023 FSC-klagomål.docx", "A 1594-2023")</f>
        <v/>
      </c>
      <c r="AB45">
        <f>HYPERLINK("https://klasma.github.io/Logging_1980/klagomålsmail/A 1594-2023 FSC-klagomål mail.docx", "A 1594-2023")</f>
        <v/>
      </c>
      <c r="AC45">
        <f>HYPERLINK("https://klasma.github.io/Logging_1980/tillsyn/A 1594-2023 tillsynsbegäran.docx", "A 1594-2023")</f>
        <v/>
      </c>
      <c r="AD45">
        <f>HYPERLINK("https://klasma.github.io/Logging_1980/tillsynsmail/A 1594-2023 tillsynsbegäran mail.docx", "A 1594-2023")</f>
        <v/>
      </c>
      <c r="AE45">
        <f>HYPERLINK("https://klasma.github.io/Logging_1980/fåglar/A 1594-2023 prioriterade fågelarter.docx", "A 1594-2023")</f>
        <v/>
      </c>
    </row>
    <row r="46" ht="15" customHeight="1">
      <c r="A46" t="inlineStr">
        <is>
          <t>A 16374-2025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45751</v>
      </c>
      <c r="E46" s="1" t="n">
        <v>46237</v>
      </c>
      <c r="F46" t="inlineStr">
        <is>
          <t>VÄSTMANLANDS LÄN</t>
        </is>
      </c>
      <c r="G46" t="inlineStr">
        <is>
          <t>VÄSTERÅS</t>
        </is>
      </c>
      <c r="I46" t="n">
        <v>0.6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Lönnlav</t>
        </is>
      </c>
      <c r="W46">
        <f>HYPERLINK("https://klasma.github.io/Logging_1980/artfynd/A 16374-2025 artfynd.xlsx", "A 16374-2025")</f>
        <v/>
      </c>
      <c r="X46">
        <f>HYPERLINK("https://klasma.github.io/Logging_1980/kartor/A 16374-2025 karta.png", "A 16374-2025")</f>
        <v/>
      </c>
      <c r="Y46">
        <f>HYPERLINK("https://klasma.github.io/Logging_1980/kartor_geotiff/A 16374-2025 georefererad karta.tif", "A 16374-2025")</f>
        <v/>
      </c>
      <c r="AA46">
        <f>HYPERLINK("https://klasma.github.io/Logging_1980/klagomål/A 16374-2025 FSC-klagomål.docx", "A 16374-2025")</f>
        <v/>
      </c>
      <c r="AB46">
        <f>HYPERLINK("https://klasma.github.io/Logging_1980/klagomålsmail/A 16374-2025 FSC-klagomål mail.docx", "A 16374-2025")</f>
        <v/>
      </c>
      <c r="AC46">
        <f>HYPERLINK("https://klasma.github.io/Logging_1980/tillsyn/A 16374-2025 tillsynsbegäran.docx", "A 16374-2025")</f>
        <v/>
      </c>
      <c r="AD46">
        <f>HYPERLINK("https://klasma.github.io/Logging_1980/tillsynsmail/A 16374-2025 tillsynsbegäran mail.docx", "A 16374-2025")</f>
        <v/>
      </c>
    </row>
    <row r="47" ht="15" customHeight="1">
      <c r="A47" t="inlineStr">
        <is>
          <t>A 29787-2023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46237</v>
      </c>
      <c r="F47" t="inlineStr">
        <is>
          <t>VÄSTMANLANDS LÄN</t>
        </is>
      </c>
      <c r="G47" t="inlineStr">
        <is>
          <t>VÄSTERÅS</t>
        </is>
      </c>
      <c r="H47" t="inlineStr">
        <is>
          <t>Sveaskog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Kopparödla</t>
        </is>
      </c>
      <c r="W47">
        <f>HYPERLINK("https://klasma.github.io/Logging_1980/artfynd/A 29787-2023 artfynd.xlsx", "A 29787-2023")</f>
        <v/>
      </c>
      <c r="X47">
        <f>HYPERLINK("https://klasma.github.io/Logging_1980/kartor/A 29787-2023 karta.png", "A 29787-2023")</f>
        <v/>
      </c>
      <c r="Y47">
        <f>HYPERLINK("https://klasma.github.io/Logging_1980/kartor_geotiff/A 29787-2023 georefererad karta.tif", "A 29787-2023")</f>
        <v/>
      </c>
      <c r="AA47">
        <f>HYPERLINK("https://klasma.github.io/Logging_1980/klagomål/A 29787-2023 FSC-klagomål.docx", "A 29787-2023")</f>
        <v/>
      </c>
      <c r="AB47">
        <f>HYPERLINK("https://klasma.github.io/Logging_1980/klagomålsmail/A 29787-2023 FSC-klagomål mail.docx", "A 29787-2023")</f>
        <v/>
      </c>
      <c r="AC47">
        <f>HYPERLINK("https://klasma.github.io/Logging_1980/tillsyn/A 29787-2023 tillsynsbegäran.docx", "A 29787-2023")</f>
        <v/>
      </c>
      <c r="AD47">
        <f>HYPERLINK("https://klasma.github.io/Logging_1980/tillsynsmail/A 29787-2023 tillsynsbegäran mail.docx", "A 29787-2023")</f>
        <v/>
      </c>
    </row>
    <row r="48" ht="15" customHeight="1">
      <c r="A48" t="inlineStr">
        <is>
          <t>A 61059-2024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46237</v>
      </c>
      <c r="F48" t="inlineStr">
        <is>
          <t>VÄSTMANLANDS LÄN</t>
        </is>
      </c>
      <c r="G48" t="inlineStr">
        <is>
          <t>VÄSTERÅS</t>
        </is>
      </c>
      <c r="I48" t="n">
        <v>4.7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Bandad skulderbock</t>
        </is>
      </c>
      <c r="W48">
        <f>HYPERLINK("https://klasma.github.io/Logging_1980/artfynd/A 61059-2024 artfynd.xlsx", "A 61059-2024")</f>
        <v/>
      </c>
      <c r="X48">
        <f>HYPERLINK("https://klasma.github.io/Logging_1980/kartor/A 61059-2024 karta.png", "A 61059-2024")</f>
        <v/>
      </c>
      <c r="Y48">
        <f>HYPERLINK("https://klasma.github.io/Logging_1980/kartor_geotiff/A 61059-2024 georefererad karta.tif", "A 61059-2024")</f>
        <v/>
      </c>
      <c r="AA48">
        <f>HYPERLINK("https://klasma.github.io/Logging_1980/klagomål/A 61059-2024 FSC-klagomål.docx", "A 61059-2024")</f>
        <v/>
      </c>
      <c r="AB48">
        <f>HYPERLINK("https://klasma.github.io/Logging_1980/klagomålsmail/A 61059-2024 FSC-klagomål mail.docx", "A 61059-2024")</f>
        <v/>
      </c>
      <c r="AC48">
        <f>HYPERLINK("https://klasma.github.io/Logging_1980/tillsyn/A 61059-2024 tillsynsbegäran.docx", "A 61059-2024")</f>
        <v/>
      </c>
      <c r="AD48">
        <f>HYPERLINK("https://klasma.github.io/Logging_1980/tillsynsmail/A 61059-2024 tillsynsbegäran mail.docx", "A 61059-2024")</f>
        <v/>
      </c>
    </row>
    <row r="49" ht="15" customHeight="1">
      <c r="A49" t="inlineStr">
        <is>
          <t>A 22378-2026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46154</v>
      </c>
      <c r="E49" s="1" t="n">
        <v>46237</v>
      </c>
      <c r="F49" t="inlineStr">
        <is>
          <t>VÄSTMANLANDS LÄN</t>
        </is>
      </c>
      <c r="G49" t="inlineStr">
        <is>
          <t>VÄSTERÅS</t>
        </is>
      </c>
      <c r="I49" t="n">
        <v>5.6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Igelkott</t>
        </is>
      </c>
      <c r="W49">
        <f>HYPERLINK("https://klasma.github.io/Logging_1980/artfynd/A 22378-2026 artfynd.xlsx", "A 22378-2026")</f>
        <v/>
      </c>
      <c r="X49">
        <f>HYPERLINK("https://klasma.github.io/Logging_1980/kartor/A 22378-2026 karta.png", "A 22378-2026")</f>
        <v/>
      </c>
      <c r="Y49">
        <f>HYPERLINK("https://klasma.github.io/Logging_1980/kartor_geotiff/A 22378-2026 georefererad karta.tif", "A 22378-2026")</f>
        <v/>
      </c>
      <c r="AA49">
        <f>HYPERLINK("https://klasma.github.io/Logging_1980/klagomål/A 22378-2026 FSC-klagomål.docx", "A 22378-2026")</f>
        <v/>
      </c>
      <c r="AB49">
        <f>HYPERLINK("https://klasma.github.io/Logging_1980/klagomålsmail/A 22378-2026 FSC-klagomål mail.docx", "A 22378-2026")</f>
        <v/>
      </c>
      <c r="AC49">
        <f>HYPERLINK("https://klasma.github.io/Logging_1980/tillsyn/A 22378-2026 tillsynsbegäran.docx", "A 22378-2026")</f>
        <v/>
      </c>
      <c r="AD49">
        <f>HYPERLINK("https://klasma.github.io/Logging_1980/tillsynsmail/A 22378-2026 tillsynsbegäran mail.docx", "A 22378-2026")</f>
        <v/>
      </c>
    </row>
    <row r="50" ht="15" customHeight="1">
      <c r="A50" t="inlineStr">
        <is>
          <t>A 12950-2023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45001</v>
      </c>
      <c r="E50" s="1" t="n">
        <v>46237</v>
      </c>
      <c r="F50" t="inlineStr">
        <is>
          <t>VÄSTMANLANDS LÄN</t>
        </is>
      </c>
      <c r="G50" t="inlineStr">
        <is>
          <t>VÄSTERÅS</t>
        </is>
      </c>
      <c r="I50" t="n">
        <v>2.1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HYPERLINK("https://klasma.github.io/Logging_1980/artfynd/A 12950-2023 artfynd.xlsx", "A 12950-2023")</f>
        <v/>
      </c>
      <c r="X50">
        <f>HYPERLINK("https://klasma.github.io/Logging_1980/kartor/A 12950-2023 karta.png", "A 12950-2023")</f>
        <v/>
      </c>
      <c r="Y50">
        <f>HYPERLINK("https://klasma.github.io/Logging_1980/kartor_geotiff/A 12950-2023 georefererad karta.tif", "A 12950-2023")</f>
        <v/>
      </c>
      <c r="AA50">
        <f>HYPERLINK("https://klasma.github.io/Logging_1980/klagomål/A 12950-2023 FSC-klagomål.docx", "A 12950-2023")</f>
        <v/>
      </c>
      <c r="AB50">
        <f>HYPERLINK("https://klasma.github.io/Logging_1980/klagomålsmail/A 12950-2023 FSC-klagomål mail.docx", "A 12950-2023")</f>
        <v/>
      </c>
      <c r="AC50">
        <f>HYPERLINK("https://klasma.github.io/Logging_1980/tillsyn/A 12950-2023 tillsynsbegäran.docx", "A 12950-2023")</f>
        <v/>
      </c>
      <c r="AD50">
        <f>HYPERLINK("https://klasma.github.io/Logging_1980/tillsynsmail/A 12950-2023 tillsynsbegäran mail.docx", "A 12950-2023")</f>
        <v/>
      </c>
    </row>
    <row r="51" ht="15" customHeight="1">
      <c r="A51" t="inlineStr">
        <is>
          <t>A 59144-2025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46237</v>
      </c>
      <c r="F51" t="inlineStr">
        <is>
          <t>VÄSTMANLANDS LÄN</t>
        </is>
      </c>
      <c r="G51" t="inlineStr">
        <is>
          <t>VÄSTERÅS</t>
        </is>
      </c>
      <c r="H51" t="inlineStr">
        <is>
          <t>Sveaskog</t>
        </is>
      </c>
      <c r="I51" t="n">
        <v>6.3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HYPERLINK("https://klasma.github.io/Logging_1980/artfynd/A 59144-2025 artfynd.xlsx", "A 59144-2025")</f>
        <v/>
      </c>
      <c r="X51">
        <f>HYPERLINK("https://klasma.github.io/Logging_1980/kartor/A 59144-2025 karta.png", "A 59144-2025")</f>
        <v/>
      </c>
      <c r="Y51">
        <f>HYPERLINK("https://klasma.github.io/Logging_1980/kartor_geotiff/A 59144-2025 georefererad karta.tif", "A 59144-2025")</f>
        <v/>
      </c>
      <c r="AA51">
        <f>HYPERLINK("https://klasma.github.io/Logging_1980/klagomål/A 59144-2025 FSC-klagomål.docx", "A 59144-2025")</f>
        <v/>
      </c>
      <c r="AB51">
        <f>HYPERLINK("https://klasma.github.io/Logging_1980/klagomålsmail/A 59144-2025 FSC-klagomål mail.docx", "A 59144-2025")</f>
        <v/>
      </c>
      <c r="AC51">
        <f>HYPERLINK("https://klasma.github.io/Logging_1980/tillsyn/A 59144-2025 tillsynsbegäran.docx", "A 59144-2025")</f>
        <v/>
      </c>
      <c r="AD51">
        <f>HYPERLINK("https://klasma.github.io/Logging_1980/tillsynsmail/A 59144-2025 tillsynsbegäran mail.docx", "A 59144-2025")</f>
        <v/>
      </c>
    </row>
    <row r="52" ht="15" customHeight="1">
      <c r="A52" t="inlineStr">
        <is>
          <t>A 59140-2025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45988</v>
      </c>
      <c r="E52" s="1" t="n">
        <v>46237</v>
      </c>
      <c r="F52" t="inlineStr">
        <is>
          <t>VÄSTMANLANDS LÄN</t>
        </is>
      </c>
      <c r="G52" t="inlineStr">
        <is>
          <t>VÄSTERÅS</t>
        </is>
      </c>
      <c r="H52" t="inlineStr">
        <is>
          <t>Sveaskog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Fiskgjuse</t>
        </is>
      </c>
      <c r="W52">
        <f>HYPERLINK("https://klasma.github.io/Logging_1980/artfynd/A 59140-2025 artfynd.xlsx", "A 59140-2025")</f>
        <v/>
      </c>
      <c r="X52">
        <f>HYPERLINK("https://klasma.github.io/Logging_1980/kartor/A 59140-2025 karta.png", "A 59140-2025")</f>
        <v/>
      </c>
      <c r="Y52">
        <f>HYPERLINK("https://klasma.github.io/Logging_1980/kartor_geotiff/A 59140-2025 georefererad karta.tif", "A 59140-2025")</f>
        <v/>
      </c>
      <c r="AA52">
        <f>HYPERLINK("https://klasma.github.io/Logging_1980/klagomål/A 59140-2025 FSC-klagomål.docx", "A 59140-2025")</f>
        <v/>
      </c>
      <c r="AB52">
        <f>HYPERLINK("https://klasma.github.io/Logging_1980/klagomålsmail/A 59140-2025 FSC-klagomål mail.docx", "A 59140-2025")</f>
        <v/>
      </c>
      <c r="AC52">
        <f>HYPERLINK("https://klasma.github.io/Logging_1980/tillsyn/A 59140-2025 tillsynsbegäran.docx", "A 59140-2025")</f>
        <v/>
      </c>
      <c r="AD52">
        <f>HYPERLINK("https://klasma.github.io/Logging_1980/tillsynsmail/A 59140-2025 tillsynsbegäran mail.docx", "A 59140-2025")</f>
        <v/>
      </c>
      <c r="AE52">
        <f>HYPERLINK("https://klasma.github.io/Logging_1980/fåglar/A 59140-2025 prioriterade fågelarter.docx", "A 59140-2025")</f>
        <v/>
      </c>
    </row>
    <row r="53" ht="15" customHeight="1">
      <c r="A53" t="inlineStr">
        <is>
          <t>A 58395-2022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46237</v>
      </c>
      <c r="F53" t="inlineStr">
        <is>
          <t>VÄSTMANLANDS LÄN</t>
        </is>
      </c>
      <c r="G53" t="inlineStr">
        <is>
          <t>VÄSTERÅS</t>
        </is>
      </c>
      <c r="I53" t="n">
        <v>0.5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Korskovall</t>
        </is>
      </c>
      <c r="W53">
        <f>HYPERLINK("https://klasma.github.io/Logging_1980/artfynd/A 58395-2022 artfynd.xlsx", "A 58395-2022")</f>
        <v/>
      </c>
      <c r="X53">
        <f>HYPERLINK("https://klasma.github.io/Logging_1980/kartor/A 58395-2022 karta.png", "A 58395-2022")</f>
        <v/>
      </c>
      <c r="Y53">
        <f>HYPERLINK("https://klasma.github.io/Logging_1980/kartor_geotiff/A 58395-2022 georefererad karta.tif", "A 58395-2022")</f>
        <v/>
      </c>
      <c r="AA53">
        <f>HYPERLINK("https://klasma.github.io/Logging_1980/klagomål/A 58395-2022 FSC-klagomål.docx", "A 58395-2022")</f>
        <v/>
      </c>
      <c r="AB53">
        <f>HYPERLINK("https://klasma.github.io/Logging_1980/klagomålsmail/A 58395-2022 FSC-klagomål mail.docx", "A 58395-2022")</f>
        <v/>
      </c>
      <c r="AC53">
        <f>HYPERLINK("https://klasma.github.io/Logging_1980/tillsyn/A 58395-2022 tillsynsbegäran.docx", "A 58395-2022")</f>
        <v/>
      </c>
      <c r="AD53">
        <f>HYPERLINK("https://klasma.github.io/Logging_1980/tillsynsmail/A 58395-2022 tillsynsbegäran mail.docx", "A 58395-2022")</f>
        <v/>
      </c>
    </row>
    <row r="54" ht="15" customHeight="1">
      <c r="A54" t="inlineStr">
        <is>
          <t>A 59520-2024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46237</v>
      </c>
      <c r="F54" t="inlineStr">
        <is>
          <t>VÄSTMANLANDS LÄN</t>
        </is>
      </c>
      <c r="G54" t="inlineStr">
        <is>
          <t>VÄSTERÅS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59520-2024 artfynd.xlsx", "A 59520-2024")</f>
        <v/>
      </c>
      <c r="X54">
        <f>HYPERLINK("https://klasma.github.io/Logging_1980/kartor/A 59520-2024 karta.png", "A 59520-2024")</f>
        <v/>
      </c>
      <c r="Y54">
        <f>HYPERLINK("https://klasma.github.io/Logging_1980/kartor_geotiff/A 59520-2024 georefererad karta.tif", "A 59520-2024")</f>
        <v/>
      </c>
      <c r="AA54">
        <f>HYPERLINK("https://klasma.github.io/Logging_1980/klagomål/A 59520-2024 FSC-klagomål.docx", "A 59520-2024")</f>
        <v/>
      </c>
      <c r="AB54">
        <f>HYPERLINK("https://klasma.github.io/Logging_1980/klagomålsmail/A 59520-2024 FSC-klagomål mail.docx", "A 59520-2024")</f>
        <v/>
      </c>
      <c r="AC54">
        <f>HYPERLINK("https://klasma.github.io/Logging_1980/tillsyn/A 59520-2024 tillsynsbegäran.docx", "A 59520-2024")</f>
        <v/>
      </c>
      <c r="AD54">
        <f>HYPERLINK("https://klasma.github.io/Logging_1980/tillsynsmail/A 59520-2024 tillsynsbegäran mail.docx", "A 59520-2024")</f>
        <v/>
      </c>
    </row>
    <row r="55" ht="15" customHeight="1">
      <c r="A55" t="inlineStr">
        <is>
          <t>A 31976-2026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46232</v>
      </c>
      <c r="E55" s="1" t="n">
        <v>46237</v>
      </c>
      <c r="F55" t="inlineStr">
        <is>
          <t>VÄSTMANLANDS LÄN</t>
        </is>
      </c>
      <c r="G55" t="inlineStr">
        <is>
          <t>VÄSTERÅS</t>
        </is>
      </c>
      <c r="H55" t="inlineStr">
        <is>
          <t>Övriga Aktiebolag</t>
        </is>
      </c>
      <c r="I55" t="n">
        <v>14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Rostfläck</t>
        </is>
      </c>
      <c r="W55">
        <f>HYPERLINK("https://klasma.github.io/Logging_1980/artfynd/A 31976-2026 artfynd.xlsx", "A 31976-2026")</f>
        <v/>
      </c>
      <c r="X55">
        <f>HYPERLINK("https://klasma.github.io/Logging_1980/kartor/A 31976-2026 karta.png", "A 31976-2026")</f>
        <v/>
      </c>
      <c r="Y55">
        <f>HYPERLINK("https://klasma.github.io/Logging_1980/kartor_geotiff/A 31976-2026 georefererad karta.tif", "A 31976-2026")</f>
        <v/>
      </c>
      <c r="AA55">
        <f>HYPERLINK("https://klasma.github.io/Logging_1980/klagomål/A 31976-2026 FSC-klagomål.docx", "A 31976-2026")</f>
        <v/>
      </c>
      <c r="AB55">
        <f>HYPERLINK("https://klasma.github.io/Logging_1980/klagomålsmail/A 31976-2026 FSC-klagomål mail.docx", "A 31976-2026")</f>
        <v/>
      </c>
      <c r="AC55">
        <f>HYPERLINK("https://klasma.github.io/Logging_1980/tillsyn/A 31976-2026 tillsynsbegäran.docx", "A 31976-2026")</f>
        <v/>
      </c>
      <c r="AD55">
        <f>HYPERLINK("https://klasma.github.io/Logging_1980/tillsynsmail/A 31976-2026 tillsynsbegäran mail.docx", "A 31976-2026")</f>
        <v/>
      </c>
    </row>
    <row r="56" ht="15" customHeight="1">
      <c r="A56" t="inlineStr">
        <is>
          <t>A 46189-2023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45196</v>
      </c>
      <c r="E56" s="1" t="n">
        <v>46237</v>
      </c>
      <c r="F56" t="inlineStr">
        <is>
          <t>VÄSTMANLANDS LÄN</t>
        </is>
      </c>
      <c r="G56" t="inlineStr">
        <is>
          <t>VÄSTERÅS</t>
        </is>
      </c>
      <c r="I56" t="n">
        <v>0.5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Gullviva</t>
        </is>
      </c>
      <c r="W56">
        <f>HYPERLINK("https://klasma.github.io/Logging_1980/artfynd/A 46189-2023 artfynd.xlsx", "A 46189-2023")</f>
        <v/>
      </c>
      <c r="X56">
        <f>HYPERLINK("https://klasma.github.io/Logging_1980/kartor/A 46189-2023 karta.png", "A 46189-2023")</f>
        <v/>
      </c>
      <c r="Y56">
        <f>HYPERLINK("https://klasma.github.io/Logging_1980/kartor_geotiff/A 46189-2023 georefererad karta.tif", "A 46189-2023")</f>
        <v/>
      </c>
      <c r="AA56">
        <f>HYPERLINK("https://klasma.github.io/Logging_1980/klagomål/A 46189-2023 FSC-klagomål.docx", "A 46189-2023")</f>
        <v/>
      </c>
      <c r="AB56">
        <f>HYPERLINK("https://klasma.github.io/Logging_1980/klagomålsmail/A 46189-2023 FSC-klagomål mail.docx", "A 46189-2023")</f>
        <v/>
      </c>
      <c r="AC56">
        <f>HYPERLINK("https://klasma.github.io/Logging_1980/tillsyn/A 46189-2023 tillsynsbegäran.docx", "A 46189-2023")</f>
        <v/>
      </c>
      <c r="AD56">
        <f>HYPERLINK("https://klasma.github.io/Logging_1980/tillsynsmail/A 46189-2023 tillsynsbegäran mail.docx", "A 46189-2023")</f>
        <v/>
      </c>
    </row>
    <row r="57" ht="15" customHeight="1">
      <c r="A57" t="inlineStr">
        <is>
          <t>A 5363-2025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45692</v>
      </c>
      <c r="E57" s="1" t="n">
        <v>46237</v>
      </c>
      <c r="F57" t="inlineStr">
        <is>
          <t>VÄSTMANLANDS LÄN</t>
        </is>
      </c>
      <c r="G57" t="inlineStr">
        <is>
          <t>VÄSTERÅS</t>
        </is>
      </c>
      <c r="I57" t="n">
        <v>1.2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Brunklöver</t>
        </is>
      </c>
      <c r="W57">
        <f>HYPERLINK("https://klasma.github.io/Logging_1980/artfynd/A 5363-2025 artfynd.xlsx", "A 5363-2025")</f>
        <v/>
      </c>
      <c r="X57">
        <f>HYPERLINK("https://klasma.github.io/Logging_1980/kartor/A 5363-2025 karta.png", "A 5363-2025")</f>
        <v/>
      </c>
      <c r="Y57">
        <f>HYPERLINK("https://klasma.github.io/Logging_1980/kartor_geotiff/A 5363-2025 georefererad karta.tif", "A 5363-2025")</f>
        <v/>
      </c>
      <c r="AA57">
        <f>HYPERLINK("https://klasma.github.io/Logging_1980/klagomål/A 5363-2025 FSC-klagomål.docx", "A 5363-2025")</f>
        <v/>
      </c>
      <c r="AB57">
        <f>HYPERLINK("https://klasma.github.io/Logging_1980/klagomålsmail/A 5363-2025 FSC-klagomål mail.docx", "A 5363-2025")</f>
        <v/>
      </c>
      <c r="AC57">
        <f>HYPERLINK("https://klasma.github.io/Logging_1980/tillsyn/A 5363-2025 tillsynsbegäran.docx", "A 5363-2025")</f>
        <v/>
      </c>
      <c r="AD57">
        <f>HYPERLINK("https://klasma.github.io/Logging_1980/tillsynsmail/A 5363-2025 tillsynsbegäran mail.docx", "A 5363-2025")</f>
        <v/>
      </c>
    </row>
    <row r="58" ht="15" customHeight="1">
      <c r="A58" t="inlineStr">
        <is>
          <t>A 8362-2022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44610</v>
      </c>
      <c r="E58" s="1" t="n">
        <v>46237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Köpingfibbla</t>
        </is>
      </c>
      <c r="W58">
        <f>HYPERLINK("https://klasma.github.io/Logging_1980/artfynd/A 8362-2022 artfynd.xlsx", "A 8362-2022")</f>
        <v/>
      </c>
      <c r="X58">
        <f>HYPERLINK("https://klasma.github.io/Logging_1980/kartor/A 8362-2022 karta.png", "A 8362-2022")</f>
        <v/>
      </c>
      <c r="Y58">
        <f>HYPERLINK("https://klasma.github.io/Logging_1980/kartor_geotiff/A 8362-2022 georefererad karta.tif", "A 8362-2022")</f>
        <v/>
      </c>
      <c r="AA58">
        <f>HYPERLINK("https://klasma.github.io/Logging_1980/klagomål/A 8362-2022 FSC-klagomål.docx", "A 8362-2022")</f>
        <v/>
      </c>
      <c r="AB58">
        <f>HYPERLINK("https://klasma.github.io/Logging_1980/klagomålsmail/A 8362-2022 FSC-klagomål mail.docx", "A 8362-2022")</f>
        <v/>
      </c>
      <c r="AC58">
        <f>HYPERLINK("https://klasma.github.io/Logging_1980/tillsyn/A 8362-2022 tillsynsbegäran.docx", "A 8362-2022")</f>
        <v/>
      </c>
      <c r="AD58">
        <f>HYPERLINK("https://klasma.github.io/Logging_1980/tillsynsmail/A 8362-2022 tillsynsbegäran mail.docx", "A 8362-2022")</f>
        <v/>
      </c>
    </row>
    <row r="59" ht="15" customHeight="1">
      <c r="A59" t="inlineStr">
        <is>
          <t>A 12058-2026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46086</v>
      </c>
      <c r="E59" s="1" t="n">
        <v>46237</v>
      </c>
      <c r="F59" t="inlineStr">
        <is>
          <t>VÄSTMANLANDS LÄN</t>
        </is>
      </c>
      <c r="G59" t="inlineStr">
        <is>
          <t>VÄSTERÅS</t>
        </is>
      </c>
      <c r="I59" t="n">
        <v>3.9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Törnskata</t>
        </is>
      </c>
      <c r="W59">
        <f>HYPERLINK("https://klasma.github.io/Logging_1980/artfynd/A 12058-2026 artfynd.xlsx", "A 12058-2026")</f>
        <v/>
      </c>
      <c r="X59">
        <f>HYPERLINK("https://klasma.github.io/Logging_1980/kartor/A 12058-2026 karta.png", "A 12058-2026")</f>
        <v/>
      </c>
      <c r="Y59">
        <f>HYPERLINK("https://klasma.github.io/Logging_1980/kartor_geotiff/A 12058-2026 georefererad karta.tif", "A 12058-2026")</f>
        <v/>
      </c>
      <c r="AA59">
        <f>HYPERLINK("https://klasma.github.io/Logging_1980/klagomål/A 12058-2026 FSC-klagomål.docx", "A 12058-2026")</f>
        <v/>
      </c>
      <c r="AB59">
        <f>HYPERLINK("https://klasma.github.io/Logging_1980/klagomålsmail/A 12058-2026 FSC-klagomål mail.docx", "A 12058-2026")</f>
        <v/>
      </c>
      <c r="AC59">
        <f>HYPERLINK("https://klasma.github.io/Logging_1980/tillsyn/A 12058-2026 tillsynsbegäran.docx", "A 12058-2026")</f>
        <v/>
      </c>
      <c r="AD59">
        <f>HYPERLINK("https://klasma.github.io/Logging_1980/tillsynsmail/A 12058-2026 tillsynsbegäran mail.docx", "A 12058-2026")</f>
        <v/>
      </c>
      <c r="AE59">
        <f>HYPERLINK("https://klasma.github.io/Logging_1980/fåglar/A 12058-2026 prioriterade fågelarter.docx", "A 12058-2026")</f>
        <v/>
      </c>
    </row>
    <row r="60" ht="15" customHeight="1">
      <c r="A60" t="inlineStr">
        <is>
          <t>A 61254-2023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45264</v>
      </c>
      <c r="E60" s="1" t="n">
        <v>46237</v>
      </c>
      <c r="F60" t="inlineStr">
        <is>
          <t>VÄSTMANLANDS LÄN</t>
        </is>
      </c>
      <c r="G60" t="inlineStr">
        <is>
          <t>VÄSTERÅS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Mistel</t>
        </is>
      </c>
      <c r="W60">
        <f>HYPERLINK("https://klasma.github.io/Logging_1980/artfynd/A 61254-2023 artfynd.xlsx", "A 61254-2023")</f>
        <v/>
      </c>
      <c r="X60">
        <f>HYPERLINK("https://klasma.github.io/Logging_1980/kartor/A 61254-2023 karta.png", "A 61254-2023")</f>
        <v/>
      </c>
      <c r="Y60">
        <f>HYPERLINK("https://klasma.github.io/Logging_1980/kartor_geotiff/A 61254-2023 georefererad karta.tif", "A 61254-2023")</f>
        <v/>
      </c>
      <c r="AA60">
        <f>HYPERLINK("https://klasma.github.io/Logging_1980/klagomål/A 61254-2023 FSC-klagomål.docx", "A 61254-2023")</f>
        <v/>
      </c>
      <c r="AB60">
        <f>HYPERLINK("https://klasma.github.io/Logging_1980/klagomålsmail/A 61254-2023 FSC-klagomål mail.docx", "A 61254-2023")</f>
        <v/>
      </c>
      <c r="AC60">
        <f>HYPERLINK("https://klasma.github.io/Logging_1980/tillsyn/A 61254-2023 tillsynsbegäran.docx", "A 61254-2023")</f>
        <v/>
      </c>
      <c r="AD60">
        <f>HYPERLINK("https://klasma.github.io/Logging_1980/tillsynsmail/A 61254-2023 tillsynsbegäran mail.docx", "A 61254-2023")</f>
        <v/>
      </c>
    </row>
    <row r="61" ht="15" customHeight="1">
      <c r="A61" t="inlineStr">
        <is>
          <t>A 26568-2022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46237</v>
      </c>
      <c r="F61" t="inlineStr">
        <is>
          <t>VÄSTMANLANDS LÄN</t>
        </is>
      </c>
      <c r="G61" t="inlineStr">
        <is>
          <t>VÄSTERÅS</t>
        </is>
      </c>
      <c r="I61" t="n">
        <v>2.6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Mistel</t>
        </is>
      </c>
      <c r="W61">
        <f>HYPERLINK("https://klasma.github.io/Logging_1980/artfynd/A 26568-2022 artfynd.xlsx", "A 26568-2022")</f>
        <v/>
      </c>
      <c r="X61">
        <f>HYPERLINK("https://klasma.github.io/Logging_1980/kartor/A 26568-2022 karta.png", "A 26568-2022")</f>
        <v/>
      </c>
      <c r="Y61">
        <f>HYPERLINK("https://klasma.github.io/Logging_1980/kartor_geotiff/A 26568-2022 georefererad karta.tif", "A 26568-2022")</f>
        <v/>
      </c>
      <c r="AA61">
        <f>HYPERLINK("https://klasma.github.io/Logging_1980/klagomål/A 26568-2022 FSC-klagomål.docx", "A 26568-2022")</f>
        <v/>
      </c>
      <c r="AB61">
        <f>HYPERLINK("https://klasma.github.io/Logging_1980/klagomålsmail/A 26568-2022 FSC-klagomål mail.docx", "A 26568-2022")</f>
        <v/>
      </c>
      <c r="AC61">
        <f>HYPERLINK("https://klasma.github.io/Logging_1980/tillsyn/A 26568-2022 tillsynsbegäran.docx", "A 26568-2022")</f>
        <v/>
      </c>
      <c r="AD61">
        <f>HYPERLINK("https://klasma.github.io/Logging_1980/tillsynsmail/A 26568-2022 tillsynsbegäran mail.docx", "A 26568-2022")</f>
        <v/>
      </c>
    </row>
    <row r="62" ht="15" customHeight="1">
      <c r="A62" t="inlineStr">
        <is>
          <t>A 51147-2023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46237</v>
      </c>
      <c r="F62" t="inlineStr">
        <is>
          <t>VÄSTMANLANDS LÄN</t>
        </is>
      </c>
      <c r="G62" t="inlineStr">
        <is>
          <t>VÄSTERÅS</t>
        </is>
      </c>
      <c r="I62" t="n">
        <v>1.4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Mindre märgborre</t>
        </is>
      </c>
      <c r="W62">
        <f>HYPERLINK("https://klasma.github.io/Logging_1980/artfynd/A 51147-2023 artfynd.xlsx", "A 51147-2023")</f>
        <v/>
      </c>
      <c r="X62">
        <f>HYPERLINK("https://klasma.github.io/Logging_1980/kartor/A 51147-2023 karta.png", "A 51147-2023")</f>
        <v/>
      </c>
      <c r="Y62">
        <f>HYPERLINK("https://klasma.github.io/Logging_1980/kartor_geotiff/A 51147-2023 georefererad karta.tif", "A 51147-2023")</f>
        <v/>
      </c>
      <c r="AA62">
        <f>HYPERLINK("https://klasma.github.io/Logging_1980/klagomål/A 51147-2023 FSC-klagomål.docx", "A 51147-2023")</f>
        <v/>
      </c>
      <c r="AB62">
        <f>HYPERLINK("https://klasma.github.io/Logging_1980/klagomålsmail/A 51147-2023 FSC-klagomål mail.docx", "A 51147-2023")</f>
        <v/>
      </c>
      <c r="AC62">
        <f>HYPERLINK("https://klasma.github.io/Logging_1980/tillsyn/A 51147-2023 tillsynsbegäran.docx", "A 51147-2023")</f>
        <v/>
      </c>
      <c r="AD62">
        <f>HYPERLINK("https://klasma.github.io/Logging_1980/tillsynsmail/A 51147-2023 tillsynsbegäran mail.docx", "A 51147-2023")</f>
        <v/>
      </c>
    </row>
    <row r="63" ht="15" customHeight="1">
      <c r="A63" t="inlineStr">
        <is>
          <t>S 548-2025</t>
        </is>
      </c>
      <c r="B63" t="inlineStr">
        <is>
          <t>samrådsanmälan</t>
        </is>
      </c>
      <c r="C63" t="inlineStr">
        <is>
          <t>Skogsgödsling</t>
        </is>
      </c>
      <c r="D63" s="1" t="n">
        <v>45708</v>
      </c>
      <c r="E63" s="1" t="n">
        <v>46237</v>
      </c>
      <c r="F63" t="inlineStr">
        <is>
          <t>VÄSTMANLANDS LÄN</t>
        </is>
      </c>
      <c r="G63" t="inlineStr">
        <is>
          <t>VÄSTERÅS</t>
        </is>
      </c>
      <c r="I63" t="n">
        <v>35.9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0</v>
      </c>
      <c r="V63" s="2" t="inlineStr">
        <is>
          <t>Tjäder</t>
        </is>
      </c>
      <c r="W63">
        <f>HYPERLINK("https://klasma.github.io/Logging_1980/artfynd/S 548-2025 artfynd.xlsx", "S 548-2025")</f>
        <v/>
      </c>
      <c r="X63">
        <f>HYPERLINK("https://klasma.github.io/Logging_1980/kartor/S 548-2025 karta.png", "S 548-2025")</f>
        <v/>
      </c>
      <c r="Y63">
        <f>HYPERLINK("https://klasma.github.io/Logging_1980/kartor_geotiff/S 548-2025 georefererad karta.tif", "S 548-2025")</f>
        <v/>
      </c>
      <c r="AA63">
        <f>HYPERLINK("https://klasma.github.io/Logging_1980/klagomål/S 548-2025 FSC-klagomål.docx", "S 548-2025")</f>
        <v/>
      </c>
      <c r="AB63">
        <f>HYPERLINK("https://klasma.github.io/Logging_1980/klagomålsmail/S 548-2025 FSC-klagomål mail.docx", "S 548-2025")</f>
        <v/>
      </c>
      <c r="AC63">
        <f>HYPERLINK("https://klasma.github.io/Logging_1980/tillsyn/S 548-2025 tillsynsbegäran.docx", "S 548-2025")</f>
        <v/>
      </c>
      <c r="AD63">
        <f>HYPERLINK("https://klasma.github.io/Logging_1980/tillsynsmail/S 548-2025 tillsynsbegäran mail.docx", "S 548-2025")</f>
        <v/>
      </c>
      <c r="AE63">
        <f>HYPERLINK("https://klasma.github.io/Logging_1980/fåglar/S 548-2025 prioriterade fågelarter.docx", "S 548-2025")</f>
        <v/>
      </c>
    </row>
    <row r="64" ht="15" customHeight="1">
      <c r="A64" t="inlineStr">
        <is>
          <t>A 11077-2022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44628</v>
      </c>
      <c r="E64" s="1" t="n">
        <v>46237</v>
      </c>
      <c r="F64" t="inlineStr">
        <is>
          <t>VÄSTMANLANDS LÄN</t>
        </is>
      </c>
      <c r="G64" t="inlineStr">
        <is>
          <t>VÄSTERÅS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21857-2022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44711</v>
      </c>
      <c r="E65" s="1" t="n">
        <v>46237</v>
      </c>
      <c r="F65" t="inlineStr">
        <is>
          <t>VÄSTMANLANDS LÄN</t>
        </is>
      </c>
      <c r="G65" t="inlineStr">
        <is>
          <t>VÄSTERÅS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67943-2021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46237</v>
      </c>
      <c r="F66" t="inlineStr">
        <is>
          <t>VÄSTMANLANDS LÄN</t>
        </is>
      </c>
      <c r="G66" t="inlineStr">
        <is>
          <t>VÄSTERÅS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46237</v>
      </c>
      <c r="F67" t="inlineStr">
        <is>
          <t>VÄSTMANLANDS LÄN</t>
        </is>
      </c>
      <c r="G67" t="inlineStr">
        <is>
          <t>VÄSTERÅS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46237</v>
      </c>
      <c r="F68" t="inlineStr">
        <is>
          <t>VÄSTMANLANDS LÄN</t>
        </is>
      </c>
      <c r="G68" t="inlineStr">
        <is>
          <t>VÄSTERÅS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44733</v>
      </c>
      <c r="E69" s="1" t="n">
        <v>46237</v>
      </c>
      <c r="F69" t="inlineStr">
        <is>
          <t>VÄSTMANLANDS LÄN</t>
        </is>
      </c>
      <c r="G69" t="inlineStr">
        <is>
          <t>VÄSTERÅS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65678-2021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46237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43355-2021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44432</v>
      </c>
      <c r="E71" s="1" t="n">
        <v>46237</v>
      </c>
      <c r="F71" t="inlineStr">
        <is>
          <t>VÄSTMANLANDS LÄN</t>
        </is>
      </c>
      <c r="G71" t="inlineStr">
        <is>
          <t>VÄSTERÅS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44594</v>
      </c>
      <c r="E72" s="1" t="n">
        <v>46237</v>
      </c>
      <c r="F72" t="inlineStr">
        <is>
          <t>VÄSTMANLANDS LÄN</t>
        </is>
      </c>
      <c r="G72" t="inlineStr">
        <is>
          <t>VÄSTERÅS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19164-2022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44691</v>
      </c>
      <c r="E73" s="1" t="n">
        <v>46237</v>
      </c>
      <c r="F73" t="inlineStr">
        <is>
          <t>VÄSTMANLANDS LÄN</t>
        </is>
      </c>
      <c r="G73" t="inlineStr">
        <is>
          <t>VÄSTERÅS</t>
        </is>
      </c>
      <c r="H73" t="inlineStr">
        <is>
          <t>Övriga Aktiebolag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55693-2021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44476</v>
      </c>
      <c r="E74" s="1" t="n">
        <v>46237</v>
      </c>
      <c r="F74" t="inlineStr">
        <is>
          <t>VÄSTMANLANDS LÄN</t>
        </is>
      </c>
      <c r="G74" t="inlineStr">
        <is>
          <t>VÄSTERÅS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43354-2021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44432</v>
      </c>
      <c r="E75" s="1" t="n">
        <v>46237</v>
      </c>
      <c r="F75" t="inlineStr">
        <is>
          <t>VÄSTMANLANDS LÄN</t>
        </is>
      </c>
      <c r="G75" t="inlineStr">
        <is>
          <t>VÄSTERÅS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46237</v>
      </c>
      <c r="F76" t="inlineStr">
        <is>
          <t>VÄSTMANLANDS LÄN</t>
        </is>
      </c>
      <c r="G76" t="inlineStr">
        <is>
          <t>VÄSTERÅS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20134-2022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46237</v>
      </c>
      <c r="F77" t="inlineStr">
        <is>
          <t>VÄSTMANLANDS LÄN</t>
        </is>
      </c>
      <c r="G77" t="inlineStr">
        <is>
          <t>VÄSTERÅS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46237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12138-2022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46237</v>
      </c>
      <c r="F79" t="inlineStr">
        <is>
          <t>VÄSTMANLANDS LÄN</t>
        </is>
      </c>
      <c r="G79" t="inlineStr">
        <is>
          <t>VÄSTERÅS</t>
        </is>
      </c>
      <c r="H79" t="inlineStr">
        <is>
          <t>Kommuner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19336-2022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44692</v>
      </c>
      <c r="E80" s="1" t="n">
        <v>46237</v>
      </c>
      <c r="F80" t="inlineStr">
        <is>
          <t>VÄSTMANLANDS LÄN</t>
        </is>
      </c>
      <c r="G80" t="inlineStr">
        <is>
          <t>VÄSTERÅS</t>
        </is>
      </c>
      <c r="H80" t="inlineStr">
        <is>
          <t>Övriga Aktiebolag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46237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73334-2021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44551</v>
      </c>
      <c r="E82" s="1" t="n">
        <v>46237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46237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44571</v>
      </c>
      <c r="E84" s="1" t="n">
        <v>46237</v>
      </c>
      <c r="F84" t="inlineStr">
        <is>
          <t>VÄSTMANLANDS LÄN</t>
        </is>
      </c>
      <c r="G84" t="inlineStr">
        <is>
          <t>VÄSTERÅS</t>
        </is>
      </c>
      <c r="I84" t="n">
        <v>11.3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44608</v>
      </c>
      <c r="E85" s="1" t="n">
        <v>46237</v>
      </c>
      <c r="F85" t="inlineStr">
        <is>
          <t>VÄSTMANLANDS LÄN</t>
        </is>
      </c>
      <c r="G85" t="inlineStr">
        <is>
          <t>VÄSTERÅS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44676</v>
      </c>
      <c r="E86" s="1" t="n">
        <v>46237</v>
      </c>
      <c r="F86" t="inlineStr">
        <is>
          <t>VÄSTMANLANDS LÄN</t>
        </is>
      </c>
      <c r="G86" t="inlineStr">
        <is>
          <t>VÄSTERÅS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44662</v>
      </c>
      <c r="E87" s="1" t="n">
        <v>46237</v>
      </c>
      <c r="F87" t="inlineStr">
        <is>
          <t>VÄSTMANLANDS LÄN</t>
        </is>
      </c>
      <c r="G87" t="inlineStr">
        <is>
          <t>VÄSTERÅS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44413</v>
      </c>
      <c r="E88" s="1" t="n">
        <v>46237</v>
      </c>
      <c r="F88" t="inlineStr">
        <is>
          <t>VÄSTMANLANDS LÄN</t>
        </is>
      </c>
      <c r="G88" t="inlineStr">
        <is>
          <t>VÄSTERÅS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46237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56980-2021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46237</v>
      </c>
      <c r="F90" t="inlineStr">
        <is>
          <t>VÄSTMANLANDS LÄN</t>
        </is>
      </c>
      <c r="G90" t="inlineStr">
        <is>
          <t>VÄSTERÅS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44657</v>
      </c>
      <c r="E91" s="1" t="n">
        <v>46237</v>
      </c>
      <c r="F91" t="inlineStr">
        <is>
          <t>VÄSTMANLANDS LÄN</t>
        </is>
      </c>
      <c r="G91" t="inlineStr">
        <is>
          <t>VÄSTERÅS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46237</v>
      </c>
      <c r="F92" t="inlineStr">
        <is>
          <t>VÄSTMANLANDS LÄN</t>
        </is>
      </c>
      <c r="G92" t="inlineStr">
        <is>
          <t>VÄSTERÅS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44699</v>
      </c>
      <c r="E93" s="1" t="n">
        <v>46237</v>
      </c>
      <c r="F93" t="inlineStr">
        <is>
          <t>VÄSTMANLANDS LÄN</t>
        </is>
      </c>
      <c r="G93" t="inlineStr">
        <is>
          <t>VÄSTERÅS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22602-2022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46237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45019</v>
      </c>
      <c r="E95" s="1" t="n">
        <v>46237</v>
      </c>
      <c r="F95" t="inlineStr">
        <is>
          <t>VÄSTMANLANDS LÄN</t>
        </is>
      </c>
      <c r="G95" t="inlineStr">
        <is>
          <t>VÄSTERÅS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44908</v>
      </c>
      <c r="E96" s="1" t="n">
        <v>46237</v>
      </c>
      <c r="F96" t="inlineStr">
        <is>
          <t>VÄSTMANLANDS LÄN</t>
        </is>
      </c>
      <c r="G96" t="inlineStr">
        <is>
          <t>VÄSTERÅS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64208-2023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45279</v>
      </c>
      <c r="E97" s="1" t="n">
        <v>46237</v>
      </c>
      <c r="F97" t="inlineStr">
        <is>
          <t>VÄSTMANLANDS LÄN</t>
        </is>
      </c>
      <c r="G97" t="inlineStr">
        <is>
          <t>VÄSTERÅS</t>
        </is>
      </c>
      <c r="I97" t="n">
        <v>13.9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10499-2022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44623</v>
      </c>
      <c r="E98" s="1" t="n">
        <v>46237</v>
      </c>
      <c r="F98" t="inlineStr">
        <is>
          <t>VÄSTMANLANDS LÄN</t>
        </is>
      </c>
      <c r="G98" t="inlineStr">
        <is>
          <t>VÄSTERÅS</t>
        </is>
      </c>
      <c r="H98" t="inlineStr">
        <is>
          <t>Sveaskog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18482-2023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45042</v>
      </c>
      <c r="E99" s="1" t="n">
        <v>46237</v>
      </c>
      <c r="F99" t="inlineStr">
        <is>
          <t>VÄSTMANLANDS LÄN</t>
        </is>
      </c>
      <c r="G99" t="inlineStr">
        <is>
          <t>VÄSTERÅS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55676-2023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45232</v>
      </c>
      <c r="E100" s="1" t="n">
        <v>46237</v>
      </c>
      <c r="F100" t="inlineStr">
        <is>
          <t>VÄSTMANLANDS LÄN</t>
        </is>
      </c>
      <c r="G100" t="inlineStr">
        <is>
          <t>VÄSTERÅS</t>
        </is>
      </c>
      <c r="H100" t="inlineStr">
        <is>
          <t>Övriga Aktiebolag</t>
        </is>
      </c>
      <c r="I100" t="n">
        <v>37.9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44761</v>
      </c>
      <c r="E101" s="1" t="n">
        <v>46237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Sveaskog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29746-2022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44755</v>
      </c>
      <c r="E102" s="1" t="n">
        <v>46237</v>
      </c>
      <c r="F102" t="inlineStr">
        <is>
          <t>VÄSTMANLANDS LÄN</t>
        </is>
      </c>
      <c r="G102" t="inlineStr">
        <is>
          <t>VÄSTERÅS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34073-2022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44791</v>
      </c>
      <c r="E103" s="1" t="n">
        <v>46237</v>
      </c>
      <c r="F103" t="inlineStr">
        <is>
          <t>VÄSTMANLANDS LÄN</t>
        </is>
      </c>
      <c r="G103" t="inlineStr">
        <is>
          <t>VÄSTERÅS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46237</v>
      </c>
      <c r="F104" t="inlineStr">
        <is>
          <t>VÄSTMANLANDS LÄN</t>
        </is>
      </c>
      <c r="G104" t="inlineStr">
        <is>
          <t>VÄSTERÅS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11137-2023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44987</v>
      </c>
      <c r="E105" s="1" t="n">
        <v>46237</v>
      </c>
      <c r="F105" t="inlineStr">
        <is>
          <t>VÄSTMANLANDS LÄN</t>
        </is>
      </c>
      <c r="G105" t="inlineStr">
        <is>
          <t>VÄSTERÅS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15348-2023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45019</v>
      </c>
      <c r="E106" s="1" t="n">
        <v>46237</v>
      </c>
      <c r="F106" t="inlineStr">
        <is>
          <t>VÄSTMANLANDS LÄN</t>
        </is>
      </c>
      <c r="G106" t="inlineStr">
        <is>
          <t>VÄSTERÅS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46237</v>
      </c>
      <c r="F107" t="inlineStr">
        <is>
          <t>VÄSTMANLANDS LÄN</t>
        </is>
      </c>
      <c r="G107" t="inlineStr">
        <is>
          <t>VÄSTERÅS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52764-2022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44875</v>
      </c>
      <c r="E108" s="1" t="n">
        <v>46237</v>
      </c>
      <c r="F108" t="inlineStr">
        <is>
          <t>VÄSTMANLANDS LÄN</t>
        </is>
      </c>
      <c r="G108" t="inlineStr">
        <is>
          <t>VÄSTERÅS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67353-2021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44523</v>
      </c>
      <c r="E109" s="1" t="n">
        <v>46237</v>
      </c>
      <c r="F109" t="inlineStr">
        <is>
          <t>VÄSTMANLANDS LÄN</t>
        </is>
      </c>
      <c r="G109" t="inlineStr">
        <is>
          <t>VÄSTERÅS</t>
        </is>
      </c>
      <c r="H109" t="inlineStr">
        <is>
          <t>Övriga Aktiebolag</t>
        </is>
      </c>
      <c r="I109" t="n">
        <v>7.6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70642-2021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44537</v>
      </c>
      <c r="E110" s="1" t="n">
        <v>46237</v>
      </c>
      <c r="F110" t="inlineStr">
        <is>
          <t>VÄSTMANLANDS LÄN</t>
        </is>
      </c>
      <c r="G110" t="inlineStr">
        <is>
          <t>VÄSTERÅS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21926-2024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45443</v>
      </c>
      <c r="E111" s="1" t="n">
        <v>46237</v>
      </c>
      <c r="F111" t="inlineStr">
        <is>
          <t>VÄSTMANLANDS LÄN</t>
        </is>
      </c>
      <c r="G111" t="inlineStr">
        <is>
          <t>VÄSTERÅS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51219-2023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45219</v>
      </c>
      <c r="E112" s="1" t="n">
        <v>46237</v>
      </c>
      <c r="F112" t="inlineStr">
        <is>
          <t>VÄSTMANLANDS LÄN</t>
        </is>
      </c>
      <c r="G112" t="inlineStr">
        <is>
          <t>VÄSTERÅS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22832-2023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45072</v>
      </c>
      <c r="E113" s="1" t="n">
        <v>46237</v>
      </c>
      <c r="F113" t="inlineStr">
        <is>
          <t>VÄSTMANLANDS LÄN</t>
        </is>
      </c>
      <c r="G113" t="inlineStr">
        <is>
          <t>VÄSTERÅS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18457-2023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45042</v>
      </c>
      <c r="E114" s="1" t="n">
        <v>46237</v>
      </c>
      <c r="F114" t="inlineStr">
        <is>
          <t>VÄSTMANLANDS LÄN</t>
        </is>
      </c>
      <c r="G114" t="inlineStr">
        <is>
          <t>VÄSTERÅS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39817-2024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45553</v>
      </c>
      <c r="E115" s="1" t="n">
        <v>46237</v>
      </c>
      <c r="F115" t="inlineStr">
        <is>
          <t>VÄSTMANLANDS LÄN</t>
        </is>
      </c>
      <c r="G115" t="inlineStr">
        <is>
          <t>VÄSTERÅS</t>
        </is>
      </c>
      <c r="H115" t="inlineStr">
        <is>
          <t>Kyrkan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41114-2022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44825</v>
      </c>
      <c r="E116" s="1" t="n">
        <v>46237</v>
      </c>
      <c r="F116" t="inlineStr">
        <is>
          <t>VÄSTMANLANDS LÄN</t>
        </is>
      </c>
      <c r="G116" t="inlineStr">
        <is>
          <t>VÄSTERÅS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34461-2022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44792</v>
      </c>
      <c r="E117" s="1" t="n">
        <v>46237</v>
      </c>
      <c r="F117" t="inlineStr">
        <is>
          <t>VÄSTMANLANDS LÄN</t>
        </is>
      </c>
      <c r="G117" t="inlineStr">
        <is>
          <t>VÄSTERÅS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11691-2023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44994</v>
      </c>
      <c r="E118" s="1" t="n">
        <v>46237</v>
      </c>
      <c r="F118" t="inlineStr">
        <is>
          <t>VÄSTMANLANDS LÄN</t>
        </is>
      </c>
      <c r="G118" t="inlineStr">
        <is>
          <t>VÄSTERÅS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45579</v>
      </c>
      <c r="E119" s="1" t="n">
        <v>46237</v>
      </c>
      <c r="F119" t="inlineStr">
        <is>
          <t>VÄSTMANLANDS LÄN</t>
        </is>
      </c>
      <c r="G119" t="inlineStr">
        <is>
          <t>VÄSTERÅS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57873-2022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44899</v>
      </c>
      <c r="E120" s="1" t="n">
        <v>46237</v>
      </c>
      <c r="F120" t="inlineStr">
        <is>
          <t>VÄSTMANLANDS LÄN</t>
        </is>
      </c>
      <c r="G120" t="inlineStr">
        <is>
          <t>VÄSTERÅS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17258-2024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45414</v>
      </c>
      <c r="E121" s="1" t="n">
        <v>46237</v>
      </c>
      <c r="F121" t="inlineStr">
        <is>
          <t>VÄSTMANLANDS LÄN</t>
        </is>
      </c>
      <c r="G121" t="inlineStr">
        <is>
          <t>VÄSTERÅS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10546-2024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45366</v>
      </c>
      <c r="E122" s="1" t="n">
        <v>46237</v>
      </c>
      <c r="F122" t="inlineStr">
        <is>
          <t>VÄSTMANLANDS LÄN</t>
        </is>
      </c>
      <c r="G122" t="inlineStr">
        <is>
          <t>VÄSTERÅS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6277-2022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44600</v>
      </c>
      <c r="E123" s="1" t="n">
        <v>46237</v>
      </c>
      <c r="F123" t="inlineStr">
        <is>
          <t>VÄSTMANLANDS LÄN</t>
        </is>
      </c>
      <c r="G123" t="inlineStr">
        <is>
          <t>VÄSTERÅS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45453</v>
      </c>
      <c r="E124" s="1" t="n">
        <v>46237</v>
      </c>
      <c r="F124" t="inlineStr">
        <is>
          <t>VÄSTMANLANDS LÄN</t>
        </is>
      </c>
      <c r="G124" t="inlineStr">
        <is>
          <t>VÄSTERÅS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15273-2024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45400</v>
      </c>
      <c r="E125" s="1" t="n">
        <v>46237</v>
      </c>
      <c r="F125" t="inlineStr">
        <is>
          <t>VÄSTMANLANDS LÄN</t>
        </is>
      </c>
      <c r="G125" t="inlineStr">
        <is>
          <t>VÄSTERÅS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24121-2024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45456</v>
      </c>
      <c r="E126" s="1" t="n">
        <v>46237</v>
      </c>
      <c r="F126" t="inlineStr">
        <is>
          <t>VÄSTMANLANDS LÄN</t>
        </is>
      </c>
      <c r="G126" t="inlineStr">
        <is>
          <t>VÄSTERÅS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60797-2022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44914</v>
      </c>
      <c r="E127" s="1" t="n">
        <v>46237</v>
      </c>
      <c r="F127" t="inlineStr">
        <is>
          <t>VÄSTMANLANDS LÄN</t>
        </is>
      </c>
      <c r="G127" t="inlineStr">
        <is>
          <t>VÄSTERÅS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45296</v>
      </c>
      <c r="E128" s="1" t="n">
        <v>46237</v>
      </c>
      <c r="F128" t="inlineStr">
        <is>
          <t>VÄSTMANLANDS LÄN</t>
        </is>
      </c>
      <c r="G128" t="inlineStr">
        <is>
          <t>VÄSTERÅS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32341-2023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46237</v>
      </c>
      <c r="F129" t="inlineStr">
        <is>
          <t>VÄSTMANLANDS LÄN</t>
        </is>
      </c>
      <c r="G129" t="inlineStr">
        <is>
          <t>VÄSTERÅS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1700-2023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44936</v>
      </c>
      <c r="E130" s="1" t="n">
        <v>46237</v>
      </c>
      <c r="F130" t="inlineStr">
        <is>
          <t>VÄSTMANLANDS LÄN</t>
        </is>
      </c>
      <c r="G130" t="inlineStr">
        <is>
          <t>VÄSTERÅS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51951-2023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45223</v>
      </c>
      <c r="E131" s="1" t="n">
        <v>46237</v>
      </c>
      <c r="F131" t="inlineStr">
        <is>
          <t>VÄSTMANLANDS LÄN</t>
        </is>
      </c>
      <c r="G131" t="inlineStr">
        <is>
          <t>VÄSTERÅS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39127-2022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44816</v>
      </c>
      <c r="E132" s="1" t="n">
        <v>46237</v>
      </c>
      <c r="F132" t="inlineStr">
        <is>
          <t>VÄSTMANLANDS LÄN</t>
        </is>
      </c>
      <c r="G132" t="inlineStr">
        <is>
          <t>VÄSTERÅS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51004-2024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45603</v>
      </c>
      <c r="E133" s="1" t="n">
        <v>46237</v>
      </c>
      <c r="F133" t="inlineStr">
        <is>
          <t>VÄSTMANLANDS LÄN</t>
        </is>
      </c>
      <c r="G133" t="inlineStr">
        <is>
          <t>VÄSTERÅS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38822-2025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46237</v>
      </c>
      <c r="F134" t="inlineStr">
        <is>
          <t>VÄSTMANLANDS LÄN</t>
        </is>
      </c>
      <c r="G134" t="inlineStr">
        <is>
          <t>VÄSTERÅS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10225-2023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44986</v>
      </c>
      <c r="E135" s="1" t="n">
        <v>46237</v>
      </c>
      <c r="F135" t="inlineStr">
        <is>
          <t>VÄSTMANLANDS LÄN</t>
        </is>
      </c>
      <c r="G135" t="inlineStr">
        <is>
          <t>VÄSTERÅS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49232-2024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45595</v>
      </c>
      <c r="E136" s="1" t="n">
        <v>46237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Övriga Aktiebolag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46237</v>
      </c>
      <c r="F137" t="inlineStr">
        <is>
          <t>VÄSTMANLANDS LÄN</t>
        </is>
      </c>
      <c r="G137" t="inlineStr">
        <is>
          <t>VÄSTERÅS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12143-2022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44636</v>
      </c>
      <c r="E138" s="1" t="n">
        <v>46237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Kommuner</t>
        </is>
      </c>
      <c r="I138" t="n">
        <v>12.9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12148-2022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44636</v>
      </c>
      <c r="E139" s="1" t="n">
        <v>46237</v>
      </c>
      <c r="F139" t="inlineStr">
        <is>
          <t>VÄSTMANLANDS LÄN</t>
        </is>
      </c>
      <c r="G139" t="inlineStr">
        <is>
          <t>VÄSTERÅS</t>
        </is>
      </c>
      <c r="H139" t="inlineStr">
        <is>
          <t>Kommuner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46156-2022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44847</v>
      </c>
      <c r="E140" s="1" t="n">
        <v>46237</v>
      </c>
      <c r="F140" t="inlineStr">
        <is>
          <t>VÄSTMANLANDS LÄN</t>
        </is>
      </c>
      <c r="G140" t="inlineStr">
        <is>
          <t>VÄSTERÅS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44903</v>
      </c>
      <c r="E141" s="1" t="n">
        <v>46237</v>
      </c>
      <c r="F141" t="inlineStr">
        <is>
          <t>VÄSTMANLANDS LÄN</t>
        </is>
      </c>
      <c r="G141" t="inlineStr">
        <is>
          <t>VÄSTERÅS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24572-2023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45083</v>
      </c>
      <c r="E142" s="1" t="n">
        <v>46237</v>
      </c>
      <c r="F142" t="inlineStr">
        <is>
          <t>VÄSTMANLANDS LÄN</t>
        </is>
      </c>
      <c r="G142" t="inlineStr">
        <is>
          <t>VÄSTERÅS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61249-2021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44498</v>
      </c>
      <c r="E143" s="1" t="n">
        <v>46237</v>
      </c>
      <c r="F143" t="inlineStr">
        <is>
          <t>VÄSTMANLANDS LÄN</t>
        </is>
      </c>
      <c r="G143" t="inlineStr">
        <is>
          <t>VÄSTERÅS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42894-2025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45908</v>
      </c>
      <c r="E144" s="1" t="n">
        <v>46237</v>
      </c>
      <c r="F144" t="inlineStr">
        <is>
          <t>VÄSTMANLANDS LÄN</t>
        </is>
      </c>
      <c r="G144" t="inlineStr">
        <is>
          <t>VÄSTERÅS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42899-2025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45908</v>
      </c>
      <c r="E145" s="1" t="n">
        <v>46237</v>
      </c>
      <c r="F145" t="inlineStr">
        <is>
          <t>VÄSTMANLANDS LÄN</t>
        </is>
      </c>
      <c r="G145" t="inlineStr">
        <is>
          <t>VÄSTERÅS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42659-2021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44428</v>
      </c>
      <c r="E146" s="1" t="n">
        <v>46237</v>
      </c>
      <c r="F146" t="inlineStr">
        <is>
          <t>VÄSTMANLANDS LÄN</t>
        </is>
      </c>
      <c r="G146" t="inlineStr">
        <is>
          <t>VÄSTERÅS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17808-2023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45037</v>
      </c>
      <c r="E147" s="1" t="n">
        <v>46237</v>
      </c>
      <c r="F147" t="inlineStr">
        <is>
          <t>VÄSTMANLANDS LÄN</t>
        </is>
      </c>
      <c r="G147" t="inlineStr">
        <is>
          <t>VÄSTERÅS</t>
        </is>
      </c>
      <c r="H147" t="inlineStr">
        <is>
          <t>Sveaskog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42898-2025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45908</v>
      </c>
      <c r="E148" s="1" t="n">
        <v>46237</v>
      </c>
      <c r="F148" t="inlineStr">
        <is>
          <t>VÄSTMANLANDS LÄN</t>
        </is>
      </c>
      <c r="G148" t="inlineStr">
        <is>
          <t>VÄSTERÅS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44999</v>
      </c>
      <c r="E149" s="1" t="n">
        <v>46237</v>
      </c>
      <c r="F149" t="inlineStr">
        <is>
          <t>VÄSTMANLANDS LÄN</t>
        </is>
      </c>
      <c r="G149" t="inlineStr">
        <is>
          <t>VÄSTERÅS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44977</v>
      </c>
      <c r="E150" s="1" t="n">
        <v>46237</v>
      </c>
      <c r="F150" t="inlineStr">
        <is>
          <t>VÄSTMANLANDS LÄN</t>
        </is>
      </c>
      <c r="G150" t="inlineStr">
        <is>
          <t>VÄSTERÅS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22978-2022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44717</v>
      </c>
      <c r="E151" s="1" t="n">
        <v>46237</v>
      </c>
      <c r="F151" t="inlineStr">
        <is>
          <t>VÄSTMANLANDS LÄN</t>
        </is>
      </c>
      <c r="G151" t="inlineStr">
        <is>
          <t>VÄSTERÅS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15622-2022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44662</v>
      </c>
      <c r="E152" s="1" t="n">
        <v>46237</v>
      </c>
      <c r="F152" t="inlineStr">
        <is>
          <t>VÄSTMANLANDS LÄN</t>
        </is>
      </c>
      <c r="G152" t="inlineStr">
        <is>
          <t>VÄSTERÅS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8727-2023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44978</v>
      </c>
      <c r="E153" s="1" t="n">
        <v>46237</v>
      </c>
      <c r="F153" t="inlineStr">
        <is>
          <t>VÄSTMANLANDS LÄN</t>
        </is>
      </c>
      <c r="G153" t="inlineStr">
        <is>
          <t>VÄSTERÅS</t>
        </is>
      </c>
      <c r="H153" t="inlineStr">
        <is>
          <t>Kyrkan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46799-2025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46237</v>
      </c>
      <c r="F154" t="inlineStr">
        <is>
          <t>VÄSTMANLANDS LÄN</t>
        </is>
      </c>
      <c r="G154" t="inlineStr">
        <is>
          <t>VÄSTERÅS</t>
        </is>
      </c>
      <c r="H154" t="inlineStr">
        <is>
          <t>Övriga statliga verk och myndigheter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63851-2021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44509</v>
      </c>
      <c r="E155" s="1" t="n">
        <v>46237</v>
      </c>
      <c r="F155" t="inlineStr">
        <is>
          <t>VÄSTMANLANDS LÄN</t>
        </is>
      </c>
      <c r="G155" t="inlineStr">
        <is>
          <t>VÄSTERÅS</t>
        </is>
      </c>
      <c r="I155" t="n">
        <v>11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59740-2024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45639</v>
      </c>
      <c r="E156" s="1" t="n">
        <v>46237</v>
      </c>
      <c r="F156" t="inlineStr">
        <is>
          <t>VÄSTMANLANDS LÄN</t>
        </is>
      </c>
      <c r="G156" t="inlineStr">
        <is>
          <t>VÄSTERÅS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5123-2023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44958</v>
      </c>
      <c r="E157" s="1" t="n">
        <v>46237</v>
      </c>
      <c r="F157" t="inlineStr">
        <is>
          <t>VÄSTMANLANDS LÄN</t>
        </is>
      </c>
      <c r="G157" t="inlineStr">
        <is>
          <t>VÄSTERÅS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45628</v>
      </c>
      <c r="E158" s="1" t="n">
        <v>46237</v>
      </c>
      <c r="F158" t="inlineStr">
        <is>
          <t>VÄSTMANLANDS LÄN</t>
        </is>
      </c>
      <c r="G158" t="inlineStr">
        <is>
          <t>VÄSTERÅS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49240-2025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45938</v>
      </c>
      <c r="E159" s="1" t="n">
        <v>46237</v>
      </c>
      <c r="F159" t="inlineStr">
        <is>
          <t>VÄSTMANLANDS LÄN</t>
        </is>
      </c>
      <c r="G159" t="inlineStr">
        <is>
          <t>VÄSTERÅS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16035-2023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45027</v>
      </c>
      <c r="E160" s="1" t="n">
        <v>46237</v>
      </c>
      <c r="F160" t="inlineStr">
        <is>
          <t>VÄSTMANLANDS LÄN</t>
        </is>
      </c>
      <c r="G160" t="inlineStr">
        <is>
          <t>VÄSTERÅS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16037-2023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45027</v>
      </c>
      <c r="E161" s="1" t="n">
        <v>46237</v>
      </c>
      <c r="F161" t="inlineStr">
        <is>
          <t>VÄSTMANLANDS LÄN</t>
        </is>
      </c>
      <c r="G161" t="inlineStr">
        <is>
          <t>VÄSTERÅS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41219-2022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44826</v>
      </c>
      <c r="E162" s="1" t="n">
        <v>46237</v>
      </c>
      <c r="F162" t="inlineStr">
        <is>
          <t>VÄSTMANLANDS LÄN</t>
        </is>
      </c>
      <c r="G162" t="inlineStr">
        <is>
          <t>VÄSTERÅS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22287-2026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46154</v>
      </c>
      <c r="E163" s="1" t="n">
        <v>46237</v>
      </c>
      <c r="F163" t="inlineStr">
        <is>
          <t>VÄSTMANLANDS LÄN</t>
        </is>
      </c>
      <c r="G163" t="inlineStr">
        <is>
          <t>VÄSTERÅS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50564-2025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46237</v>
      </c>
      <c r="F164" t="inlineStr">
        <is>
          <t>VÄSTMANLANDS LÄN</t>
        </is>
      </c>
      <c r="G164" t="inlineStr">
        <is>
          <t>VÄSTERÅS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12649-2023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44999</v>
      </c>
      <c r="E165" s="1" t="n">
        <v>46237</v>
      </c>
      <c r="F165" t="inlineStr">
        <is>
          <t>VÄSTMANLANDS LÄN</t>
        </is>
      </c>
      <c r="G165" t="inlineStr">
        <is>
          <t>VÄSTERÅS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50565-2025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46237</v>
      </c>
      <c r="F166" t="inlineStr">
        <is>
          <t>VÄSTMANLANDS LÄN</t>
        </is>
      </c>
      <c r="G166" t="inlineStr">
        <is>
          <t>VÄSTERÅS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28126-2026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46195</v>
      </c>
      <c r="E167" s="1" t="n">
        <v>46237</v>
      </c>
      <c r="F167" t="inlineStr">
        <is>
          <t>VÄSTMANLANDS LÄN</t>
        </is>
      </c>
      <c r="G167" t="inlineStr">
        <is>
          <t>VÄSTERÅS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45947</v>
      </c>
      <c r="E168" s="1" t="n">
        <v>46237</v>
      </c>
      <c r="F168" t="inlineStr">
        <is>
          <t>VÄSTMANLANDS LÄN</t>
        </is>
      </c>
      <c r="G168" t="inlineStr">
        <is>
          <t>VÄSTERÅS</t>
        </is>
      </c>
      <c r="H168" t="inlineStr">
        <is>
          <t>Övriga statliga verk och myndigheter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22291-2026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46154</v>
      </c>
      <c r="E169" s="1" t="n">
        <v>46237</v>
      </c>
      <c r="F169" t="inlineStr">
        <is>
          <t>VÄSTMANLANDS LÄN</t>
        </is>
      </c>
      <c r="G169" t="inlineStr">
        <is>
          <t>VÄSTERÅS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22294-2026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46154</v>
      </c>
      <c r="E170" s="1" t="n">
        <v>46237</v>
      </c>
      <c r="F170" t="inlineStr">
        <is>
          <t>VÄSTMANLANDS LÄN</t>
        </is>
      </c>
      <c r="G170" t="inlineStr">
        <is>
          <t>VÄSTERÅS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52263-2025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46237</v>
      </c>
      <c r="F171" t="inlineStr">
        <is>
          <t>VÄSTMANLANDS LÄN</t>
        </is>
      </c>
      <c r="G171" t="inlineStr">
        <is>
          <t>VÄSTERÅS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46237</v>
      </c>
      <c r="F172" t="inlineStr">
        <is>
          <t>VÄSTMANLANDS LÄN</t>
        </is>
      </c>
      <c r="G172" t="inlineStr">
        <is>
          <t>VÄSTERÅS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52270-2025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45953</v>
      </c>
      <c r="E173" s="1" t="n">
        <v>46237</v>
      </c>
      <c r="F173" t="inlineStr">
        <is>
          <t>VÄSTMANLANDS LÄN</t>
        </is>
      </c>
      <c r="G173" t="inlineStr">
        <is>
          <t>VÄSTERÅS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52015-2024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45607</v>
      </c>
      <c r="E174" s="1" t="n">
        <v>46237</v>
      </c>
      <c r="F174" t="inlineStr">
        <is>
          <t>VÄSTMANLANDS LÄN</t>
        </is>
      </c>
      <c r="G174" t="inlineStr">
        <is>
          <t>VÄSTERÅS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22370-2026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46154</v>
      </c>
      <c r="E175" s="1" t="n">
        <v>46237</v>
      </c>
      <c r="F175" t="inlineStr">
        <is>
          <t>VÄSTMANLANDS LÄN</t>
        </is>
      </c>
      <c r="G175" t="inlineStr">
        <is>
          <t>VÄSTERÅS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3118-2022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44582</v>
      </c>
      <c r="E176" s="1" t="n">
        <v>46237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Övriga Aktiebolag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15329-2023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45019</v>
      </c>
      <c r="E177" s="1" t="n">
        <v>46237</v>
      </c>
      <c r="F177" t="inlineStr">
        <is>
          <t>VÄSTMANLANDS LÄN</t>
        </is>
      </c>
      <c r="G177" t="inlineStr">
        <is>
          <t>VÄSTERÅS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22293-2026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46154</v>
      </c>
      <c r="E178" s="1" t="n">
        <v>46237</v>
      </c>
      <c r="F178" t="inlineStr">
        <is>
          <t>VÄSTMANLANDS LÄN</t>
        </is>
      </c>
      <c r="G178" t="inlineStr">
        <is>
          <t>VÄSTERÅS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28341-2026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46196</v>
      </c>
      <c r="E179" s="1" t="n">
        <v>46237</v>
      </c>
      <c r="F179" t="inlineStr">
        <is>
          <t>VÄSTMANLANDS LÄN</t>
        </is>
      </c>
      <c r="G179" t="inlineStr">
        <is>
          <t>VÄSTERÅS</t>
        </is>
      </c>
      <c r="I179" t="n">
        <v>14.1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58577-2023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45251</v>
      </c>
      <c r="E180" s="1" t="n">
        <v>46237</v>
      </c>
      <c r="F180" t="inlineStr">
        <is>
          <t>VÄSTMANLANDS LÄN</t>
        </is>
      </c>
      <c r="G180" t="inlineStr">
        <is>
          <t>VÄSTERÅS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7437-2025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45705</v>
      </c>
      <c r="E181" s="1" t="n">
        <v>46237</v>
      </c>
      <c r="F181" t="inlineStr">
        <is>
          <t>VÄSTMANLANDS LÄN</t>
        </is>
      </c>
      <c r="G181" t="inlineStr">
        <is>
          <t>VÄSTERÅS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45973</v>
      </c>
      <c r="E182" s="1" t="n">
        <v>46237</v>
      </c>
      <c r="F182" t="inlineStr">
        <is>
          <t>VÄSTMANLANDS LÄN</t>
        </is>
      </c>
      <c r="G182" t="inlineStr">
        <is>
          <t>VÄSTERÅS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56016-2025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45973</v>
      </c>
      <c r="E183" s="1" t="n">
        <v>46237</v>
      </c>
      <c r="F183" t="inlineStr">
        <is>
          <t>VÄSTMANLANDS LÄN</t>
        </is>
      </c>
      <c r="G183" t="inlineStr">
        <is>
          <t>VÄSTERÅS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18119-2025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45761</v>
      </c>
      <c r="E184" s="1" t="n">
        <v>46237</v>
      </c>
      <c r="F184" t="inlineStr">
        <is>
          <t>VÄSTMANLANDS LÄN</t>
        </is>
      </c>
      <c r="G184" t="inlineStr">
        <is>
          <t>VÄSTERÅS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44695-2022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44840</v>
      </c>
      <c r="E185" s="1" t="n">
        <v>46237</v>
      </c>
      <c r="F185" t="inlineStr">
        <is>
          <t>VÄSTMANLANDS LÄN</t>
        </is>
      </c>
      <c r="G185" t="inlineStr">
        <is>
          <t>VÄSTERÅS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23347-2026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46162</v>
      </c>
      <c r="E186" s="1" t="n">
        <v>46237</v>
      </c>
      <c r="F186" t="inlineStr">
        <is>
          <t>VÄSTMANLANDS LÄN</t>
        </is>
      </c>
      <c r="G186" t="inlineStr">
        <is>
          <t>VÄSTERÅS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57114-2025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45979</v>
      </c>
      <c r="E187" s="1" t="n">
        <v>46237</v>
      </c>
      <c r="F187" t="inlineStr">
        <is>
          <t>VÄSTMANLANDS LÄN</t>
        </is>
      </c>
      <c r="G187" t="inlineStr">
        <is>
          <t>VÄSTERÅS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57102-2025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45979</v>
      </c>
      <c r="E188" s="1" t="n">
        <v>46237</v>
      </c>
      <c r="F188" t="inlineStr">
        <is>
          <t>VÄSTMANLANDS LÄN</t>
        </is>
      </c>
      <c r="G188" t="inlineStr">
        <is>
          <t>VÄSTERÅS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45077</v>
      </c>
      <c r="E189" s="1" t="n">
        <v>46237</v>
      </c>
      <c r="F189" t="inlineStr">
        <is>
          <t>VÄSTMANLANDS LÄN</t>
        </is>
      </c>
      <c r="G189" t="inlineStr">
        <is>
          <t>VÄSTERÅS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15316-2022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44659</v>
      </c>
      <c r="E190" s="1" t="n">
        <v>46237</v>
      </c>
      <c r="F190" t="inlineStr">
        <is>
          <t>VÄSTMANLANDS LÄN</t>
        </is>
      </c>
      <c r="G190" t="inlineStr">
        <is>
          <t>VÄSTERÅS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13388-2025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45735</v>
      </c>
      <c r="E191" s="1" t="n">
        <v>46237</v>
      </c>
      <c r="F191" t="inlineStr">
        <is>
          <t>VÄSTMANLANDS LÄN</t>
        </is>
      </c>
      <c r="G191" t="inlineStr">
        <is>
          <t>VÄSTERÅS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23497-2026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46163</v>
      </c>
      <c r="E192" s="1" t="n">
        <v>46237</v>
      </c>
      <c r="F192" t="inlineStr">
        <is>
          <t>VÄSTMANLANDS LÄN</t>
        </is>
      </c>
      <c r="G192" t="inlineStr">
        <is>
          <t>VÄSTERÅS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59142-2025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45988</v>
      </c>
      <c r="E193" s="1" t="n">
        <v>46237</v>
      </c>
      <c r="F193" t="inlineStr">
        <is>
          <t>VÄSTMANLANDS LÄN</t>
        </is>
      </c>
      <c r="G193" t="inlineStr">
        <is>
          <t>VÄSTERÅS</t>
        </is>
      </c>
      <c r="H193" t="inlineStr">
        <is>
          <t>Sveaskog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64714-2023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45281</v>
      </c>
      <c r="E194" s="1" t="n">
        <v>46237</v>
      </c>
      <c r="F194" t="inlineStr">
        <is>
          <t>VÄSTMANLANDS LÄN</t>
        </is>
      </c>
      <c r="G194" t="inlineStr">
        <is>
          <t>VÄSTERÅS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1652-2022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44574</v>
      </c>
      <c r="E195" s="1" t="n">
        <v>46237</v>
      </c>
      <c r="F195" t="inlineStr">
        <is>
          <t>VÄSTMANLANDS LÄN</t>
        </is>
      </c>
      <c r="G195" t="inlineStr">
        <is>
          <t>VÄSTERÅS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56532-2022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44893</v>
      </c>
      <c r="E196" s="1" t="n">
        <v>46237</v>
      </c>
      <c r="F196" t="inlineStr">
        <is>
          <t>VÄSTMANLANDS LÄN</t>
        </is>
      </c>
      <c r="G196" t="inlineStr">
        <is>
          <t>VÄSTERÅS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52396-2022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44874</v>
      </c>
      <c r="E197" s="1" t="n">
        <v>46237</v>
      </c>
      <c r="F197" t="inlineStr">
        <is>
          <t>VÄSTMANLANDS LÄN</t>
        </is>
      </c>
      <c r="G197" t="inlineStr">
        <is>
          <t>VÄSTERÅS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51933-2023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45223</v>
      </c>
      <c r="E198" s="1" t="n">
        <v>46237</v>
      </c>
      <c r="F198" t="inlineStr">
        <is>
          <t>VÄSTMANLANDS LÄN</t>
        </is>
      </c>
      <c r="G198" t="inlineStr">
        <is>
          <t>VÄSTERÅS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58085-2022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44900</v>
      </c>
      <c r="E199" s="1" t="n">
        <v>46237</v>
      </c>
      <c r="F199" t="inlineStr">
        <is>
          <t>VÄSTMANLANDS LÄN</t>
        </is>
      </c>
      <c r="G199" t="inlineStr">
        <is>
          <t>VÄSTERÅS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30096-2023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45110</v>
      </c>
      <c r="E200" s="1" t="n">
        <v>46237</v>
      </c>
      <c r="F200" t="inlineStr">
        <is>
          <t>VÄSTMANLANDS LÄN</t>
        </is>
      </c>
      <c r="G200" t="inlineStr">
        <is>
          <t>VÄSTERÅS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64207-2023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45279</v>
      </c>
      <c r="E201" s="1" t="n">
        <v>46237</v>
      </c>
      <c r="F201" t="inlineStr">
        <is>
          <t>VÄSTMANLANDS LÄN</t>
        </is>
      </c>
      <c r="G201" t="inlineStr">
        <is>
          <t>VÄSTERÅS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51572-2023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45222</v>
      </c>
      <c r="E202" s="1" t="n">
        <v>46237</v>
      </c>
      <c r="F202" t="inlineStr">
        <is>
          <t>VÄSTMANLANDS LÄN</t>
        </is>
      </c>
      <c r="G202" t="inlineStr">
        <is>
          <t>VÄSTERÅS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45761</v>
      </c>
      <c r="E203" s="1" t="n">
        <v>46237</v>
      </c>
      <c r="F203" t="inlineStr">
        <is>
          <t>VÄSTMANLANDS LÄN</t>
        </is>
      </c>
      <c r="G203" t="inlineStr">
        <is>
          <t>VÄSTERÅS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24262-2026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46169</v>
      </c>
      <c r="E204" s="1" t="n">
        <v>46237</v>
      </c>
      <c r="F204" t="inlineStr">
        <is>
          <t>VÄSTMANLANDS LÄN</t>
        </is>
      </c>
      <c r="G204" t="inlineStr">
        <is>
          <t>VÄSTERÅS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24266-2026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46169</v>
      </c>
      <c r="E205" s="1" t="n">
        <v>46237</v>
      </c>
      <c r="F205" t="inlineStr">
        <is>
          <t>VÄSTMANLANDS LÄN</t>
        </is>
      </c>
      <c r="G205" t="inlineStr">
        <is>
          <t>VÄSTERÅS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24321-2026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46169</v>
      </c>
      <c r="E206" s="1" t="n">
        <v>46237</v>
      </c>
      <c r="F206" t="inlineStr">
        <is>
          <t>VÄSTMANLANDS LÄN</t>
        </is>
      </c>
      <c r="G206" t="inlineStr">
        <is>
          <t>VÄSTERÅS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24317-2026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46169</v>
      </c>
      <c r="E207" s="1" t="n">
        <v>46237</v>
      </c>
      <c r="F207" t="inlineStr">
        <is>
          <t>VÄSTMANLANDS LÄN</t>
        </is>
      </c>
      <c r="G207" t="inlineStr">
        <is>
          <t>VÄSTERÅS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50987-2024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45603</v>
      </c>
      <c r="E208" s="1" t="n">
        <v>46237</v>
      </c>
      <c r="F208" t="inlineStr">
        <is>
          <t>VÄSTMANLANDS LÄN</t>
        </is>
      </c>
      <c r="G208" t="inlineStr">
        <is>
          <t>VÄSTERÅS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14851-2024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45398</v>
      </c>
      <c r="E209" s="1" t="n">
        <v>46237</v>
      </c>
      <c r="F209" t="inlineStr">
        <is>
          <t>VÄSTMANLANDS LÄN</t>
        </is>
      </c>
      <c r="G209" t="inlineStr">
        <is>
          <t>VÄSTERÅS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45274</v>
      </c>
      <c r="E210" s="1" t="n">
        <v>46237</v>
      </c>
      <c r="F210" t="inlineStr">
        <is>
          <t>VÄSTMANLANDS LÄN</t>
        </is>
      </c>
      <c r="G210" t="inlineStr">
        <is>
          <t>VÄSTERÅS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30970-2026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46213</v>
      </c>
      <c r="E211" s="1" t="n">
        <v>46237</v>
      </c>
      <c r="F211" t="inlineStr">
        <is>
          <t>VÄSTMANLANDS LÄN</t>
        </is>
      </c>
      <c r="G211" t="inlineStr">
        <is>
          <t>VÄSTERÅS</t>
        </is>
      </c>
      <c r="H211" t="inlineStr">
        <is>
          <t>Sveaskog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31062-2026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46215</v>
      </c>
      <c r="E212" s="1" t="n">
        <v>46237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Sveaskog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32350-2023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45110</v>
      </c>
      <c r="E213" s="1" t="n">
        <v>46237</v>
      </c>
      <c r="F213" t="inlineStr">
        <is>
          <t>VÄSTMANLANDS LÄN</t>
        </is>
      </c>
      <c r="G213" t="inlineStr">
        <is>
          <t>VÄSTERÅS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55684-2023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45232</v>
      </c>
      <c r="E214" s="1" t="n">
        <v>46237</v>
      </c>
      <c r="F214" t="inlineStr">
        <is>
          <t>VÄSTMANLANDS LÄN</t>
        </is>
      </c>
      <c r="G214" t="inlineStr">
        <is>
          <t>VÄSTERÅS</t>
        </is>
      </c>
      <c r="H214" t="inlineStr">
        <is>
          <t>Övriga Aktiebolag</t>
        </is>
      </c>
      <c r="I214" t="n">
        <v>29.4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31052-2026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46215</v>
      </c>
      <c r="E215" s="1" t="n">
        <v>46237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Sveaskog</t>
        </is>
      </c>
      <c r="I215" t="n">
        <v>9.800000000000001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31054-2026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46215</v>
      </c>
      <c r="E216" s="1" t="n">
        <v>46237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Sveaskog</t>
        </is>
      </c>
      <c r="I216" t="n">
        <v>5.8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31058-2026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46215</v>
      </c>
      <c r="E217" s="1" t="n">
        <v>46237</v>
      </c>
      <c r="F217" t="inlineStr">
        <is>
          <t>VÄSTMANLANDS LÄN</t>
        </is>
      </c>
      <c r="G217" t="inlineStr">
        <is>
          <t>VÄSTERÅS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39810-2024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45553</v>
      </c>
      <c r="E218" s="1" t="n">
        <v>46237</v>
      </c>
      <c r="F218" t="inlineStr">
        <is>
          <t>VÄSTMANLANDS LÄN</t>
        </is>
      </c>
      <c r="G218" t="inlineStr">
        <is>
          <t>VÄSTERÅS</t>
        </is>
      </c>
      <c r="H218" t="inlineStr">
        <is>
          <t>Kyrkan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59765-2023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45257</v>
      </c>
      <c r="E219" s="1" t="n">
        <v>46237</v>
      </c>
      <c r="F219" t="inlineStr">
        <is>
          <t>VÄSTMANLANDS LÄN</t>
        </is>
      </c>
      <c r="G219" t="inlineStr">
        <is>
          <t>VÄSTERÅS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44901</v>
      </c>
      <c r="E220" s="1" t="n">
        <v>46237</v>
      </c>
      <c r="F220" t="inlineStr">
        <is>
          <t>VÄSTMANLANDS LÄN</t>
        </is>
      </c>
      <c r="G220" t="inlineStr">
        <is>
          <t>VÄSTERÅS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31057-2026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46215</v>
      </c>
      <c r="E221" s="1" t="n">
        <v>46237</v>
      </c>
      <c r="F221" t="inlineStr">
        <is>
          <t>VÄSTMANLANDS LÄN</t>
        </is>
      </c>
      <c r="G221" t="inlineStr">
        <is>
          <t>VÄSTERÅS</t>
        </is>
      </c>
      <c r="H221" t="inlineStr">
        <is>
          <t>Sveaskog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24540-2026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46170</v>
      </c>
      <c r="E222" s="1" t="n">
        <v>46237</v>
      </c>
      <c r="F222" t="inlineStr">
        <is>
          <t>VÄSTMANLANDS LÄN</t>
        </is>
      </c>
      <c r="G222" t="inlineStr">
        <is>
          <t>VÄSTERÅS</t>
        </is>
      </c>
      <c r="I222" t="n">
        <v>6.6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31055-2026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46215</v>
      </c>
      <c r="E223" s="1" t="n">
        <v>46237</v>
      </c>
      <c r="F223" t="inlineStr">
        <is>
          <t>VÄSTMANLANDS LÄN</t>
        </is>
      </c>
      <c r="G223" t="inlineStr">
        <is>
          <t>VÄSTERÅS</t>
        </is>
      </c>
      <c r="H223" t="inlineStr">
        <is>
          <t>Sveaskog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73601-2021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44552</v>
      </c>
      <c r="E224" s="1" t="n">
        <v>46237</v>
      </c>
      <c r="F224" t="inlineStr">
        <is>
          <t>VÄSTMANLANDS LÄN</t>
        </is>
      </c>
      <c r="G224" t="inlineStr">
        <is>
          <t>VÄSTERÅS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46030</v>
      </c>
      <c r="E225" s="1" t="n">
        <v>46237</v>
      </c>
      <c r="F225" t="inlineStr">
        <is>
          <t>VÄSTMANLANDS LÄN</t>
        </is>
      </c>
      <c r="G225" t="inlineStr">
        <is>
          <t>VÄSTERÅS</t>
        </is>
      </c>
      <c r="H225" t="inlineStr">
        <is>
          <t>Allmännings- och besparingsskogar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32053-2023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45119</v>
      </c>
      <c r="E226" s="1" t="n">
        <v>46237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Sveaskog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38381-2022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46237</v>
      </c>
      <c r="F227" t="inlineStr">
        <is>
          <t>VÄSTMANLANDS LÄN</t>
        </is>
      </c>
      <c r="G227" t="inlineStr">
        <is>
          <t>VÄSTERÅS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24402-2024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45457</v>
      </c>
      <c r="E228" s="1" t="n">
        <v>46237</v>
      </c>
      <c r="F228" t="inlineStr">
        <is>
          <t>VÄSTMANLANDS LÄN</t>
        </is>
      </c>
      <c r="G228" t="inlineStr">
        <is>
          <t>VÄSTERÅS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31232-2026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46217</v>
      </c>
      <c r="E229" s="1" t="n">
        <v>46237</v>
      </c>
      <c r="F229" t="inlineStr">
        <is>
          <t>VÄSTMANLANDS LÄN</t>
        </is>
      </c>
      <c r="G229" t="inlineStr">
        <is>
          <t>VÄSTERÅS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35700-2024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46237</v>
      </c>
      <c r="F230" t="inlineStr">
        <is>
          <t>VÄSTMANLANDS LÄN</t>
        </is>
      </c>
      <c r="G230" t="inlineStr">
        <is>
          <t>VÄSTERÅS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45019</v>
      </c>
      <c r="E231" s="1" t="n">
        <v>46237</v>
      </c>
      <c r="F231" t="inlineStr">
        <is>
          <t>VÄSTMANLANDS LÄN</t>
        </is>
      </c>
      <c r="G231" t="inlineStr">
        <is>
          <t>VÄSTERÅS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74314-2021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44559</v>
      </c>
      <c r="E232" s="1" t="n">
        <v>46237</v>
      </c>
      <c r="F232" t="inlineStr">
        <is>
          <t>VÄSTMANLANDS LÄN</t>
        </is>
      </c>
      <c r="G232" t="inlineStr">
        <is>
          <t>VÄSTERÅS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18467-2023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45042</v>
      </c>
      <c r="E233" s="1" t="n">
        <v>46237</v>
      </c>
      <c r="F233" t="inlineStr">
        <is>
          <t>VÄSTMANLANDS LÄN</t>
        </is>
      </c>
      <c r="G233" t="inlineStr">
        <is>
          <t>VÄSTERÅS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44595</v>
      </c>
      <c r="E234" s="1" t="n">
        <v>46237</v>
      </c>
      <c r="F234" t="inlineStr">
        <is>
          <t>VÄSTMANLANDS LÄN</t>
        </is>
      </c>
      <c r="G234" t="inlineStr">
        <is>
          <t>VÄSTERÅS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45033</v>
      </c>
      <c r="E235" s="1" t="n">
        <v>46237</v>
      </c>
      <c r="F235" t="inlineStr">
        <is>
          <t>VÄSTMANLANDS LÄN</t>
        </is>
      </c>
      <c r="G235" t="inlineStr">
        <is>
          <t>VÄSTERÅS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50948-2023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45218</v>
      </c>
      <c r="E236" s="1" t="n">
        <v>46237</v>
      </c>
      <c r="F236" t="inlineStr">
        <is>
          <t>VÄSTMANLANDS LÄN</t>
        </is>
      </c>
      <c r="G236" t="inlineStr">
        <is>
          <t>VÄSTERÅS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12258-2022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44637</v>
      </c>
      <c r="E237" s="1" t="n">
        <v>46237</v>
      </c>
      <c r="F237" t="inlineStr">
        <is>
          <t>VÄSTMANLANDS LÄN</t>
        </is>
      </c>
      <c r="G237" t="inlineStr">
        <is>
          <t>VÄSTERÅS</t>
        </is>
      </c>
      <c r="I237" t="n">
        <v>5.6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16214-2023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45028</v>
      </c>
      <c r="E238" s="1" t="n">
        <v>46237</v>
      </c>
      <c r="F238" t="inlineStr">
        <is>
          <t>VÄSTMANLANDS LÄN</t>
        </is>
      </c>
      <c r="G238" t="inlineStr">
        <is>
          <t>VÄSTERÅS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38436-2023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45160</v>
      </c>
      <c r="E239" s="1" t="n">
        <v>46237</v>
      </c>
      <c r="F239" t="inlineStr">
        <is>
          <t>VÄSTMANLANDS LÄN</t>
        </is>
      </c>
      <c r="G239" t="inlineStr">
        <is>
          <t>VÄSTERÅS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46183</v>
      </c>
      <c r="E240" s="1" t="n">
        <v>46237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Allmännings- och besparingsskogar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8800-2023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44978</v>
      </c>
      <c r="E241" s="1" t="n">
        <v>46237</v>
      </c>
      <c r="F241" t="inlineStr">
        <is>
          <t>VÄSTMANLANDS LÄN</t>
        </is>
      </c>
      <c r="G241" t="inlineStr">
        <is>
          <t>VÄSTERÅS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45174</v>
      </c>
      <c r="E242" s="1" t="n">
        <v>46237</v>
      </c>
      <c r="F242" t="inlineStr">
        <is>
          <t>VÄSTMANLANDS LÄN</t>
        </is>
      </c>
      <c r="G242" t="inlineStr">
        <is>
          <t>VÄSTERÅS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7701-2026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46059</v>
      </c>
      <c r="E243" s="1" t="n">
        <v>46237</v>
      </c>
      <c r="F243" t="inlineStr">
        <is>
          <t>VÄSTMANLANDS LÄN</t>
        </is>
      </c>
      <c r="G243" t="inlineStr">
        <is>
          <t>VÄSTERÅS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7797-2026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46062</v>
      </c>
      <c r="E244" s="1" t="n">
        <v>46237</v>
      </c>
      <c r="F244" t="inlineStr">
        <is>
          <t>VÄSTMANLANDS LÄN</t>
        </is>
      </c>
      <c r="G244" t="inlineStr">
        <is>
          <t>VÄSTERÅS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46237</v>
      </c>
      <c r="F245" t="inlineStr">
        <is>
          <t>VÄSTMANLANDS LÄN</t>
        </is>
      </c>
      <c r="G245" t="inlineStr">
        <is>
          <t>VÄSTERÅS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8870-2026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46066</v>
      </c>
      <c r="E246" s="1" t="n">
        <v>46237</v>
      </c>
      <c r="F246" t="inlineStr">
        <is>
          <t>VÄSTMANLANDS LÄN</t>
        </is>
      </c>
      <c r="G246" t="inlineStr">
        <is>
          <t>VÄSTERÅS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32998-2023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45125</v>
      </c>
      <c r="E247" s="1" t="n">
        <v>46237</v>
      </c>
      <c r="F247" t="inlineStr">
        <is>
          <t>VÄSTMANLANDS LÄN</t>
        </is>
      </c>
      <c r="G247" t="inlineStr">
        <is>
          <t>VÄSTERÅS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26743-2026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46237</v>
      </c>
      <c r="F248" t="inlineStr">
        <is>
          <t>VÄSTMANLANDS LÄN</t>
        </is>
      </c>
      <c r="G248" t="inlineStr">
        <is>
          <t>VÄSTERÅS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26745-2026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46184</v>
      </c>
      <c r="E249" s="1" t="n">
        <v>46237</v>
      </c>
      <c r="F249" t="inlineStr">
        <is>
          <t>VÄSTMANLANDS LÄN</t>
        </is>
      </c>
      <c r="G249" t="inlineStr">
        <is>
          <t>VÄSTERÅS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10912-2024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45370</v>
      </c>
      <c r="E250" s="1" t="n">
        <v>46237</v>
      </c>
      <c r="F250" t="inlineStr">
        <is>
          <t>VÄSTMANLANDS LÄN</t>
        </is>
      </c>
      <c r="G250" t="inlineStr">
        <is>
          <t>VÄSTERÅS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27271-2026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46188</v>
      </c>
      <c r="E251" s="1" t="n">
        <v>46237</v>
      </c>
      <c r="F251" t="inlineStr">
        <is>
          <t>VÄSTMANLANDS LÄN</t>
        </is>
      </c>
      <c r="G251" t="inlineStr">
        <is>
          <t>VÄSTERÅS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27301-2026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46188</v>
      </c>
      <c r="E252" s="1" t="n">
        <v>46237</v>
      </c>
      <c r="F252" t="inlineStr">
        <is>
          <t>VÄSTMANLANDS LÄN</t>
        </is>
      </c>
      <c r="G252" t="inlineStr">
        <is>
          <t>VÄSTERÅS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18465-2023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45042</v>
      </c>
      <c r="E253" s="1" t="n">
        <v>46237</v>
      </c>
      <c r="F253" t="inlineStr">
        <is>
          <t>VÄSTMANLANDS LÄN</t>
        </is>
      </c>
      <c r="G253" t="inlineStr">
        <is>
          <t>VÄSTERÅS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8871-2026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46066</v>
      </c>
      <c r="E254" s="1" t="n">
        <v>46237</v>
      </c>
      <c r="F254" t="inlineStr">
        <is>
          <t>VÄSTMANLANDS LÄN</t>
        </is>
      </c>
      <c r="G254" t="inlineStr">
        <is>
          <t>VÄSTERÅS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73994-2021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44556</v>
      </c>
      <c r="E255" s="1" t="n">
        <v>46237</v>
      </c>
      <c r="F255" t="inlineStr">
        <is>
          <t>VÄSTMANLANDS LÄN</t>
        </is>
      </c>
      <c r="G255" t="inlineStr">
        <is>
          <t>VÄSTERÅS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56902-2024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45628</v>
      </c>
      <c r="E256" s="1" t="n">
        <v>46237</v>
      </c>
      <c r="F256" t="inlineStr">
        <is>
          <t>VÄSTMANLANDS LÄN</t>
        </is>
      </c>
      <c r="G256" t="inlineStr">
        <is>
          <t>VÄSTERÅS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73597-2021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44552</v>
      </c>
      <c r="E257" s="1" t="n">
        <v>46237</v>
      </c>
      <c r="F257" t="inlineStr">
        <is>
          <t>VÄSTMANLANDS LÄN</t>
        </is>
      </c>
      <c r="G257" t="inlineStr">
        <is>
          <t>VÄSTERÅS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13376-2022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44645</v>
      </c>
      <c r="E258" s="1" t="n">
        <v>46237</v>
      </c>
      <c r="F258" t="inlineStr">
        <is>
          <t>VÄSTMANLANDS LÄN</t>
        </is>
      </c>
      <c r="G258" t="inlineStr">
        <is>
          <t>VÄSTERÅS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45506</v>
      </c>
      <c r="E259" s="1" t="n">
        <v>46237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Kommuner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27551-2026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46190</v>
      </c>
      <c r="E260" s="1" t="n">
        <v>46237</v>
      </c>
      <c r="F260" t="inlineStr">
        <is>
          <t>VÄSTMANLANDS LÄN</t>
        </is>
      </c>
      <c r="G260" t="inlineStr">
        <is>
          <t>VÄSTERÅS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67350-2021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44523</v>
      </c>
      <c r="E261" s="1" t="n">
        <v>46237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Övriga Aktiebolag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11072-2026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46079</v>
      </c>
      <c r="E262" s="1" t="n">
        <v>46237</v>
      </c>
      <c r="F262" t="inlineStr">
        <is>
          <t>VÄSTMANLANDS LÄN</t>
        </is>
      </c>
      <c r="G262" t="inlineStr">
        <is>
          <t>VÄSTERÅS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52027-2025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45952</v>
      </c>
      <c r="E263" s="1" t="n">
        <v>46237</v>
      </c>
      <c r="F263" t="inlineStr">
        <is>
          <t>VÄSTMANLANDS LÄN</t>
        </is>
      </c>
      <c r="G263" t="inlineStr">
        <is>
          <t>VÄSTERÅS</t>
        </is>
      </c>
      <c r="H263" t="inlineStr">
        <is>
          <t>Övriga statliga verk och myndigheter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12131-2022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44636</v>
      </c>
      <c r="E264" s="1" t="n">
        <v>46237</v>
      </c>
      <c r="F264" t="inlineStr">
        <is>
          <t>VÄSTMANLANDS LÄN</t>
        </is>
      </c>
      <c r="G264" t="inlineStr">
        <is>
          <t>VÄSTERÅS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11745-2026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46237</v>
      </c>
      <c r="F265" t="inlineStr">
        <is>
          <t>VÄSTMANLANDS LÄN</t>
        </is>
      </c>
      <c r="G265" t="inlineStr">
        <is>
          <t>VÄSTERÅS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11520-2026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46083</v>
      </c>
      <c r="E266" s="1" t="n">
        <v>46237</v>
      </c>
      <c r="F266" t="inlineStr">
        <is>
          <t>VÄSTMANLANDS LÄN</t>
        </is>
      </c>
      <c r="G266" t="inlineStr">
        <is>
          <t>VÄSTERÅS</t>
        </is>
      </c>
      <c r="I266" t="n">
        <v>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10870-2026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46078</v>
      </c>
      <c r="E267" s="1" t="n">
        <v>46237</v>
      </c>
      <c r="F267" t="inlineStr">
        <is>
          <t>VÄSTMANLANDS LÄN</t>
        </is>
      </c>
      <c r="G267" t="inlineStr">
        <is>
          <t>VÄSTERÅS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7378-2022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44606</v>
      </c>
      <c r="E268" s="1" t="n">
        <v>46237</v>
      </c>
      <c r="F268" t="inlineStr">
        <is>
          <t>VÄSTMANLANDS LÄN</t>
        </is>
      </c>
      <c r="G268" t="inlineStr">
        <is>
          <t>VÄSTERÅS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40304-2023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45169</v>
      </c>
      <c r="E269" s="1" t="n">
        <v>46237</v>
      </c>
      <c r="F269" t="inlineStr">
        <is>
          <t>VÄSTMANLANDS LÄN</t>
        </is>
      </c>
      <c r="G269" t="inlineStr">
        <is>
          <t>VÄSTERÅS</t>
        </is>
      </c>
      <c r="H269" t="inlineStr">
        <is>
          <t>Sveaskog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5208-2022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44594</v>
      </c>
      <c r="E270" s="1" t="n">
        <v>46237</v>
      </c>
      <c r="F270" t="inlineStr">
        <is>
          <t>VÄSTMANLANDS LÄN</t>
        </is>
      </c>
      <c r="G270" t="inlineStr">
        <is>
          <t>VÄSTERÅS</t>
        </is>
      </c>
      <c r="I270" t="n">
        <v>20.3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11739-2026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46237</v>
      </c>
      <c r="F271" t="inlineStr">
        <is>
          <t>VÄSTMANLANDS LÄN</t>
        </is>
      </c>
      <c r="G271" t="inlineStr">
        <is>
          <t>VÄSTERÅS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10496-2022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44623</v>
      </c>
      <c r="E272" s="1" t="n">
        <v>46237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45019</v>
      </c>
      <c r="E273" s="1" t="n">
        <v>46237</v>
      </c>
      <c r="F273" t="inlineStr">
        <is>
          <t>VÄSTMANLANDS LÄN</t>
        </is>
      </c>
      <c r="G273" t="inlineStr">
        <is>
          <t>VÄSTERÅS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15201-2022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44658</v>
      </c>
      <c r="E274" s="1" t="n">
        <v>46237</v>
      </c>
      <c r="F274" t="inlineStr">
        <is>
          <t>VÄSTMANLANDS LÄN</t>
        </is>
      </c>
      <c r="G274" t="inlineStr">
        <is>
          <t>VÄSTERÅS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11983-2022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44635</v>
      </c>
      <c r="E275" s="1" t="n">
        <v>46237</v>
      </c>
      <c r="F275" t="inlineStr">
        <is>
          <t>VÄSTMANLANDS LÄN</t>
        </is>
      </c>
      <c r="G275" t="inlineStr">
        <is>
          <t>VÄSTERÅS</t>
        </is>
      </c>
      <c r="I275" t="n">
        <v>6.5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11989-2022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44635</v>
      </c>
      <c r="E276" s="1" t="n">
        <v>46237</v>
      </c>
      <c r="F276" t="inlineStr">
        <is>
          <t>VÄSTMANLANDS LÄN</t>
        </is>
      </c>
      <c r="G276" t="inlineStr">
        <is>
          <t>VÄSTERÅS</t>
        </is>
      </c>
      <c r="I276" t="n">
        <v>12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8357-2022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44610</v>
      </c>
      <c r="E277" s="1" t="n">
        <v>46237</v>
      </c>
      <c r="F277" t="inlineStr">
        <is>
          <t>VÄSTMANLANDS LÄN</t>
        </is>
      </c>
      <c r="G277" t="inlineStr">
        <is>
          <t>VÄSTERÅS</t>
        </is>
      </c>
      <c r="H277" t="inlineStr">
        <is>
          <t>Sveaskog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11950-2022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44635</v>
      </c>
      <c r="E278" s="1" t="n">
        <v>46237</v>
      </c>
      <c r="F278" t="inlineStr">
        <is>
          <t>VÄSTMANLANDS LÄN</t>
        </is>
      </c>
      <c r="G278" t="inlineStr">
        <is>
          <t>VÄSTERÅS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9103-2025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45713</v>
      </c>
      <c r="E279" s="1" t="n">
        <v>46237</v>
      </c>
      <c r="F279" t="inlineStr">
        <is>
          <t>VÄSTMANLANDS LÄN</t>
        </is>
      </c>
      <c r="G279" t="inlineStr">
        <is>
          <t>VÄSTERÅS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59536-2024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45638</v>
      </c>
      <c r="E280" s="1" t="n">
        <v>46237</v>
      </c>
      <c r="F280" t="inlineStr">
        <is>
          <t>VÄSTMANLANDS LÄN</t>
        </is>
      </c>
      <c r="G280" t="inlineStr">
        <is>
          <t>VÄSTERÅS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21761-2022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44708</v>
      </c>
      <c r="E281" s="1" t="n">
        <v>46237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Sveaskog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45705</v>
      </c>
      <c r="E282" s="1" t="n">
        <v>46237</v>
      </c>
      <c r="F282" t="inlineStr">
        <is>
          <t>VÄSTMANLANDS LÄN</t>
        </is>
      </c>
      <c r="G282" t="inlineStr">
        <is>
          <t>VÄSTERÅS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14885-2026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46104</v>
      </c>
      <c r="E283" s="1" t="n">
        <v>46237</v>
      </c>
      <c r="F283" t="inlineStr">
        <is>
          <t>VÄSTMANLANDS LÄN</t>
        </is>
      </c>
      <c r="G283" t="inlineStr">
        <is>
          <t>VÄSTERÅS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11324-2026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46080</v>
      </c>
      <c r="E284" s="1" t="n">
        <v>46237</v>
      </c>
      <c r="F284" t="inlineStr">
        <is>
          <t>VÄSTMANLANDS LÄN</t>
        </is>
      </c>
      <c r="G284" t="inlineStr">
        <is>
          <t>VÄSTERÅS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11325-2026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46080</v>
      </c>
      <c r="E285" s="1" t="n">
        <v>46237</v>
      </c>
      <c r="F285" t="inlineStr">
        <is>
          <t>VÄSTMANLANDS LÄN</t>
        </is>
      </c>
      <c r="G285" t="inlineStr">
        <is>
          <t>VÄSTERÅS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42257-2023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45180</v>
      </c>
      <c r="E286" s="1" t="n">
        <v>46237</v>
      </c>
      <c r="F286" t="inlineStr">
        <is>
          <t>VÄSTMANLANDS LÄN</t>
        </is>
      </c>
      <c r="G286" t="inlineStr">
        <is>
          <t>VÄSTERÅS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17725-2022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44680</v>
      </c>
      <c r="E287" s="1" t="n">
        <v>46237</v>
      </c>
      <c r="F287" t="inlineStr">
        <is>
          <t>VÄSTMANLANDS LÄN</t>
        </is>
      </c>
      <c r="G287" t="inlineStr">
        <is>
          <t>VÄSTERÅS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41469-2024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45560</v>
      </c>
      <c r="E288" s="1" t="n">
        <v>46237</v>
      </c>
      <c r="F288" t="inlineStr">
        <is>
          <t>VÄSTMANLANDS LÄN</t>
        </is>
      </c>
      <c r="G288" t="inlineStr">
        <is>
          <t>VÄSTERÅS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61258-2023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45264</v>
      </c>
      <c r="E289" s="1" t="n">
        <v>46237</v>
      </c>
      <c r="F289" t="inlineStr">
        <is>
          <t>VÄSTMANLANDS LÄN</t>
        </is>
      </c>
      <c r="G289" t="inlineStr">
        <is>
          <t>VÄSTERÅS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38538-2023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45162</v>
      </c>
      <c r="E290" s="1" t="n">
        <v>46237</v>
      </c>
      <c r="F290" t="inlineStr">
        <is>
          <t>VÄSTMANLANDS LÄN</t>
        </is>
      </c>
      <c r="G290" t="inlineStr">
        <is>
          <t>VÄSTERÅS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27722-2022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44743</v>
      </c>
      <c r="E291" s="1" t="n">
        <v>46237</v>
      </c>
      <c r="F291" t="inlineStr">
        <is>
          <t>VÄSTMANLANDS LÄN</t>
        </is>
      </c>
      <c r="G291" t="inlineStr">
        <is>
          <t>VÄSTERÅS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45153</v>
      </c>
      <c r="E292" s="1" t="n">
        <v>46237</v>
      </c>
      <c r="F292" t="inlineStr">
        <is>
          <t>VÄSTMANLANDS LÄN</t>
        </is>
      </c>
      <c r="G292" t="inlineStr">
        <is>
          <t>VÄSTERÅS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51223-2023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45219</v>
      </c>
      <c r="E293" s="1" t="n">
        <v>46237</v>
      </c>
      <c r="F293" t="inlineStr">
        <is>
          <t>VÄSTMANLANDS LÄN</t>
        </is>
      </c>
      <c r="G293" t="inlineStr">
        <is>
          <t>VÄSTERÅS</t>
        </is>
      </c>
      <c r="I293" t="n">
        <v>7.7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12289-2024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45378</v>
      </c>
      <c r="E294" s="1" t="n">
        <v>46237</v>
      </c>
      <c r="F294" t="inlineStr">
        <is>
          <t>VÄSTMANLANDS LÄN</t>
        </is>
      </c>
      <c r="G294" t="inlineStr">
        <is>
          <t>VÄSTERÅS</t>
        </is>
      </c>
      <c r="I294" t="n">
        <v>15.4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16582-2026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46112</v>
      </c>
      <c r="E295" s="1" t="n">
        <v>46237</v>
      </c>
      <c r="F295" t="inlineStr">
        <is>
          <t>VÄSTMANLANDS LÄN</t>
        </is>
      </c>
      <c r="G295" t="inlineStr">
        <is>
          <t>VÄSTERÅS</t>
        </is>
      </c>
      <c r="H295" t="inlineStr">
        <is>
          <t>Sveaskog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15889-2022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44664</v>
      </c>
      <c r="E296" s="1" t="n">
        <v>46237</v>
      </c>
      <c r="F296" t="inlineStr">
        <is>
          <t>VÄSTMANLANDS LÄN</t>
        </is>
      </c>
      <c r="G296" t="inlineStr">
        <is>
          <t>VÄSTERÅS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16671-2026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46112</v>
      </c>
      <c r="E297" s="1" t="n">
        <v>46237</v>
      </c>
      <c r="F297" t="inlineStr">
        <is>
          <t>VÄSTMANLANDS LÄN</t>
        </is>
      </c>
      <c r="G297" t="inlineStr">
        <is>
          <t>VÄSTERÅS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16685-2026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46112</v>
      </c>
      <c r="E298" s="1" t="n">
        <v>46237</v>
      </c>
      <c r="F298" t="inlineStr">
        <is>
          <t>VÄSTMANLANDS LÄN</t>
        </is>
      </c>
      <c r="G298" t="inlineStr">
        <is>
          <t>VÄSTERÅS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16579-2026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46112</v>
      </c>
      <c r="E299" s="1" t="n">
        <v>46237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Sveaskog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16583-2026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46112</v>
      </c>
      <c r="E300" s="1" t="n">
        <v>46237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17657-2026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46121</v>
      </c>
      <c r="E301" s="1" t="n">
        <v>46237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Kommuner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17499-2026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46120</v>
      </c>
      <c r="E302" s="1" t="n">
        <v>46237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Allmännings- och besparingsskogar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45219</v>
      </c>
      <c r="E303" s="1" t="n">
        <v>46237</v>
      </c>
      <c r="F303" t="inlineStr">
        <is>
          <t>VÄSTMANLANDS LÄN</t>
        </is>
      </c>
      <c r="G303" t="inlineStr">
        <is>
          <t>VÄSTERÅS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23765-2022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44722</v>
      </c>
      <c r="E304" s="1" t="n">
        <v>46237</v>
      </c>
      <c r="F304" t="inlineStr">
        <is>
          <t>VÄSTMANLANDS LÄN</t>
        </is>
      </c>
      <c r="G304" t="inlineStr">
        <is>
          <t>VÄSTERÅS</t>
        </is>
      </c>
      <c r="H304" t="inlineStr">
        <is>
          <t>Sveaskog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26556-2022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44739</v>
      </c>
      <c r="E305" s="1" t="n">
        <v>46237</v>
      </c>
      <c r="F305" t="inlineStr">
        <is>
          <t>VÄSTMANLANDS LÄN</t>
        </is>
      </c>
      <c r="G305" t="inlineStr">
        <is>
          <t>VÄSTERÅS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64202-2023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45279</v>
      </c>
      <c r="E306" s="1" t="n">
        <v>46237</v>
      </c>
      <c r="F306" t="inlineStr">
        <is>
          <t>VÄSTMANLANDS LÄN</t>
        </is>
      </c>
      <c r="G306" t="inlineStr">
        <is>
          <t>VÄSTERÅS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64793-2023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45282</v>
      </c>
      <c r="E307" s="1" t="n">
        <v>46237</v>
      </c>
      <c r="F307" t="inlineStr">
        <is>
          <t>VÄSTMANLANDS LÄN</t>
        </is>
      </c>
      <c r="G307" t="inlineStr">
        <is>
          <t>VÄSTERÅS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18131-2025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45761</v>
      </c>
      <c r="E308" s="1" t="n">
        <v>46237</v>
      </c>
      <c r="F308" t="inlineStr">
        <is>
          <t>VÄSTMANLANDS LÄN</t>
        </is>
      </c>
      <c r="G308" t="inlineStr">
        <is>
          <t>VÄSTERÅS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13614-2022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44648</v>
      </c>
      <c r="E309" s="1" t="n">
        <v>46237</v>
      </c>
      <c r="F309" t="inlineStr">
        <is>
          <t>VÄSTMANLANDS LÄN</t>
        </is>
      </c>
      <c r="G309" t="inlineStr">
        <is>
          <t>VÄSTERÅS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19791-2026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46135</v>
      </c>
      <c r="E310" s="1" t="n">
        <v>46237</v>
      </c>
      <c r="F310" t="inlineStr">
        <is>
          <t>VÄSTMANLANDS LÄN</t>
        </is>
      </c>
      <c r="G310" t="inlineStr">
        <is>
          <t>VÄSTERÅS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46116-2022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44847</v>
      </c>
      <c r="E311" s="1" t="n">
        <v>46237</v>
      </c>
      <c r="F311" t="inlineStr">
        <is>
          <t>VÄSTMANLANDS LÄN</t>
        </is>
      </c>
      <c r="G311" t="inlineStr">
        <is>
          <t>VÄSTERÅS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47101-2025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45929</v>
      </c>
      <c r="E312" s="1" t="n">
        <v>46237</v>
      </c>
      <c r="F312" t="inlineStr">
        <is>
          <t>VÄSTMANLANDS LÄN</t>
        </is>
      </c>
      <c r="G312" t="inlineStr">
        <is>
          <t>VÄSTERÅS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19927-2026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46136</v>
      </c>
      <c r="E313" s="1" t="n">
        <v>46237</v>
      </c>
      <c r="F313" t="inlineStr">
        <is>
          <t>VÄSTMANLANDS LÄN</t>
        </is>
      </c>
      <c r="G313" t="inlineStr">
        <is>
          <t>VÄSTERÅS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5724-2023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44961</v>
      </c>
      <c r="E314" s="1" t="n">
        <v>46237</v>
      </c>
      <c r="F314" t="inlineStr">
        <is>
          <t>VÄSTMANLANDS LÄN</t>
        </is>
      </c>
      <c r="G314" t="inlineStr">
        <is>
          <t>VÄSTERÅS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67352-2021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44523</v>
      </c>
      <c r="E315" s="1" t="n">
        <v>46237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Övriga Aktiebolag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16497-2022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44671</v>
      </c>
      <c r="E316" s="1" t="n">
        <v>46237</v>
      </c>
      <c r="F316" t="inlineStr">
        <is>
          <t>VÄSTMANLANDS LÄN</t>
        </is>
      </c>
      <c r="G316" t="inlineStr">
        <is>
          <t>VÄSTERÅS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22700-2024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45448</v>
      </c>
      <c r="E317" s="1" t="n">
        <v>46237</v>
      </c>
      <c r="F317" t="inlineStr">
        <is>
          <t>VÄSTMANLANDS LÄN</t>
        </is>
      </c>
      <c r="G317" t="inlineStr">
        <is>
          <t>VÄSTERÅS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38345-2024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45545</v>
      </c>
      <c r="E318" s="1" t="n">
        <v>46237</v>
      </c>
      <c r="F318" t="inlineStr">
        <is>
          <t>VÄSTMANLANDS LÄN</t>
        </is>
      </c>
      <c r="G318" t="inlineStr">
        <is>
          <t>VÄSTERÅS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31623-2024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45506</v>
      </c>
      <c r="E319" s="1" t="n">
        <v>46237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Kommuner</t>
        </is>
      </c>
      <c r="I319" t="n">
        <v>4.2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24546-2025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45798</v>
      </c>
      <c r="E320" s="1" t="n">
        <v>46237</v>
      </c>
      <c r="F320" t="inlineStr">
        <is>
          <t>VÄSTMANLANDS LÄN</t>
        </is>
      </c>
      <c r="G320" t="inlineStr">
        <is>
          <t>VÄSTERÅS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56076-2023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45235</v>
      </c>
      <c r="E321" s="1" t="n">
        <v>46237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Övriga Aktiebolag</t>
        </is>
      </c>
      <c r="I321" t="n">
        <v>37.8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50996-2024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45603</v>
      </c>
      <c r="E322" s="1" t="n">
        <v>46237</v>
      </c>
      <c r="F322" t="inlineStr">
        <is>
          <t>VÄSTMANLANDS LÄN</t>
        </is>
      </c>
      <c r="G322" t="inlineStr">
        <is>
          <t>VÄSTERÅS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54537-2024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45617</v>
      </c>
      <c r="E323" s="1" t="n">
        <v>46237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Sveaskog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31569-2025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45833</v>
      </c>
      <c r="E324" s="1" t="n">
        <v>46237</v>
      </c>
      <c r="F324" t="inlineStr">
        <is>
          <t>VÄSTMANLANDS LÄN</t>
        </is>
      </c>
      <c r="G324" t="inlineStr">
        <is>
          <t>VÄSTERÅS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32851-2024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45516</v>
      </c>
      <c r="E325" s="1" t="n">
        <v>46237</v>
      </c>
      <c r="F325" t="inlineStr">
        <is>
          <t>VÄSTMANLANDS LÄN</t>
        </is>
      </c>
      <c r="G325" t="inlineStr">
        <is>
          <t>VÄSTERÅS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53833-2022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44880</v>
      </c>
      <c r="E326" s="1" t="n">
        <v>46237</v>
      </c>
      <c r="F326" t="inlineStr">
        <is>
          <t>VÄSTMANLANDS LÄN</t>
        </is>
      </c>
      <c r="G326" t="inlineStr">
        <is>
          <t>VÄSTERÅS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53836-2022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44880</v>
      </c>
      <c r="E327" s="1" t="n">
        <v>46237</v>
      </c>
      <c r="F327" t="inlineStr">
        <is>
          <t>VÄSTMANLANDS LÄN</t>
        </is>
      </c>
      <c r="G327" t="inlineStr">
        <is>
          <t>VÄSTERÅS</t>
        </is>
      </c>
      <c r="I327" t="n">
        <v>6.2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31361-2025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45833</v>
      </c>
      <c r="E328" s="1" t="n">
        <v>46237</v>
      </c>
      <c r="F328" t="inlineStr">
        <is>
          <t>VÄSTMANLANDS LÄN</t>
        </is>
      </c>
      <c r="G328" t="inlineStr">
        <is>
          <t>VÄSTERÅS</t>
        </is>
      </c>
      <c r="I328" t="n">
        <v>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31578-2025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45833</v>
      </c>
      <c r="E329" s="1" t="n">
        <v>46237</v>
      </c>
      <c r="F329" t="inlineStr">
        <is>
          <t>VÄSTMANLANDS LÄN</t>
        </is>
      </c>
      <c r="G329" t="inlineStr">
        <is>
          <t>VÄSTERÅS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31106-2025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45832</v>
      </c>
      <c r="E330" s="1" t="n">
        <v>46237</v>
      </c>
      <c r="F330" t="inlineStr">
        <is>
          <t>VÄSTMANLANDS LÄN</t>
        </is>
      </c>
      <c r="G330" t="inlineStr">
        <is>
          <t>VÄSTERÅS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951-2020</t>
        </is>
      </c>
      <c r="B331" t="inlineStr">
        <is>
          <t>samrådsanmälan</t>
        </is>
      </c>
      <c r="C331" t="inlineStr">
        <is>
          <t>Åtgärd i nyckelbiotop</t>
        </is>
      </c>
      <c r="D331" s="1" t="n">
        <v>43948</v>
      </c>
      <c r="E331" s="1" t="n">
        <v>46237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Kommuner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3639-2022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44740</v>
      </c>
      <c r="E332" s="1" t="n">
        <v>46237</v>
      </c>
      <c r="F332" t="inlineStr">
        <is>
          <t>VÄSTMANLANDS LÄN</t>
        </is>
      </c>
      <c r="G332" t="inlineStr">
        <is>
          <t>VÄSTERÅS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1415-2022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44634</v>
      </c>
      <c r="E333" s="1" t="n">
        <v>46237</v>
      </c>
      <c r="F333" t="inlineStr">
        <is>
          <t>VÄSTMANLANDS LÄN</t>
        </is>
      </c>
      <c r="G333" t="inlineStr">
        <is>
          <t>VÄSTERÅS</t>
        </is>
      </c>
      <c r="H333" t="inlineStr">
        <is>
          <t>Kyrkan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953-2023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45005</v>
      </c>
      <c r="E334" s="1" t="n">
        <v>46237</v>
      </c>
      <c r="F334" t="inlineStr">
        <is>
          <t>VÄSTMANLANDS LÄN</t>
        </is>
      </c>
      <c r="G334" t="inlineStr">
        <is>
          <t>VÄSTERÅS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696-2026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46091</v>
      </c>
      <c r="E335" s="1" t="n">
        <v>46237</v>
      </c>
      <c r="F335" t="inlineStr">
        <is>
          <t>VÄSTMANLANDS LÄN</t>
        </is>
      </c>
      <c r="G335" t="inlineStr">
        <is>
          <t>VÄSTERÅS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949-2026</t>
        </is>
      </c>
      <c r="B336" t="inlineStr">
        <is>
          <t>samrådsanmälan</t>
        </is>
      </c>
      <c r="C336" t="inlineStr">
        <is>
          <t>Skogsgödsling</t>
        </is>
      </c>
      <c r="D336" s="1" t="n">
        <v>46113</v>
      </c>
      <c r="E336" s="1" t="n">
        <v>46237</v>
      </c>
      <c r="F336" t="inlineStr">
        <is>
          <t>VÄSTMANLANDS LÄN</t>
        </is>
      </c>
      <c r="G336" t="inlineStr">
        <is>
          <t>VÄSTERÅS</t>
        </is>
      </c>
      <c r="I336" t="n">
        <v>6.4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>
      <c r="A337" t="inlineStr">
        <is>
          <t>S 1468-2026</t>
        </is>
      </c>
      <c r="B337" t="inlineStr">
        <is>
          <t>samrådsanmälan</t>
        </is>
      </c>
      <c r="C337" t="inlineStr">
        <is>
          <t>Dikesrensning</t>
        </is>
      </c>
      <c r="D337" s="1" t="n">
        <v>46134</v>
      </c>
      <c r="E337" s="1" t="n">
        <v>46237</v>
      </c>
      <c r="F337" t="inlineStr">
        <is>
          <t>VÄSTMANLANDS LÄN</t>
        </is>
      </c>
      <c r="G337" t="inlineStr">
        <is>
          <t>VÄSTERÅS</t>
        </is>
      </c>
      <c r="H337" t="inlineStr">
        <is>
          <t>Sveaskog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2026-08-03T01:57:08Z</dcterms:created>
  <dcterms:modified xmlns:dcterms="http://purl.org/dc/terms/" xmlns:xsi="http://www.w3.org/2001/XMLSchema-instance" xsi:type="dcterms:W3CDTF">2026-08-03T01:57:08Z</dcterms:modified>
</cp:coreProperties>
</file>