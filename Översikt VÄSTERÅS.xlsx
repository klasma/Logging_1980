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46253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46253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46253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46253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46253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46253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46253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46253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46253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41262-2023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45174</v>
      </c>
      <c r="E21" s="1" t="n">
        <v>46253</v>
      </c>
      <c r="F21" t="inlineStr">
        <is>
          <t>VÄSTMANLANDS LÄN</t>
        </is>
      </c>
      <c r="G21" t="inlineStr">
        <is>
          <t>VÄSTERÅS</t>
        </is>
      </c>
      <c r="H21" t="inlineStr">
        <is>
          <t>Kommuner</t>
        </is>
      </c>
      <c r="I21" t="n">
        <v>11.4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8</v>
      </c>
      <c r="U21" t="n">
        <v>2</v>
      </c>
      <c r="V21" s="2" t="inlineStr">
        <is>
          <t>Grönsångare
Gulsparv
Kungsfågel
Vanlig groda</t>
        </is>
      </c>
      <c r="W21">
        <f>HYPERLINK("https://klasma.github.io/Logging_1980/artfynd/A 41262-2023 artfynd.xlsx", "A 41262-2023")</f>
        <v/>
      </c>
      <c r="X21">
        <f>HYPERLINK("https://klasma.github.io/Logging_1980/kartor/A 41262-2023 karta.png", "A 41262-2023")</f>
        <v/>
      </c>
      <c r="Y21">
        <f>HYPERLINK("https://klasma.github.io/Logging_1980/kartor_geotiff/A 41262-2023 georefererad karta.tif", "A 41262-2023")</f>
        <v/>
      </c>
      <c r="AA21">
        <f>HYPERLINK("https://klasma.github.io/Logging_1980/klagomål/A 41262-2023 FSC-klagomål.docx", "A 41262-2023")</f>
        <v/>
      </c>
      <c r="AB21">
        <f>HYPERLINK("https://klasma.github.io/Logging_1980/klagomålsmail/A 41262-2023 FSC-klagomål mail.docx", "A 41262-2023")</f>
        <v/>
      </c>
      <c r="AC21">
        <f>HYPERLINK("https://klasma.github.io/Logging_1980/tillsyn/A 41262-2023 tillsynsbegäran.docx", "A 41262-2023")</f>
        <v/>
      </c>
      <c r="AD21">
        <f>HYPERLINK("https://klasma.github.io/Logging_1980/tillsynsmail/A 41262-2023 tillsynsbegäran mail.docx", "A 41262-2023")</f>
        <v/>
      </c>
      <c r="AE21">
        <f>HYPERLINK("https://klasma.github.io/Logging_1980/fåglar/A 41262-2023 prioriterade fågelarter.docx", "A 41262-2023")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46253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46253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46253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46253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46253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46253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46253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46253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46253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46253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46253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46253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46253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46253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46253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46253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46253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46253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46253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46253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61059-2024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46253</v>
      </c>
      <c r="F45" t="inlineStr">
        <is>
          <t>VÄSTMANLANDS LÄN</t>
        </is>
      </c>
      <c r="G45" t="inlineStr">
        <is>
          <t>VÄSTERÅS</t>
        </is>
      </c>
      <c r="I45" t="n">
        <v>4.7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Bandad skulderbock</t>
        </is>
      </c>
      <c r="W45">
        <f>HYPERLINK("https://klasma.github.io/Logging_1980/artfynd/A 61059-2024 artfynd.xlsx", "A 61059-2024")</f>
        <v/>
      </c>
      <c r="X45">
        <f>HYPERLINK("https://klasma.github.io/Logging_1980/kartor/A 61059-2024 karta.png", "A 61059-2024")</f>
        <v/>
      </c>
      <c r="Y45">
        <f>HYPERLINK("https://klasma.github.io/Logging_1980/kartor_geotiff/A 61059-2024 georefererad karta.tif", "A 61059-2024")</f>
        <v/>
      </c>
      <c r="AA45">
        <f>HYPERLINK("https://klasma.github.io/Logging_1980/klagomål/A 61059-2024 FSC-klagomål.docx", "A 61059-2024")</f>
        <v/>
      </c>
      <c r="AB45">
        <f>HYPERLINK("https://klasma.github.io/Logging_1980/klagomålsmail/A 61059-2024 FSC-klagomål mail.docx", "A 61059-2024")</f>
        <v/>
      </c>
      <c r="AC45">
        <f>HYPERLINK("https://klasma.github.io/Logging_1980/tillsyn/A 61059-2024 tillsynsbegäran.docx", "A 61059-2024")</f>
        <v/>
      </c>
      <c r="AD45">
        <f>HYPERLINK("https://klasma.github.io/Logging_1980/tillsynsmail/A 61059-2024 tillsynsbegäran mail.docx", "A 61059-2024")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46253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12058-2026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46253</v>
      </c>
      <c r="F47" t="inlineStr">
        <is>
          <t>VÄSTMANLANDS LÄN</t>
        </is>
      </c>
      <c r="G47" t="inlineStr">
        <is>
          <t>VÄSTERÅS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Törnskata</t>
        </is>
      </c>
      <c r="W47">
        <f>HYPERLINK("https://klasma.github.io/Logging_1980/artfynd/A 12058-2026 artfynd.xlsx", "A 12058-2026")</f>
        <v/>
      </c>
      <c r="X47">
        <f>HYPERLINK("https://klasma.github.io/Logging_1980/kartor/A 12058-2026 karta.png", "A 12058-2026")</f>
        <v/>
      </c>
      <c r="Y47">
        <f>HYPERLINK("https://klasma.github.io/Logging_1980/kartor_geotiff/A 12058-2026 georefererad karta.tif", "A 12058-2026")</f>
        <v/>
      </c>
      <c r="AA47">
        <f>HYPERLINK("https://klasma.github.io/Logging_1980/klagomål/A 12058-2026 FSC-klagomål.docx", "A 12058-2026")</f>
        <v/>
      </c>
      <c r="AB47">
        <f>HYPERLINK("https://klasma.github.io/Logging_1980/klagomålsmail/A 12058-2026 FSC-klagomål mail.docx", "A 12058-2026")</f>
        <v/>
      </c>
      <c r="AC47">
        <f>HYPERLINK("https://klasma.github.io/Logging_1980/tillsyn/A 12058-2026 tillsynsbegäran.docx", "A 12058-2026")</f>
        <v/>
      </c>
      <c r="AD47">
        <f>HYPERLINK("https://klasma.github.io/Logging_1980/tillsynsmail/A 12058-2026 tillsynsbegäran mail.docx", "A 12058-2026")</f>
        <v/>
      </c>
      <c r="AE47">
        <f>HYPERLINK("https://klasma.github.io/Logging_1980/fåglar/A 12058-2026 prioriterade fågelarter.docx", "A 12058-2026")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46253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46253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59140-2025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46253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HYPERLINK("https://klasma.github.io/Logging_1980/artfynd/A 59140-2025 artfynd.xlsx", "A 59140-2025")</f>
        <v/>
      </c>
      <c r="X50">
        <f>HYPERLINK("https://klasma.github.io/Logging_1980/kartor/A 59140-2025 karta.png", "A 59140-2025")</f>
        <v/>
      </c>
      <c r="Y50">
        <f>HYPERLINK("https://klasma.github.io/Logging_1980/kartor_geotiff/A 59140-2025 georefererad karta.tif", "A 59140-2025")</f>
        <v/>
      </c>
      <c r="AA50">
        <f>HYPERLINK("https://klasma.github.io/Logging_1980/klagomål/A 59140-2025 FSC-klagomål.docx", "A 59140-2025")</f>
        <v/>
      </c>
      <c r="AB50">
        <f>HYPERLINK("https://klasma.github.io/Logging_1980/klagomålsmail/A 59140-2025 FSC-klagomål mail.docx", "A 59140-2025")</f>
        <v/>
      </c>
      <c r="AC50">
        <f>HYPERLINK("https://klasma.github.io/Logging_1980/tillsyn/A 59140-2025 tillsynsbegäran.docx", "A 59140-2025")</f>
        <v/>
      </c>
      <c r="AD50">
        <f>HYPERLINK("https://klasma.github.io/Logging_1980/tillsynsmail/A 59140-2025 tillsynsbegäran mail.docx", "A 59140-2025")</f>
        <v/>
      </c>
      <c r="AE50">
        <f>HYPERLINK("https://klasma.github.io/Logging_1980/fåglar/A 59140-2025 prioriterade fågelarter.docx", "A 59140-2025")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46253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46253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46253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HYPERLINK("https://klasma.github.io/Logging_1980/artfynd/A 22378-2026 artfynd.xlsx", "A 22378-2026")</f>
        <v/>
      </c>
      <c r="X53">
        <f>HYPERLINK("https://klasma.github.io/Logging_1980/kartor/A 22378-2026 karta.png", "A 22378-2026")</f>
        <v/>
      </c>
      <c r="Y53">
        <f>HYPERLINK("https://klasma.github.io/Logging_1980/kartor_geotiff/A 22378-2026 georefererad karta.tif", "A 22378-2026")</f>
        <v/>
      </c>
      <c r="AA53">
        <f>HYPERLINK("https://klasma.github.io/Logging_1980/klagomål/A 22378-2026 FSC-klagomål.docx", "A 22378-2026")</f>
        <v/>
      </c>
      <c r="AB53">
        <f>HYPERLINK("https://klasma.github.io/Logging_1980/klagomålsmail/A 22378-2026 FSC-klagomål mail.docx", "A 22378-2026")</f>
        <v/>
      </c>
      <c r="AC53">
        <f>HYPERLINK("https://klasma.github.io/Logging_1980/tillsyn/A 22378-2026 tillsynsbegäran.docx", "A 22378-2026")</f>
        <v/>
      </c>
      <c r="AD53">
        <f>HYPERLINK("https://klasma.github.io/Logging_1980/tillsynsmail/A 22378-2026 tillsynsbegäran mail.docx", "A 22378-2026")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46253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46253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46253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46253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46253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51147-2023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46253</v>
      </c>
      <c r="F59" t="inlineStr">
        <is>
          <t>VÄSTMANLANDS LÄN</t>
        </is>
      </c>
      <c r="G59" t="inlineStr">
        <is>
          <t>VÄSTERÅS</t>
        </is>
      </c>
      <c r="I59" t="n">
        <v>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Mindre märgborre</t>
        </is>
      </c>
      <c r="W59">
        <f>HYPERLINK("https://klasma.github.io/Logging_1980/artfynd/A 51147-2023 artfynd.xlsx", "A 51147-2023")</f>
        <v/>
      </c>
      <c r="X59">
        <f>HYPERLINK("https://klasma.github.io/Logging_1980/kartor/A 51147-2023 karta.png", "A 51147-2023")</f>
        <v/>
      </c>
      <c r="Y59">
        <f>HYPERLINK("https://klasma.github.io/Logging_1980/kartor_geotiff/A 51147-2023 georefererad karta.tif", "A 51147-2023")</f>
        <v/>
      </c>
      <c r="AA59">
        <f>HYPERLINK("https://klasma.github.io/Logging_1980/klagomål/A 51147-2023 FSC-klagomål.docx", "A 51147-2023")</f>
        <v/>
      </c>
      <c r="AB59">
        <f>HYPERLINK("https://klasma.github.io/Logging_1980/klagomålsmail/A 51147-2023 FSC-klagomål mail.docx", "A 51147-2023")</f>
        <v/>
      </c>
      <c r="AC59">
        <f>HYPERLINK("https://klasma.github.io/Logging_1980/tillsyn/A 51147-2023 tillsynsbegäran.docx", "A 51147-2023")</f>
        <v/>
      </c>
      <c r="AD59">
        <f>HYPERLINK("https://klasma.github.io/Logging_1980/tillsynsmail/A 51147-2023 tillsynsbegäran mail.docx", "A 51147-2023")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46253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HYPERLINK("https://klasma.github.io/Logging_1980/artfynd/A 50193-2022 artfynd.xlsx", "A 50193-2022")</f>
        <v/>
      </c>
      <c r="X60">
        <f>HYPERLINK("https://klasma.github.io/Logging_1980/kartor/A 50193-2022 karta.png", "A 50193-2022")</f>
        <v/>
      </c>
      <c r="Y60">
        <f>HYPERLINK("https://klasma.github.io/Logging_1980/kartor_geotiff/A 50193-2022 georefererad karta.tif", "A 50193-2022")</f>
        <v/>
      </c>
      <c r="AA60">
        <f>HYPERLINK("https://klasma.github.io/Logging_1980/klagomål/A 50193-2022 FSC-klagomål.docx", "A 50193-2022")</f>
        <v/>
      </c>
      <c r="AB60">
        <f>HYPERLINK("https://klasma.github.io/Logging_1980/klagomålsmail/A 50193-2022 FSC-klagomål mail.docx", "A 50193-2022")</f>
        <v/>
      </c>
      <c r="AC60">
        <f>HYPERLINK("https://klasma.github.io/Logging_1980/tillsyn/A 50193-2022 tillsynsbegäran.docx", "A 50193-2022")</f>
        <v/>
      </c>
      <c r="AD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46253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46253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46253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46253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46253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46253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46253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46253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46253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46253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46253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46253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46253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46253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46253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46253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46253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46253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46253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46253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46253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46253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46253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46253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46253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46253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46253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46253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46253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46253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46253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46253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46253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46253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46253</v>
      </c>
      <c r="F95" t="inlineStr">
        <is>
          <t>VÄSTMANLANDS LÄN</t>
        </is>
      </c>
      <c r="G95" t="inlineStr">
        <is>
          <t>VÄSTERÅS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67353-2021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46253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46253</v>
      </c>
      <c r="F97" t="inlineStr">
        <is>
          <t>VÄSTMANLANDS LÄN</t>
        </is>
      </c>
      <c r="G97" t="inlineStr">
        <is>
          <t>VÄSTERÅS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46253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44792</v>
      </c>
      <c r="E99" s="1" t="n">
        <v>46253</v>
      </c>
      <c r="F99" t="inlineStr">
        <is>
          <t>VÄSTMANLANDS LÄN</t>
        </is>
      </c>
      <c r="G99" t="inlineStr">
        <is>
          <t>VÄSTERÅS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18457-2023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45042</v>
      </c>
      <c r="E100" s="1" t="n">
        <v>46253</v>
      </c>
      <c r="F100" t="inlineStr">
        <is>
          <t>VÄSTMANLANDS LÄN</t>
        </is>
      </c>
      <c r="G100" t="inlineStr">
        <is>
          <t>VÄSTERÅS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46253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46253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46253</v>
      </c>
      <c r="F103" t="inlineStr">
        <is>
          <t>VÄSTMANLANDS LÄN</t>
        </is>
      </c>
      <c r="G103" t="inlineStr">
        <is>
          <t>VÄSTERÅS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46253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46253</v>
      </c>
      <c r="F105" t="inlineStr">
        <is>
          <t>VÄSTMANLANDS LÄN</t>
        </is>
      </c>
      <c r="G105" t="inlineStr">
        <is>
          <t>VÄSTERÅS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46253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46253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46253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46253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46253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46253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46253</v>
      </c>
      <c r="F112" t="inlineStr">
        <is>
          <t>VÄSTMANLANDS LÄN</t>
        </is>
      </c>
      <c r="G112" t="inlineStr">
        <is>
          <t>VÄSTERÅS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46253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46253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46253</v>
      </c>
      <c r="F115" t="inlineStr">
        <is>
          <t>VÄSTMANLANDS LÄN</t>
        </is>
      </c>
      <c r="G115" t="inlineStr">
        <is>
          <t>VÄSTERÅS</t>
        </is>
      </c>
      <c r="I115" t="n">
        <v>13.9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45042</v>
      </c>
      <c r="E116" s="1" t="n">
        <v>46253</v>
      </c>
      <c r="F116" t="inlineStr">
        <is>
          <t>VÄSTMANLANDS LÄN</t>
        </is>
      </c>
      <c r="G116" t="inlineStr">
        <is>
          <t>VÄSTERÅS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45232</v>
      </c>
      <c r="E117" s="1" t="n">
        <v>46253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37.9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70642-2021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46253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46253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46253</v>
      </c>
      <c r="F120" t="inlineStr">
        <is>
          <t>VÄSTMANLANDS LÄN</t>
        </is>
      </c>
      <c r="G120" t="inlineStr">
        <is>
          <t>VÄSTERÅS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45366</v>
      </c>
      <c r="E121" s="1" t="n">
        <v>46253</v>
      </c>
      <c r="F121" t="inlineStr">
        <is>
          <t>VÄSTMANLANDS LÄN</t>
        </is>
      </c>
      <c r="G121" t="inlineStr">
        <is>
          <t>VÄSTERÅS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44899</v>
      </c>
      <c r="E122" s="1" t="n">
        <v>46253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44914</v>
      </c>
      <c r="E123" s="1" t="n">
        <v>46253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46253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46253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46253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46253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46253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Kommuner</t>
        </is>
      </c>
      <c r="I128" t="n">
        <v>12.9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46253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Kommuner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46253</v>
      </c>
      <c r="F130" t="inlineStr">
        <is>
          <t>VÄSTMANLANDS LÄN</t>
        </is>
      </c>
      <c r="G130" t="inlineStr">
        <is>
          <t>VÄSTERÅS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46253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Övriga Aktiebolag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46253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42659-2021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44428</v>
      </c>
      <c r="E133" s="1" t="n">
        <v>46253</v>
      </c>
      <c r="F133" t="inlineStr">
        <is>
          <t>VÄSTMANLANDS LÄN</t>
        </is>
      </c>
      <c r="G133" t="inlineStr">
        <is>
          <t>VÄSTERÅS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17808-2023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45037</v>
      </c>
      <c r="E134" s="1" t="n">
        <v>46253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46253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46253</v>
      </c>
      <c r="F136" t="inlineStr">
        <is>
          <t>VÄSTMANLANDS LÄN</t>
        </is>
      </c>
      <c r="G136" t="inlineStr">
        <is>
          <t>VÄSTERÅS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44717</v>
      </c>
      <c r="E137" s="1" t="n">
        <v>46253</v>
      </c>
      <c r="F137" t="inlineStr">
        <is>
          <t>VÄSTMANLANDS LÄN</t>
        </is>
      </c>
      <c r="G137" t="inlineStr">
        <is>
          <t>VÄSTERÅS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46253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7797-2026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46062</v>
      </c>
      <c r="E139" s="1" t="n">
        <v>46253</v>
      </c>
      <c r="F139" t="inlineStr">
        <is>
          <t>VÄSTMANLANDS LÄN</t>
        </is>
      </c>
      <c r="G139" t="inlineStr">
        <is>
          <t>VÄSTERÅS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46253</v>
      </c>
      <c r="F140" t="inlineStr">
        <is>
          <t>VÄSTMANLANDS LÄN</t>
        </is>
      </c>
      <c r="G140" t="inlineStr">
        <is>
          <t>VÄSTERÅS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46253</v>
      </c>
      <c r="F141" t="inlineStr">
        <is>
          <t>VÄSTMANLANDS LÄN</t>
        </is>
      </c>
      <c r="G141" t="inlineStr">
        <is>
          <t>VÄSTERÅS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46253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46253</v>
      </c>
      <c r="F143" t="inlineStr">
        <is>
          <t>VÄSTMANLANDS LÄN</t>
        </is>
      </c>
      <c r="G143" t="inlineStr">
        <is>
          <t>VÄSTERÅS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63851-2021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44509</v>
      </c>
      <c r="E144" s="1" t="n">
        <v>46253</v>
      </c>
      <c r="F144" t="inlineStr">
        <is>
          <t>VÄSTMANLANDS LÄN</t>
        </is>
      </c>
      <c r="G144" t="inlineStr">
        <is>
          <t>VÄSTERÅS</t>
        </is>
      </c>
      <c r="I144" t="n">
        <v>11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46253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46253</v>
      </c>
      <c r="F146" t="inlineStr">
        <is>
          <t>VÄSTMANLANDS LÄN</t>
        </is>
      </c>
      <c r="G146" t="inlineStr">
        <is>
          <t>VÄSTERÅS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52027-2025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45952</v>
      </c>
      <c r="E147" s="1" t="n">
        <v>46253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46253</v>
      </c>
      <c r="F148" t="inlineStr">
        <is>
          <t>VÄSTMANLANDS LÄN</t>
        </is>
      </c>
      <c r="G148" t="inlineStr">
        <is>
          <t>VÄSTERÅS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46253</v>
      </c>
      <c r="F149" t="inlineStr">
        <is>
          <t>VÄSTMANLANDS LÄN</t>
        </is>
      </c>
      <c r="G149" t="inlineStr">
        <is>
          <t>VÄSTERÅS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46253</v>
      </c>
      <c r="F150" t="inlineStr">
        <is>
          <t>VÄSTMANLANDS LÄN</t>
        </is>
      </c>
      <c r="G150" t="inlineStr">
        <is>
          <t>VÄSTERÅS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46253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46253</v>
      </c>
      <c r="F152" t="inlineStr">
        <is>
          <t>VÄSTMANLANDS LÄN</t>
        </is>
      </c>
      <c r="G152" t="inlineStr">
        <is>
          <t>VÄSTERÅS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44594</v>
      </c>
      <c r="E153" s="1" t="n">
        <v>46253</v>
      </c>
      <c r="F153" t="inlineStr">
        <is>
          <t>VÄSTMANLANDS LÄN</t>
        </is>
      </c>
      <c r="G153" t="inlineStr">
        <is>
          <t>VÄSTERÅS</t>
        </is>
      </c>
      <c r="I153" t="n">
        <v>20.3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46253</v>
      </c>
      <c r="F154" t="inlineStr">
        <is>
          <t>VÄSTMANLANDS LÄN</t>
        </is>
      </c>
      <c r="G154" t="inlineStr">
        <is>
          <t>VÄSTERÅS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45628</v>
      </c>
      <c r="E155" s="1" t="n">
        <v>46253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46253</v>
      </c>
      <c r="F156" t="inlineStr">
        <is>
          <t>VÄSTMANLANDS LÄN</t>
        </is>
      </c>
      <c r="G156" t="inlineStr">
        <is>
          <t>VÄSTERÅS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45027</v>
      </c>
      <c r="E157" s="1" t="n">
        <v>46253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44826</v>
      </c>
      <c r="E158" s="1" t="n">
        <v>46253</v>
      </c>
      <c r="F158" t="inlineStr">
        <is>
          <t>VÄSTMANLANDS LÄN</t>
        </is>
      </c>
      <c r="G158" t="inlineStr">
        <is>
          <t>VÄSTERÅS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44999</v>
      </c>
      <c r="E159" s="1" t="n">
        <v>46253</v>
      </c>
      <c r="F159" t="inlineStr">
        <is>
          <t>VÄSTMANLANDS LÄN</t>
        </is>
      </c>
      <c r="G159" t="inlineStr">
        <is>
          <t>VÄSTERÅS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45926</v>
      </c>
      <c r="E160" s="1" t="n">
        <v>46253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52015-2024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45607</v>
      </c>
      <c r="E161" s="1" t="n">
        <v>46253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46253</v>
      </c>
      <c r="F162" t="inlineStr">
        <is>
          <t>VÄSTMANLANDS LÄN</t>
        </is>
      </c>
      <c r="G162" t="inlineStr">
        <is>
          <t>VÄSTERÅS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3118-2022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44582</v>
      </c>
      <c r="E163" s="1" t="n">
        <v>46253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Aktiebolag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45019</v>
      </c>
      <c r="E164" s="1" t="n">
        <v>46253</v>
      </c>
      <c r="F164" t="inlineStr">
        <is>
          <t>VÄSTMANLANDS LÄN</t>
        </is>
      </c>
      <c r="G164" t="inlineStr">
        <is>
          <t>VÄSTERÅS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46253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46253</v>
      </c>
      <c r="F166" t="inlineStr">
        <is>
          <t>VÄSTMANLANDS LÄN</t>
        </is>
      </c>
      <c r="G166" t="inlineStr">
        <is>
          <t>VÄSTERÅS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46253</v>
      </c>
      <c r="F167" t="inlineStr">
        <is>
          <t>VÄSTMANLANDS LÄN</t>
        </is>
      </c>
      <c r="G167" t="inlineStr">
        <is>
          <t>VÄSTERÅS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46253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46253</v>
      </c>
      <c r="F169" t="inlineStr">
        <is>
          <t>VÄSTMANLANDS LÄN</t>
        </is>
      </c>
      <c r="G169" t="inlineStr">
        <is>
          <t>VÄSTERÅS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46253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46253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46253</v>
      </c>
      <c r="F172" t="inlineStr">
        <is>
          <t>VÄSTMANLANDS LÄN</t>
        </is>
      </c>
      <c r="G172" t="inlineStr">
        <is>
          <t>VÄSTERÅS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46253</v>
      </c>
      <c r="F173" t="inlineStr">
        <is>
          <t>VÄSTMANLANDS LÄN</t>
        </is>
      </c>
      <c r="G173" t="inlineStr">
        <is>
          <t>VÄSTERÅS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46112</v>
      </c>
      <c r="E174" s="1" t="n">
        <v>46253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46253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46253</v>
      </c>
      <c r="F176" t="inlineStr">
        <is>
          <t>VÄSTMANLANDS LÄN</t>
        </is>
      </c>
      <c r="G176" t="inlineStr">
        <is>
          <t>VÄSTERÅS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46253</v>
      </c>
      <c r="F177" t="inlineStr">
        <is>
          <t>VÄSTMANLANDS LÄN</t>
        </is>
      </c>
      <c r="G177" t="inlineStr">
        <is>
          <t>VÄSTERÅS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46253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Övriga statliga verk och myndigheter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46253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46253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Allmännings- och besparingsskogar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44840</v>
      </c>
      <c r="E181" s="1" t="n">
        <v>46253</v>
      </c>
      <c r="F181" t="inlineStr">
        <is>
          <t>VÄSTMANLANDS LÄN</t>
        </is>
      </c>
      <c r="G181" t="inlineStr">
        <is>
          <t>VÄSTERÅS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45077</v>
      </c>
      <c r="E182" s="1" t="n">
        <v>46253</v>
      </c>
      <c r="F182" t="inlineStr">
        <is>
          <t>VÄSTMANLANDS LÄN</t>
        </is>
      </c>
      <c r="G182" t="inlineStr">
        <is>
          <t>VÄSTERÅS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46253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46253</v>
      </c>
      <c r="F184" t="inlineStr">
        <is>
          <t>VÄSTMANLANDS LÄN</t>
        </is>
      </c>
      <c r="G184" t="inlineStr">
        <is>
          <t>VÄSTERÅS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46135</v>
      </c>
      <c r="E185" s="1" t="n">
        <v>46253</v>
      </c>
      <c r="F185" t="inlineStr">
        <is>
          <t>VÄSTMANLANDS LÄN</t>
        </is>
      </c>
      <c r="G185" t="inlineStr">
        <is>
          <t>VÄSTERÅS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47101-2025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46253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46253</v>
      </c>
      <c r="F187" t="inlineStr">
        <is>
          <t>VÄSTMANLANDS LÄN</t>
        </is>
      </c>
      <c r="G187" t="inlineStr">
        <is>
          <t>VÄSTERÅS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46253</v>
      </c>
      <c r="F188" t="inlineStr">
        <is>
          <t>VÄSTMANLANDS LÄN</t>
        </is>
      </c>
      <c r="G188" t="inlineStr">
        <is>
          <t>VÄSTERÅS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46253</v>
      </c>
      <c r="F189" t="inlineStr">
        <is>
          <t>VÄSTMANLANDS LÄN</t>
        </is>
      </c>
      <c r="G189" t="inlineStr">
        <is>
          <t>VÄSTERÅS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45223</v>
      </c>
      <c r="E190" s="1" t="n">
        <v>46253</v>
      </c>
      <c r="F190" t="inlineStr">
        <is>
          <t>VÄSTMANLANDS LÄN</t>
        </is>
      </c>
      <c r="G190" t="inlineStr">
        <is>
          <t>VÄSTERÅS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46253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46253</v>
      </c>
      <c r="F192" t="inlineStr">
        <is>
          <t>VÄSTMANLANDS LÄN</t>
        </is>
      </c>
      <c r="G192" t="inlineStr">
        <is>
          <t>VÄSTERÅS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46253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64207-2023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46253</v>
      </c>
      <c r="F194" t="inlineStr">
        <is>
          <t>VÄSTMANLANDS LÄN</t>
        </is>
      </c>
      <c r="G194" t="inlineStr">
        <is>
          <t>VÄSTERÅS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46253</v>
      </c>
      <c r="F195" t="inlineStr">
        <is>
          <t>VÄSTMANLANDS LÄN</t>
        </is>
      </c>
      <c r="G195" t="inlineStr">
        <is>
          <t>VÄSTERÅS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46253</v>
      </c>
      <c r="F196" t="inlineStr">
        <is>
          <t>VÄSTMANLANDS LÄN</t>
        </is>
      </c>
      <c r="G196" t="inlineStr">
        <is>
          <t>VÄSTERÅS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45979</v>
      </c>
      <c r="E197" s="1" t="n">
        <v>46253</v>
      </c>
      <c r="F197" t="inlineStr">
        <is>
          <t>VÄSTMANLANDS LÄN</t>
        </is>
      </c>
      <c r="G197" t="inlineStr">
        <is>
          <t>VÄSTERÅS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46253</v>
      </c>
      <c r="F198" t="inlineStr">
        <is>
          <t>VÄSTMANLANDS LÄN</t>
        </is>
      </c>
      <c r="G198" t="inlineStr">
        <is>
          <t>VÄSTERÅS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46253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46253</v>
      </c>
      <c r="F200" t="inlineStr">
        <is>
          <t>VÄSTMANLANDS LÄN</t>
        </is>
      </c>
      <c r="G200" t="inlineStr">
        <is>
          <t>VÄSTERÅS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46253</v>
      </c>
      <c r="F201" t="inlineStr">
        <is>
          <t>VÄSTMANLANDS LÄN</t>
        </is>
      </c>
      <c r="G201" t="inlineStr">
        <is>
          <t>VÄSTERÅS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46253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73601-2021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44552</v>
      </c>
      <c r="E203" s="1" t="n">
        <v>46253</v>
      </c>
      <c r="F203" t="inlineStr">
        <is>
          <t>VÄSTMANLANDS LÄN</t>
        </is>
      </c>
      <c r="G203" t="inlineStr">
        <is>
          <t>VÄSTERÅS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46253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46253</v>
      </c>
      <c r="F205" t="inlineStr">
        <is>
          <t>VÄSTMANLANDS LÄN</t>
        </is>
      </c>
      <c r="G205" t="inlineStr">
        <is>
          <t>VÄSTERÅS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46253</v>
      </c>
      <c r="F206" t="inlineStr">
        <is>
          <t>VÄSTMANLANDS LÄN</t>
        </is>
      </c>
      <c r="G206" t="inlineStr">
        <is>
          <t>VÄSTERÅS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46253</v>
      </c>
      <c r="F207" t="inlineStr">
        <is>
          <t>VÄSTMANLANDS LÄN</t>
        </is>
      </c>
      <c r="G207" t="inlineStr">
        <is>
          <t>VÄSTERÅS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74314-2021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44559</v>
      </c>
      <c r="E208" s="1" t="n">
        <v>46253</v>
      </c>
      <c r="F208" t="inlineStr">
        <is>
          <t>VÄSTMANLANDS LÄN</t>
        </is>
      </c>
      <c r="G208" t="inlineStr">
        <is>
          <t>VÄSTERÅS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46253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45218</v>
      </c>
      <c r="E210" s="1" t="n">
        <v>46253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44637</v>
      </c>
      <c r="E211" s="1" t="n">
        <v>46253</v>
      </c>
      <c r="F211" t="inlineStr">
        <is>
          <t>VÄSTMANLANDS LÄN</t>
        </is>
      </c>
      <c r="G211" t="inlineStr">
        <is>
          <t>VÄSTERÅS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45028</v>
      </c>
      <c r="E212" s="1" t="n">
        <v>46253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46253</v>
      </c>
      <c r="F213" t="inlineStr">
        <is>
          <t>VÄSTMANLANDS LÄN</t>
        </is>
      </c>
      <c r="G213" t="inlineStr">
        <is>
          <t>VÄSTERÅS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46253</v>
      </c>
      <c r="F214" t="inlineStr">
        <is>
          <t>VÄSTMANLANDS LÄN</t>
        </is>
      </c>
      <c r="G214" t="inlineStr">
        <is>
          <t>VÄSTERÅS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46253</v>
      </c>
      <c r="F215" t="inlineStr">
        <is>
          <t>VÄSTMANLANDS LÄN</t>
        </is>
      </c>
      <c r="G215" t="inlineStr">
        <is>
          <t>VÄSTERÅS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46253</v>
      </c>
      <c r="F216" t="inlineStr">
        <is>
          <t>VÄSTMANLANDS LÄN</t>
        </is>
      </c>
      <c r="G216" t="inlineStr">
        <is>
          <t>VÄSTERÅS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46253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45174</v>
      </c>
      <c r="E218" s="1" t="n">
        <v>46253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46253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Allmännings- och besparingsskogar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46253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46253</v>
      </c>
      <c r="F221" t="inlineStr">
        <is>
          <t>VÄSTMANLANDS LÄN</t>
        </is>
      </c>
      <c r="G221" t="inlineStr">
        <is>
          <t>VÄSTERÅS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45125</v>
      </c>
      <c r="E222" s="1" t="n">
        <v>46253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18465-2023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46253</v>
      </c>
      <c r="F223" t="inlineStr">
        <is>
          <t>VÄSTMANLANDS LÄN</t>
        </is>
      </c>
      <c r="G223" t="inlineStr">
        <is>
          <t>VÄSTERÅS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46253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73994-2021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44556</v>
      </c>
      <c r="E225" s="1" t="n">
        <v>46253</v>
      </c>
      <c r="F225" t="inlineStr">
        <is>
          <t>VÄSTMANLANDS LÄN</t>
        </is>
      </c>
      <c r="G225" t="inlineStr">
        <is>
          <t>VÄSTERÅS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46253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45628</v>
      </c>
      <c r="E227" s="1" t="n">
        <v>46253</v>
      </c>
      <c r="F227" t="inlineStr">
        <is>
          <t>VÄSTMANLANDS LÄN</t>
        </is>
      </c>
      <c r="G227" t="inlineStr">
        <is>
          <t>VÄSTERÅS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73597-2021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44552</v>
      </c>
      <c r="E228" s="1" t="n">
        <v>46253</v>
      </c>
      <c r="F228" t="inlineStr">
        <is>
          <t>VÄSTMANLANDS LÄN</t>
        </is>
      </c>
      <c r="G228" t="inlineStr">
        <is>
          <t>VÄSTERÅS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46253</v>
      </c>
      <c r="F229" t="inlineStr">
        <is>
          <t>VÄSTMANLANDS LÄN</t>
        </is>
      </c>
      <c r="G229" t="inlineStr">
        <is>
          <t>VÄSTERÅS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13376-2022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44645</v>
      </c>
      <c r="E230" s="1" t="n">
        <v>46253</v>
      </c>
      <c r="F230" t="inlineStr">
        <is>
          <t>VÄSTMANLANDS LÄN</t>
        </is>
      </c>
      <c r="G230" t="inlineStr">
        <is>
          <t>VÄSTERÅS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45506</v>
      </c>
      <c r="E231" s="1" t="n">
        <v>46253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Kommuner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67350-2021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44523</v>
      </c>
      <c r="E232" s="1" t="n">
        <v>46253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Övriga Aktiebolag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46253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46253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46253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46253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46253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44623</v>
      </c>
      <c r="E238" s="1" t="n">
        <v>46253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46253</v>
      </c>
      <c r="F239" t="inlineStr">
        <is>
          <t>VÄSTMANLANDS LÄN</t>
        </is>
      </c>
      <c r="G239" t="inlineStr">
        <is>
          <t>VÄSTERÅS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46253</v>
      </c>
      <c r="F240" t="inlineStr">
        <is>
          <t>VÄSTMANLANDS LÄN</t>
        </is>
      </c>
      <c r="G240" t="inlineStr">
        <is>
          <t>VÄSTERÅS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46253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46253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46213</v>
      </c>
      <c r="E243" s="1" t="n">
        <v>46253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46215</v>
      </c>
      <c r="E244" s="1" t="n">
        <v>46253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44635</v>
      </c>
      <c r="E245" s="1" t="n">
        <v>46253</v>
      </c>
      <c r="F245" t="inlineStr">
        <is>
          <t>VÄSTMANLANDS LÄN</t>
        </is>
      </c>
      <c r="G245" t="inlineStr">
        <is>
          <t>VÄSTERÅS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44635</v>
      </c>
      <c r="E246" s="1" t="n">
        <v>46253</v>
      </c>
      <c r="F246" t="inlineStr">
        <is>
          <t>VÄSTMANLANDS LÄN</t>
        </is>
      </c>
      <c r="G246" t="inlineStr">
        <is>
          <t>VÄSTERÅS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44610</v>
      </c>
      <c r="E247" s="1" t="n">
        <v>46253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46215</v>
      </c>
      <c r="E248" s="1" t="n">
        <v>46253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46253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46253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11950-2022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44635</v>
      </c>
      <c r="E251" s="1" t="n">
        <v>46253</v>
      </c>
      <c r="F251" t="inlineStr">
        <is>
          <t>VÄSTMANLANDS LÄN</t>
        </is>
      </c>
      <c r="G251" t="inlineStr">
        <is>
          <t>VÄSTERÅS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46253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46253</v>
      </c>
      <c r="F253" t="inlineStr">
        <is>
          <t>VÄSTMANLANDS LÄN</t>
        </is>
      </c>
      <c r="G253" t="inlineStr">
        <is>
          <t>VÄSTERÅS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46253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44708</v>
      </c>
      <c r="E255" s="1" t="n">
        <v>46253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45705</v>
      </c>
      <c r="E256" s="1" t="n">
        <v>46253</v>
      </c>
      <c r="F256" t="inlineStr">
        <is>
          <t>VÄSTMANLANDS LÄN</t>
        </is>
      </c>
      <c r="G256" t="inlineStr">
        <is>
          <t>VÄSTERÅS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46253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44680</v>
      </c>
      <c r="E258" s="1" t="n">
        <v>46253</v>
      </c>
      <c r="F258" t="inlineStr">
        <is>
          <t>VÄSTMANLANDS LÄN</t>
        </is>
      </c>
      <c r="G258" t="inlineStr">
        <is>
          <t>VÄSTERÅS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27722-2022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44743</v>
      </c>
      <c r="E259" s="1" t="n">
        <v>46253</v>
      </c>
      <c r="F259" t="inlineStr">
        <is>
          <t>VÄSTMANLANDS LÄN</t>
        </is>
      </c>
      <c r="G259" t="inlineStr">
        <is>
          <t>VÄSTERÅS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46253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46253</v>
      </c>
      <c r="F261" t="inlineStr">
        <is>
          <t>VÄSTMANLANDS LÄN</t>
        </is>
      </c>
      <c r="G261" t="inlineStr">
        <is>
          <t>VÄSTERÅS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44664</v>
      </c>
      <c r="E262" s="1" t="n">
        <v>46253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46253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Allmännings- och besparingsskogar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46253</v>
      </c>
      <c r="F264" t="inlineStr">
        <is>
          <t>VÄSTMANLANDS LÄN</t>
        </is>
      </c>
      <c r="G264" t="inlineStr">
        <is>
          <t>VÄSTERÅS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46253</v>
      </c>
      <c r="F265" t="inlineStr">
        <is>
          <t>VÄSTMANLANDS LÄN</t>
        </is>
      </c>
      <c r="G265" t="inlineStr">
        <is>
          <t>VÄSTERÅS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23765-2022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44722</v>
      </c>
      <c r="E266" s="1" t="n">
        <v>46253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46253</v>
      </c>
      <c r="F267" t="inlineStr">
        <is>
          <t>VÄSTMANLANDS LÄN</t>
        </is>
      </c>
      <c r="G267" t="inlineStr">
        <is>
          <t>VÄSTERÅS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46253</v>
      </c>
      <c r="F268" t="inlineStr">
        <is>
          <t>VÄSTMANLANDS LÄN</t>
        </is>
      </c>
      <c r="G268" t="inlineStr">
        <is>
          <t>VÄSTERÅS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46253</v>
      </c>
      <c r="F269" t="inlineStr">
        <is>
          <t>VÄSTMANLANDS LÄN</t>
        </is>
      </c>
      <c r="G269" t="inlineStr">
        <is>
          <t>VÄSTERÅS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46253</v>
      </c>
      <c r="F270" t="inlineStr">
        <is>
          <t>VÄSTMANLANDS LÄN</t>
        </is>
      </c>
      <c r="G270" t="inlineStr">
        <is>
          <t>VÄSTERÅS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46253</v>
      </c>
      <c r="F271" t="inlineStr">
        <is>
          <t>VÄSTMANLANDS LÄN</t>
        </is>
      </c>
      <c r="G271" t="inlineStr">
        <is>
          <t>VÄSTERÅS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64202-2023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45279</v>
      </c>
      <c r="E272" s="1" t="n">
        <v>46253</v>
      </c>
      <c r="F272" t="inlineStr">
        <is>
          <t>VÄSTMANLANDS LÄN</t>
        </is>
      </c>
      <c r="G272" t="inlineStr">
        <is>
          <t>VÄSTERÅS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45282</v>
      </c>
      <c r="E273" s="1" t="n">
        <v>46253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46253</v>
      </c>
      <c r="F274" t="inlineStr">
        <is>
          <t>VÄSTMANLANDS LÄN</t>
        </is>
      </c>
      <c r="G274" t="inlineStr">
        <is>
          <t>VÄSTERÅS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46253</v>
      </c>
      <c r="F275" t="inlineStr">
        <is>
          <t>VÄSTMANLANDS LÄN</t>
        </is>
      </c>
      <c r="G275" t="inlineStr">
        <is>
          <t>VÄSTERÅS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44648</v>
      </c>
      <c r="E276" s="1" t="n">
        <v>46253</v>
      </c>
      <c r="F276" t="inlineStr">
        <is>
          <t>VÄSTMANLANDS LÄN</t>
        </is>
      </c>
      <c r="G276" t="inlineStr">
        <is>
          <t>VÄSTERÅS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46195</v>
      </c>
      <c r="E277" s="1" t="n">
        <v>46253</v>
      </c>
      <c r="F277" t="inlineStr">
        <is>
          <t>VÄSTMANLANDS LÄN</t>
        </is>
      </c>
      <c r="G277" t="inlineStr">
        <is>
          <t>VÄSTERÅS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44847</v>
      </c>
      <c r="E278" s="1" t="n">
        <v>46253</v>
      </c>
      <c r="F278" t="inlineStr">
        <is>
          <t>VÄSTMANLANDS LÄN</t>
        </is>
      </c>
      <c r="G278" t="inlineStr">
        <is>
          <t>VÄSTERÅS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44961</v>
      </c>
      <c r="E279" s="1" t="n">
        <v>46253</v>
      </c>
      <c r="F279" t="inlineStr">
        <is>
          <t>VÄSTMANLANDS LÄN</t>
        </is>
      </c>
      <c r="G279" t="inlineStr">
        <is>
          <t>VÄSTERÅS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46253</v>
      </c>
      <c r="F280" t="inlineStr">
        <is>
          <t>VÄSTMANLANDS LÄN</t>
        </is>
      </c>
      <c r="G280" t="inlineStr">
        <is>
          <t>VÄSTERÅS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67352-2021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46253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Övriga Aktiebolag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44671</v>
      </c>
      <c r="E282" s="1" t="n">
        <v>46253</v>
      </c>
      <c r="F282" t="inlineStr">
        <is>
          <t>VÄSTMANLANDS LÄN</t>
        </is>
      </c>
      <c r="G282" t="inlineStr">
        <is>
          <t>VÄSTERÅS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45448</v>
      </c>
      <c r="E283" s="1" t="n">
        <v>46253</v>
      </c>
      <c r="F283" t="inlineStr">
        <is>
          <t>VÄSTMANLANDS LÄN</t>
        </is>
      </c>
      <c r="G283" t="inlineStr">
        <is>
          <t>VÄSTERÅS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46253</v>
      </c>
      <c r="F284" t="inlineStr">
        <is>
          <t>VÄSTMANLANDS LÄN</t>
        </is>
      </c>
      <c r="G284" t="inlineStr">
        <is>
          <t>VÄSTERÅS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44657</v>
      </c>
      <c r="E285" s="1" t="n">
        <v>46253</v>
      </c>
      <c r="F285" t="inlineStr">
        <is>
          <t>VÄSTMANLANDS LÄN</t>
        </is>
      </c>
      <c r="G285" t="inlineStr">
        <is>
          <t>VÄSTERÅS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44755</v>
      </c>
      <c r="E286" s="1" t="n">
        <v>46253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11137-2023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44987</v>
      </c>
      <c r="E287" s="1" t="n">
        <v>46253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46253</v>
      </c>
      <c r="F288" t="inlineStr">
        <is>
          <t>VÄSTMANLANDS LÄN</t>
        </is>
      </c>
      <c r="G288" t="inlineStr">
        <is>
          <t>VÄSTERÅS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46253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44610</v>
      </c>
      <c r="E290" s="1" t="n">
        <v>46253</v>
      </c>
      <c r="F290" t="inlineStr">
        <is>
          <t>VÄSTMANLANDS LÄN</t>
        </is>
      </c>
      <c r="G290" t="inlineStr">
        <is>
          <t>VÄSTERÅS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46253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46253</v>
      </c>
      <c r="F292" t="inlineStr">
        <is>
          <t>VÄSTMANLANDS LÄN</t>
        </is>
      </c>
      <c r="G292" t="inlineStr">
        <is>
          <t>VÄSTERÅS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46253</v>
      </c>
      <c r="F293" t="inlineStr">
        <is>
          <t>VÄSTMANLANDS LÄN</t>
        </is>
      </c>
      <c r="G293" t="inlineStr">
        <is>
          <t>VÄSTERÅS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46253</v>
      </c>
      <c r="F294" t="inlineStr">
        <is>
          <t>VÄSTMANLANDS LÄN</t>
        </is>
      </c>
      <c r="G294" t="inlineStr">
        <is>
          <t>VÄSTERÅS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46253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45579</v>
      </c>
      <c r="E296" s="1" t="n">
        <v>46253</v>
      </c>
      <c r="F296" t="inlineStr">
        <is>
          <t>VÄSTMANLANDS LÄN</t>
        </is>
      </c>
      <c r="G296" t="inlineStr">
        <is>
          <t>VÄSTERÅS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46080</v>
      </c>
      <c r="E297" s="1" t="n">
        <v>46253</v>
      </c>
      <c r="F297" t="inlineStr">
        <is>
          <t>VÄSTMANLANDS LÄN</t>
        </is>
      </c>
      <c r="G297" t="inlineStr">
        <is>
          <t>VÄSTERÅS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46253</v>
      </c>
      <c r="F298" t="inlineStr">
        <is>
          <t>VÄSTMANLANDS LÄN</t>
        </is>
      </c>
      <c r="G298" t="inlineStr">
        <is>
          <t>VÄSTERÅS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46253</v>
      </c>
      <c r="F299" t="inlineStr">
        <is>
          <t>VÄSTMANLANDS LÄN</t>
        </is>
      </c>
      <c r="G299" t="inlineStr">
        <is>
          <t>VÄSTERÅS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46253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61249-2021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46253</v>
      </c>
      <c r="F301" t="inlineStr">
        <is>
          <t>VÄSTMANLANDS LÄN</t>
        </is>
      </c>
      <c r="G301" t="inlineStr">
        <is>
          <t>VÄSTERÅS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46253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Kyrkan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46253</v>
      </c>
      <c r="F303" t="inlineStr">
        <is>
          <t>VÄSTMANLANDS LÄN</t>
        </is>
      </c>
      <c r="G303" t="inlineStr">
        <is>
          <t>VÄSTERÅS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44659</v>
      </c>
      <c r="E304" s="1" t="n">
        <v>46253</v>
      </c>
      <c r="F304" t="inlineStr">
        <is>
          <t>VÄSTMANLANDS LÄN</t>
        </is>
      </c>
      <c r="G304" t="inlineStr">
        <is>
          <t>VÄSTERÅS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46253</v>
      </c>
      <c r="F305" t="inlineStr">
        <is>
          <t>VÄSTMANLANDS LÄN</t>
        </is>
      </c>
      <c r="G305" t="inlineStr">
        <is>
          <t>VÄSTERÅS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46253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45761</v>
      </c>
      <c r="E307" s="1" t="n">
        <v>46253</v>
      </c>
      <c r="F307" t="inlineStr">
        <is>
          <t>VÄSTMANLANDS LÄN</t>
        </is>
      </c>
      <c r="G307" t="inlineStr">
        <is>
          <t>VÄSTERÅS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46253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45398</v>
      </c>
      <c r="E309" s="1" t="n">
        <v>46253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46253</v>
      </c>
      <c r="F310" t="inlineStr">
        <is>
          <t>VÄSTMANLANDS LÄN</t>
        </is>
      </c>
      <c r="G310" t="inlineStr">
        <is>
          <t>VÄSTERÅS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55684-2023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45232</v>
      </c>
      <c r="E311" s="1" t="n">
        <v>46253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Övriga Aktiebolag</t>
        </is>
      </c>
      <c r="I311" t="n">
        <v>29.4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45553</v>
      </c>
      <c r="E312" s="1" t="n">
        <v>46253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45019</v>
      </c>
      <c r="E313" s="1" t="n">
        <v>46253</v>
      </c>
      <c r="F313" t="inlineStr">
        <is>
          <t>VÄSTMANLANDS LÄN</t>
        </is>
      </c>
      <c r="G313" t="inlineStr">
        <is>
          <t>VÄSTERÅS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18467-2023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45042</v>
      </c>
      <c r="E314" s="1" t="n">
        <v>46253</v>
      </c>
      <c r="F314" t="inlineStr">
        <is>
          <t>VÄSTMANLANDS LÄN</t>
        </is>
      </c>
      <c r="G314" t="inlineStr">
        <is>
          <t>VÄSTERÅS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45033</v>
      </c>
      <c r="E315" s="1" t="n">
        <v>46253</v>
      </c>
      <c r="F315" t="inlineStr">
        <is>
          <t>VÄSTMANLANDS LÄN</t>
        </is>
      </c>
      <c r="G315" t="inlineStr">
        <is>
          <t>VÄSTERÅS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45370</v>
      </c>
      <c r="E316" s="1" t="n">
        <v>46253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46253</v>
      </c>
      <c r="F317" t="inlineStr">
        <is>
          <t>VÄSTMANLANDS LÄN</t>
        </is>
      </c>
      <c r="G317" t="inlineStr">
        <is>
          <t>VÄSTERÅS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46253</v>
      </c>
      <c r="F318" t="inlineStr">
        <is>
          <t>VÄSTMANLANDS LÄN</t>
        </is>
      </c>
      <c r="G318" t="inlineStr">
        <is>
          <t>VÄSTERÅS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45638</v>
      </c>
      <c r="E319" s="1" t="n">
        <v>46253</v>
      </c>
      <c r="F319" t="inlineStr">
        <is>
          <t>VÄSTMANLANDS LÄN</t>
        </is>
      </c>
      <c r="G319" t="inlineStr">
        <is>
          <t>VÄSTERÅS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41469-2024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45560</v>
      </c>
      <c r="E320" s="1" t="n">
        <v>46253</v>
      </c>
      <c r="F320" t="inlineStr">
        <is>
          <t>VÄSTMANLANDS LÄN</t>
        </is>
      </c>
      <c r="G320" t="inlineStr">
        <is>
          <t>VÄSTERÅS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46253</v>
      </c>
      <c r="F321" t="inlineStr">
        <is>
          <t>VÄSTMANLANDS LÄN</t>
        </is>
      </c>
      <c r="G321" t="inlineStr">
        <is>
          <t>VÄSTERÅS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46253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45378</v>
      </c>
      <c r="E323" s="1" t="n">
        <v>46253</v>
      </c>
      <c r="F323" t="inlineStr">
        <is>
          <t>VÄSTMANLANDS LÄN</t>
        </is>
      </c>
      <c r="G323" t="inlineStr">
        <is>
          <t>VÄSTERÅS</t>
        </is>
      </c>
      <c r="I323" t="n">
        <v>15.4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46253</v>
      </c>
      <c r="F324" t="inlineStr">
        <is>
          <t>VÄSTMANLANDS LÄN</t>
        </is>
      </c>
      <c r="G324" t="inlineStr">
        <is>
          <t>VÄSTERÅS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45506</v>
      </c>
      <c r="E325" s="1" t="n">
        <v>46253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Kommuner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46253</v>
      </c>
      <c r="F326" t="inlineStr">
        <is>
          <t>VÄSTMANLANDS LÄN</t>
        </is>
      </c>
      <c r="G326" t="inlineStr">
        <is>
          <t>VÄSTERÅS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46253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46253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1415-2022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44634</v>
      </c>
      <c r="E329" s="1" t="n">
        <v>46253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46253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46253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46253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46253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2026-08-19T01:45:22Z</dcterms:created>
  <dcterms:modified xmlns:dcterms="http://purl.org/dc/terms/" xmlns:xsi="http://www.w3.org/2001/XMLSchema-instance" xsi:type="dcterms:W3CDTF">2026-08-19T01:45:23Z</dcterms:modified>
</cp:coreProperties>
</file>