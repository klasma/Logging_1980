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45742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45742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45742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45742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45742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45742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45742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45742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45742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45742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45742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45742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45742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45742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45742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45742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45742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45742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45742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45742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45742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HYPERLINK("https://klasma.github.io/Logging_1980/artfynd/A 14265-2025 artfynd.xlsx", "A 14265-2025")</f>
        <v/>
      </c>
      <c r="T22">
        <f>HYPERLINK("https://klasma.github.io/Logging_1980/kartor/A 14265-2025 karta.png", "A 14265-2025")</f>
        <v/>
      </c>
      <c r="U22">
        <f>HYPERLINK("https://klasma.github.io/Logging_1980/knärot/A 14265-2025 karta knärot.png", "A 14265-2025")</f>
        <v/>
      </c>
      <c r="V22">
        <f>HYPERLINK("https://klasma.github.io/Logging_1980/klagomål/A 14265-2025 FSC-klagomål.docx", "A 14265-2025")</f>
        <v/>
      </c>
      <c r="W22">
        <f>HYPERLINK("https://klasma.github.io/Logging_1980/klagomålsmail/A 14265-2025 FSC-klagomål mail.docx", "A 14265-2025")</f>
        <v/>
      </c>
      <c r="X22">
        <f>HYPERLINK("https://klasma.github.io/Logging_1980/tillsyn/A 14265-2025 tillsynsbegäran.docx", "A 14265-2025")</f>
        <v/>
      </c>
      <c r="Y22">
        <f>HYPERLINK("https://klasma.github.io/Logging_1980/tillsynsmail/A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45742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45742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45742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45742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45742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45742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45742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45742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45742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45742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45742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45742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45742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21817-2020</t>
        </is>
      </c>
      <c r="B36" s="1" t="n">
        <v>43958</v>
      </c>
      <c r="C36" s="1" t="n">
        <v>45742</v>
      </c>
      <c r="D36" t="inlineStr">
        <is>
          <t>VÄSTMANLANDS LÄN</t>
        </is>
      </c>
      <c r="E36" t="inlineStr">
        <is>
          <t>VÄSTERÅS</t>
        </is>
      </c>
      <c r="F36" t="inlineStr">
        <is>
          <t>Kyrkan</t>
        </is>
      </c>
      <c r="G36" t="n">
        <v>9.5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Trubbfjädermossa</t>
        </is>
      </c>
      <c r="S36">
        <f>HYPERLINK("https://klasma.github.io/Logging_1980/artfynd/A 21817-2020 artfynd.xlsx", "A 21817-2020")</f>
        <v/>
      </c>
      <c r="T36">
        <f>HYPERLINK("https://klasma.github.io/Logging_1980/kartor/A 21817-2020 karta.png", "A 21817-2020")</f>
        <v/>
      </c>
      <c r="V36">
        <f>HYPERLINK("https://klasma.github.io/Logging_1980/klagomål/A 21817-2020 FSC-klagomål.docx", "A 21817-2020")</f>
        <v/>
      </c>
      <c r="W36">
        <f>HYPERLINK("https://klasma.github.io/Logging_1980/klagomålsmail/A 21817-2020 FSC-klagomål mail.docx", "A 21817-2020")</f>
        <v/>
      </c>
      <c r="X36">
        <f>HYPERLINK("https://klasma.github.io/Logging_1980/tillsyn/A 21817-2020 tillsynsbegäran.docx", "A 21817-2020")</f>
        <v/>
      </c>
      <c r="Y36">
        <f>HYPERLINK("https://klasma.github.io/Logging_1980/tillsynsmail/A 21817-2020 tillsynsbegäran mail.docx", "A 21817-2020")</f>
        <v/>
      </c>
    </row>
    <row r="37" ht="15" customHeight="1">
      <c r="A37" t="inlineStr">
        <is>
          <t>A 35708-2020</t>
        </is>
      </c>
      <c r="B37" s="1" t="n">
        <v>44032</v>
      </c>
      <c r="C37" s="1" t="n">
        <v>45742</v>
      </c>
      <c r="D37" t="inlineStr">
        <is>
          <t>VÄSTMANLANDS LÄN</t>
        </is>
      </c>
      <c r="E37" t="inlineStr">
        <is>
          <t>VÄSTERÅS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HYPERLINK("https://klasma.github.io/Logging_1980/artfynd/A 35708-2020 artfynd.xlsx", "A 35708-2020")</f>
        <v/>
      </c>
      <c r="T37">
        <f>HYPERLINK("https://klasma.github.io/Logging_1980/kartor/A 35708-2020 karta.png", "A 35708-2020")</f>
        <v/>
      </c>
      <c r="V37">
        <f>HYPERLINK("https://klasma.github.io/Logging_1980/klagomål/A 35708-2020 FSC-klagomål.docx", "A 35708-2020")</f>
        <v/>
      </c>
      <c r="W37">
        <f>HYPERLINK("https://klasma.github.io/Logging_1980/klagomålsmail/A 35708-2020 FSC-klagomål mail.docx", "A 35708-2020")</f>
        <v/>
      </c>
      <c r="X37">
        <f>HYPERLINK("https://klasma.github.io/Logging_1980/tillsyn/A 35708-2020 tillsynsbegäran.docx", "A 35708-2020")</f>
        <v/>
      </c>
      <c r="Y37">
        <f>HYPERLINK("https://klasma.github.io/Logging_1980/tillsynsmail/A 35708-2020 tillsynsbegäran mail.docx", "A 35708-2020")</f>
        <v/>
      </c>
    </row>
    <row r="38" ht="15" customHeight="1">
      <c r="A38" t="inlineStr">
        <is>
          <t>A 69308-2020</t>
        </is>
      </c>
      <c r="B38" s="1" t="n">
        <v>44188</v>
      </c>
      <c r="C38" s="1" t="n">
        <v>45742</v>
      </c>
      <c r="D38" t="inlineStr">
        <is>
          <t>VÄSTMANLANDS LÄN</t>
        </is>
      </c>
      <c r="E38" t="inlineStr">
        <is>
          <t>VÄSTERÅS</t>
        </is>
      </c>
      <c r="F38" t="inlineStr">
        <is>
          <t>Övriga Aktiebolag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HYPERLINK("https://klasma.github.io/Logging_1980/artfynd/A 69308-2020 artfynd.xlsx", "A 69308-2020")</f>
        <v/>
      </c>
      <c r="T38">
        <f>HYPERLINK("https://klasma.github.io/Logging_1980/kartor/A 69308-2020 karta.png", "A 69308-2020")</f>
        <v/>
      </c>
      <c r="V38">
        <f>HYPERLINK("https://klasma.github.io/Logging_1980/klagomål/A 69308-2020 FSC-klagomål.docx", "A 69308-2020")</f>
        <v/>
      </c>
      <c r="W38">
        <f>HYPERLINK("https://klasma.github.io/Logging_1980/klagomålsmail/A 69308-2020 FSC-klagomål mail.docx", "A 69308-2020")</f>
        <v/>
      </c>
      <c r="X38">
        <f>HYPERLINK("https://klasma.github.io/Logging_1980/tillsyn/A 69308-2020 tillsynsbegäran.docx", "A 69308-2020")</f>
        <v/>
      </c>
      <c r="Y38">
        <f>HYPERLINK("https://klasma.github.io/Logging_1980/tillsynsmail/A 69308-2020 tillsynsbegäran mail.docx", "A 69308-2020")</f>
        <v/>
      </c>
    </row>
    <row r="39" ht="15" customHeight="1">
      <c r="A39" t="inlineStr">
        <is>
          <t>A 32862-2021</t>
        </is>
      </c>
      <c r="B39" s="1" t="n">
        <v>44375</v>
      </c>
      <c r="C39" s="1" t="n">
        <v>45742</v>
      </c>
      <c r="D39" t="inlineStr">
        <is>
          <t>VÄSTMANLANDS LÄN</t>
        </is>
      </c>
      <c r="E39" t="inlineStr">
        <is>
          <t>VÄSTERÅS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32862-2021 artfynd.xlsx", "A 32862-2021")</f>
        <v/>
      </c>
      <c r="T39">
        <f>HYPERLINK("https://klasma.github.io/Logging_1980/kartor/A 32862-2021 karta.png", "A 32862-2021")</f>
        <v/>
      </c>
      <c r="V39">
        <f>HYPERLINK("https://klasma.github.io/Logging_1980/klagomål/A 32862-2021 FSC-klagomål.docx", "A 32862-2021")</f>
        <v/>
      </c>
      <c r="W39">
        <f>HYPERLINK("https://klasma.github.io/Logging_1980/klagomålsmail/A 32862-2021 FSC-klagomål mail.docx", "A 32862-2021")</f>
        <v/>
      </c>
      <c r="X39">
        <f>HYPERLINK("https://klasma.github.io/Logging_1980/tillsyn/A 32862-2021 tillsynsbegäran.docx", "A 32862-2021")</f>
        <v/>
      </c>
      <c r="Y39">
        <f>HYPERLINK("https://klasma.github.io/Logging_1980/tillsynsmail/A 32862-2021 tillsynsbegäran mail.docx", "A 32862-2021")</f>
        <v/>
      </c>
    </row>
    <row r="40" ht="15" customHeight="1">
      <c r="A40" t="inlineStr">
        <is>
          <t>A 37464-2021</t>
        </is>
      </c>
      <c r="B40" s="1" t="n">
        <v>44398</v>
      </c>
      <c r="C40" s="1" t="n">
        <v>45742</v>
      </c>
      <c r="D40" t="inlineStr">
        <is>
          <t>VÄSTMANLANDS LÄN</t>
        </is>
      </c>
      <c r="E40" t="inlineStr">
        <is>
          <t>VÄSTERÅS</t>
        </is>
      </c>
      <c r="G40" t="n">
        <v>8.1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37464-2021 artfynd.xlsx", "A 37464-2021")</f>
        <v/>
      </c>
      <c r="T40">
        <f>HYPERLINK("https://klasma.github.io/Logging_1980/kartor/A 37464-2021 karta.png", "A 37464-2021")</f>
        <v/>
      </c>
      <c r="V40">
        <f>HYPERLINK("https://klasma.github.io/Logging_1980/klagomål/A 37464-2021 FSC-klagomål.docx", "A 37464-2021")</f>
        <v/>
      </c>
      <c r="W40">
        <f>HYPERLINK("https://klasma.github.io/Logging_1980/klagomålsmail/A 37464-2021 FSC-klagomål mail.docx", "A 37464-2021")</f>
        <v/>
      </c>
      <c r="X40">
        <f>HYPERLINK("https://klasma.github.io/Logging_1980/tillsyn/A 37464-2021 tillsynsbegäran.docx", "A 37464-2021")</f>
        <v/>
      </c>
      <c r="Y40">
        <f>HYPERLINK("https://klasma.github.io/Logging_1980/tillsynsmail/A 37464-2021 tillsynsbegäran mail.docx", "A 37464-2021")</f>
        <v/>
      </c>
    </row>
    <row r="41" ht="15" customHeight="1">
      <c r="A41" t="inlineStr">
        <is>
          <t>A 39147-2021</t>
        </is>
      </c>
      <c r="B41" s="1" t="n">
        <v>44412</v>
      </c>
      <c r="C41" s="1" t="n">
        <v>45742</v>
      </c>
      <c r="D41" t="inlineStr">
        <is>
          <t>VÄSTMANLANDS LÄN</t>
        </is>
      </c>
      <c r="E41" t="inlineStr">
        <is>
          <t>VÄSTERÅS</t>
        </is>
      </c>
      <c r="G41" t="n">
        <v>6.2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Kornknutmossa</t>
        </is>
      </c>
      <c r="S41">
        <f>HYPERLINK("https://klasma.github.io/Logging_1980/artfynd/A 39147-2021 artfynd.xlsx", "A 39147-2021")</f>
        <v/>
      </c>
      <c r="T41">
        <f>HYPERLINK("https://klasma.github.io/Logging_1980/kartor/A 39147-2021 karta.png", "A 39147-2021")</f>
        <v/>
      </c>
      <c r="V41">
        <f>HYPERLINK("https://klasma.github.io/Logging_1980/klagomål/A 39147-2021 FSC-klagomål.docx", "A 39147-2021")</f>
        <v/>
      </c>
      <c r="W41">
        <f>HYPERLINK("https://klasma.github.io/Logging_1980/klagomålsmail/A 39147-2021 FSC-klagomål mail.docx", "A 39147-2021")</f>
        <v/>
      </c>
      <c r="X41">
        <f>HYPERLINK("https://klasma.github.io/Logging_1980/tillsyn/A 39147-2021 tillsynsbegäran.docx", "A 39147-2021")</f>
        <v/>
      </c>
      <c r="Y41">
        <f>HYPERLINK("https://klasma.github.io/Logging_1980/tillsynsmail/A 39147-2021 tillsynsbegäran mail.docx", "A 39147-2021")</f>
        <v/>
      </c>
    </row>
    <row r="42" ht="15" customHeight="1">
      <c r="A42" t="inlineStr">
        <is>
          <t>A 59566-2021</t>
        </is>
      </c>
      <c r="B42" s="1" t="n">
        <v>44491</v>
      </c>
      <c r="C42" s="1" t="n">
        <v>45742</v>
      </c>
      <c r="D42" t="inlineStr">
        <is>
          <t>VÄSTMANLANDS LÄN</t>
        </is>
      </c>
      <c r="E42" t="inlineStr">
        <is>
          <t>VÄSTERÅS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flatbagge</t>
        </is>
      </c>
      <c r="S42">
        <f>HYPERLINK("https://klasma.github.io/Logging_1980/artfynd/A 59566-2021 artfynd.xlsx", "A 59566-2021")</f>
        <v/>
      </c>
      <c r="T42">
        <f>HYPERLINK("https://klasma.github.io/Logging_1980/kartor/A 59566-2021 karta.png", "A 59566-2021")</f>
        <v/>
      </c>
      <c r="V42">
        <f>HYPERLINK("https://klasma.github.io/Logging_1980/klagomål/A 59566-2021 FSC-klagomål.docx", "A 59566-2021")</f>
        <v/>
      </c>
      <c r="W42">
        <f>HYPERLINK("https://klasma.github.io/Logging_1980/klagomålsmail/A 59566-2021 FSC-klagomål mail.docx", "A 59566-2021")</f>
        <v/>
      </c>
      <c r="X42">
        <f>HYPERLINK("https://klasma.github.io/Logging_1980/tillsyn/A 59566-2021 tillsynsbegäran.docx", "A 59566-2021")</f>
        <v/>
      </c>
      <c r="Y42">
        <f>HYPERLINK("https://klasma.github.io/Logging_1980/tillsynsmail/A 59566-2021 tillsynsbegäran mail.docx", "A 59566-2021")</f>
        <v/>
      </c>
    </row>
    <row r="43" ht="15" customHeight="1">
      <c r="A43" t="inlineStr">
        <is>
          <t>A 12905-2022</t>
        </is>
      </c>
      <c r="B43" s="1" t="n">
        <v>44641</v>
      </c>
      <c r="C43" s="1" t="n">
        <v>45742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23.9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HYPERLINK("https://klasma.github.io/Logging_1980/artfynd/A 12905-2022 artfynd.xlsx", "A 12905-2022")</f>
        <v/>
      </c>
      <c r="T43">
        <f>HYPERLINK("https://klasma.github.io/Logging_1980/kartor/A 12905-2022 karta.png", "A 12905-2022")</f>
        <v/>
      </c>
      <c r="V43">
        <f>HYPERLINK("https://klasma.github.io/Logging_1980/klagomål/A 12905-2022 FSC-klagomål.docx", "A 12905-2022")</f>
        <v/>
      </c>
      <c r="W43">
        <f>HYPERLINK("https://klasma.github.io/Logging_1980/klagomålsmail/A 12905-2022 FSC-klagomål mail.docx", "A 12905-2022")</f>
        <v/>
      </c>
      <c r="X43">
        <f>HYPERLINK("https://klasma.github.io/Logging_1980/tillsyn/A 12905-2022 tillsynsbegäran.docx", "A 12905-2022")</f>
        <v/>
      </c>
      <c r="Y43">
        <f>HYPERLINK("https://klasma.github.io/Logging_1980/tillsynsmail/A 12905-2022 tillsynsbegäran mail.docx", "A 12905-2022")</f>
        <v/>
      </c>
    </row>
    <row r="44" ht="15" customHeight="1">
      <c r="A44" t="inlineStr">
        <is>
          <t>A 18282-2022</t>
        </is>
      </c>
      <c r="B44" s="1" t="n">
        <v>44685</v>
      </c>
      <c r="C44" s="1" t="n">
        <v>45742</v>
      </c>
      <c r="D44" t="inlineStr">
        <is>
          <t>VÄSTMANLANDS LÄN</t>
        </is>
      </c>
      <c r="E44" t="inlineStr">
        <is>
          <t>VÄSTERÅS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HYPERLINK("https://klasma.github.io/Logging_1980/artfynd/A 18282-2022 artfynd.xlsx", "A 18282-2022")</f>
        <v/>
      </c>
      <c r="T44">
        <f>HYPERLINK("https://klasma.github.io/Logging_1980/kartor/A 18282-2022 karta.png", "A 18282-2022")</f>
        <v/>
      </c>
      <c r="V44">
        <f>HYPERLINK("https://klasma.github.io/Logging_1980/klagomål/A 18282-2022 FSC-klagomål.docx", "A 18282-2022")</f>
        <v/>
      </c>
      <c r="W44">
        <f>HYPERLINK("https://klasma.github.io/Logging_1980/klagomålsmail/A 18282-2022 FSC-klagomål mail.docx", "A 18282-2022")</f>
        <v/>
      </c>
      <c r="X44">
        <f>HYPERLINK("https://klasma.github.io/Logging_1980/tillsyn/A 18282-2022 tillsynsbegäran.docx", "A 18282-2022")</f>
        <v/>
      </c>
      <c r="Y44">
        <f>HYPERLINK("https://klasma.github.io/Logging_1980/tillsynsmail/A 18282-2022 tillsynsbegäran mail.docx", "A 18282-2022")</f>
        <v/>
      </c>
      <c r="Z44">
        <f>HYPERLINK("https://klasma.github.io/Logging_1980/fåglar/A 18282-2022 prioriterade fågelarter.docx", "A 18282-2022")</f>
        <v/>
      </c>
    </row>
    <row r="45" ht="15" customHeight="1">
      <c r="A45" t="inlineStr">
        <is>
          <t>A 30319-2022</t>
        </is>
      </c>
      <c r="B45" s="1" t="n">
        <v>44760</v>
      </c>
      <c r="C45" s="1" t="n">
        <v>45742</v>
      </c>
      <c r="D45" t="inlineStr">
        <is>
          <t>VÄSTMANLANDS LÄN</t>
        </is>
      </c>
      <c r="E45" t="inlineStr">
        <is>
          <t>VÄSTERÅS</t>
        </is>
      </c>
      <c r="G45" t="n">
        <v>4.3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HYPERLINK("https://klasma.github.io/Logging_1980/artfynd/A 30319-2022 artfynd.xlsx", "A 30319-2022")</f>
        <v/>
      </c>
      <c r="T45">
        <f>HYPERLINK("https://klasma.github.io/Logging_1980/kartor/A 30319-2022 karta.png", "A 30319-2022")</f>
        <v/>
      </c>
      <c r="V45">
        <f>HYPERLINK("https://klasma.github.io/Logging_1980/klagomål/A 30319-2022 FSC-klagomål.docx", "A 30319-2022")</f>
        <v/>
      </c>
      <c r="W45">
        <f>HYPERLINK("https://klasma.github.io/Logging_1980/klagomålsmail/A 30319-2022 FSC-klagomål mail.docx", "A 30319-2022")</f>
        <v/>
      </c>
      <c r="X45">
        <f>HYPERLINK("https://klasma.github.io/Logging_1980/tillsyn/A 30319-2022 tillsynsbegäran.docx", "A 30319-2022")</f>
        <v/>
      </c>
      <c r="Y45">
        <f>HYPERLINK("https://klasma.github.io/Logging_1980/tillsynsmail/A 30319-2022 tillsynsbegäran mail.docx", "A 30319-2022")</f>
        <v/>
      </c>
    </row>
    <row r="46" ht="15" customHeight="1">
      <c r="A46" t="inlineStr">
        <is>
          <t>A 30759-2022</t>
        </is>
      </c>
      <c r="B46" s="1" t="n">
        <v>44764</v>
      </c>
      <c r="C46" s="1" t="n">
        <v>45742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HYPERLINK("https://klasma.github.io/Logging_1980/artfynd/A 30759-2022 artfynd.xlsx", "A 30759-2022")</f>
        <v/>
      </c>
      <c r="T46">
        <f>HYPERLINK("https://klasma.github.io/Logging_1980/kartor/A 30759-2022 karta.png", "A 30759-2022")</f>
        <v/>
      </c>
      <c r="V46">
        <f>HYPERLINK("https://klasma.github.io/Logging_1980/klagomål/A 30759-2022 FSC-klagomål.docx", "A 30759-2022")</f>
        <v/>
      </c>
      <c r="W46">
        <f>HYPERLINK("https://klasma.github.io/Logging_1980/klagomålsmail/A 30759-2022 FSC-klagomål mail.docx", "A 30759-2022")</f>
        <v/>
      </c>
      <c r="X46">
        <f>HYPERLINK("https://klasma.github.io/Logging_1980/tillsyn/A 30759-2022 tillsynsbegäran.docx", "A 30759-2022")</f>
        <v/>
      </c>
      <c r="Y46">
        <f>HYPERLINK("https://klasma.github.io/Logging_1980/tillsynsmail/A 30759-2022 tillsynsbegäran mail.docx", "A 30759-2022")</f>
        <v/>
      </c>
    </row>
    <row r="47" ht="15" customHeight="1">
      <c r="A47" t="inlineStr">
        <is>
          <t>A 31568-2022</t>
        </is>
      </c>
      <c r="B47" s="1" t="n">
        <v>44775</v>
      </c>
      <c r="C47" s="1" t="n">
        <v>45742</v>
      </c>
      <c r="D47" t="inlineStr">
        <is>
          <t>VÄSTMANLANDS LÄN</t>
        </is>
      </c>
      <c r="E47" t="inlineStr">
        <is>
          <t>VÄSTERÅS</t>
        </is>
      </c>
      <c r="F47" t="inlineStr">
        <is>
          <t>Kommuner</t>
        </is>
      </c>
      <c r="G47" t="n">
        <v>6.2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HYPERLINK("https://klasma.github.io/Logging_1980/artfynd/A 31568-2022 artfynd.xlsx", "A 31568-2022")</f>
        <v/>
      </c>
      <c r="T47">
        <f>HYPERLINK("https://klasma.github.io/Logging_1980/kartor/A 31568-2022 karta.png", "A 31568-2022")</f>
        <v/>
      </c>
      <c r="V47">
        <f>HYPERLINK("https://klasma.github.io/Logging_1980/klagomål/A 31568-2022 FSC-klagomål.docx", "A 31568-2022")</f>
        <v/>
      </c>
      <c r="W47">
        <f>HYPERLINK("https://klasma.github.io/Logging_1980/klagomålsmail/A 31568-2022 FSC-klagomål mail.docx", "A 31568-2022")</f>
        <v/>
      </c>
      <c r="X47">
        <f>HYPERLINK("https://klasma.github.io/Logging_1980/tillsyn/A 31568-2022 tillsynsbegäran.docx", "A 31568-2022")</f>
        <v/>
      </c>
      <c r="Y47">
        <f>HYPERLINK("https://klasma.github.io/Logging_1980/tillsynsmail/A 31568-2022 tillsynsbegäran mail.docx", "A 31568-2022")</f>
        <v/>
      </c>
    </row>
    <row r="48" ht="15" customHeight="1">
      <c r="A48" t="inlineStr">
        <is>
          <t>A 46098-2022</t>
        </is>
      </c>
      <c r="B48" s="1" t="n">
        <v>44847</v>
      </c>
      <c r="C48" s="1" t="n">
        <v>45742</v>
      </c>
      <c r="D48" t="inlineStr">
        <is>
          <t>VÄSTMANLANDS LÄN</t>
        </is>
      </c>
      <c r="E48" t="inlineStr">
        <is>
          <t>VÄSTERÅS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Flattoppad klubbsvamp</t>
        </is>
      </c>
      <c r="S48">
        <f>HYPERLINK("https://klasma.github.io/Logging_1980/artfynd/A 46098-2022 artfynd.xlsx", "A 46098-2022")</f>
        <v/>
      </c>
      <c r="T48">
        <f>HYPERLINK("https://klasma.github.io/Logging_1980/kartor/A 46098-2022 karta.png", "A 46098-2022")</f>
        <v/>
      </c>
      <c r="V48">
        <f>HYPERLINK("https://klasma.github.io/Logging_1980/klagomål/A 46098-2022 FSC-klagomål.docx", "A 46098-2022")</f>
        <v/>
      </c>
      <c r="W48">
        <f>HYPERLINK("https://klasma.github.io/Logging_1980/klagomålsmail/A 46098-2022 FSC-klagomål mail.docx", "A 46098-2022")</f>
        <v/>
      </c>
      <c r="X48">
        <f>HYPERLINK("https://klasma.github.io/Logging_1980/tillsyn/A 46098-2022 tillsynsbegäran.docx", "A 46098-2022")</f>
        <v/>
      </c>
      <c r="Y48">
        <f>HYPERLINK("https://klasma.github.io/Logging_1980/tillsynsmail/A 46098-2022 tillsynsbegäran mail.docx", "A 46098-2022")</f>
        <v/>
      </c>
    </row>
    <row r="49" ht="15" customHeight="1">
      <c r="A49" t="inlineStr">
        <is>
          <t>A 7832-2023</t>
        </is>
      </c>
      <c r="B49" s="1" t="n">
        <v>44973</v>
      </c>
      <c r="C49" s="1" t="n">
        <v>45742</v>
      </c>
      <c r="D49" t="inlineStr">
        <is>
          <t>VÄSTMANLANDS LÄN</t>
        </is>
      </c>
      <c r="E49" t="inlineStr">
        <is>
          <t>VÄSTERÅS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7832-2023 artfynd.xlsx", "A 7832-2023")</f>
        <v/>
      </c>
      <c r="T49">
        <f>HYPERLINK("https://klasma.github.io/Logging_1980/kartor/A 7832-2023 karta.png", "A 7832-2023")</f>
        <v/>
      </c>
      <c r="V49">
        <f>HYPERLINK("https://klasma.github.io/Logging_1980/klagomål/A 7832-2023 FSC-klagomål.docx", "A 7832-2023")</f>
        <v/>
      </c>
      <c r="W49">
        <f>HYPERLINK("https://klasma.github.io/Logging_1980/klagomålsmail/A 7832-2023 FSC-klagomål mail.docx", "A 7832-2023")</f>
        <v/>
      </c>
      <c r="X49">
        <f>HYPERLINK("https://klasma.github.io/Logging_1980/tillsyn/A 7832-2023 tillsynsbegäran.docx", "A 7832-2023")</f>
        <v/>
      </c>
      <c r="Y49">
        <f>HYPERLINK("https://klasma.github.io/Logging_1980/tillsynsmail/A 7832-2023 tillsynsbegäran mail.docx", "A 7832-2023")</f>
        <v/>
      </c>
      <c r="Z49">
        <f>HYPERLINK("https://klasma.github.io/Logging_1980/fåglar/A 7832-2023 prioriterade fågelarter.docx", "A 7832-2023")</f>
        <v/>
      </c>
    </row>
    <row r="50" ht="15" customHeight="1">
      <c r="A50" t="inlineStr">
        <is>
          <t>A 24486-2023</t>
        </is>
      </c>
      <c r="B50" s="1" t="n">
        <v>45082</v>
      </c>
      <c r="C50" s="1" t="n">
        <v>45742</v>
      </c>
      <c r="D50" t="inlineStr">
        <is>
          <t>VÄSTMANLANDS LÄN</t>
        </is>
      </c>
      <c r="E50" t="inlineStr">
        <is>
          <t>VÄSTERÅS</t>
        </is>
      </c>
      <c r="G50" t="n">
        <v>12.8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HYPERLINK("https://klasma.github.io/Logging_1980/artfynd/A 24486-2023 artfynd.xlsx", "A 24486-2023")</f>
        <v/>
      </c>
      <c r="T50">
        <f>HYPERLINK("https://klasma.github.io/Logging_1980/kartor/A 24486-2023 karta.png", "A 24486-2023")</f>
        <v/>
      </c>
      <c r="V50">
        <f>HYPERLINK("https://klasma.github.io/Logging_1980/klagomål/A 24486-2023 FSC-klagomål.docx", "A 24486-2023")</f>
        <v/>
      </c>
      <c r="W50">
        <f>HYPERLINK("https://klasma.github.io/Logging_1980/klagomålsmail/A 24486-2023 FSC-klagomål mail.docx", "A 24486-2023")</f>
        <v/>
      </c>
      <c r="X50">
        <f>HYPERLINK("https://klasma.github.io/Logging_1980/tillsyn/A 24486-2023 tillsynsbegäran.docx", "A 24486-2023")</f>
        <v/>
      </c>
      <c r="Y50">
        <f>HYPERLINK("https://klasma.github.io/Logging_1980/tillsynsmail/A 24486-2023 tillsynsbegäran mail.docx", "A 24486-2023")</f>
        <v/>
      </c>
    </row>
    <row r="51" ht="15" customHeight="1">
      <c r="A51" t="inlineStr">
        <is>
          <t>A 29787-2023</t>
        </is>
      </c>
      <c r="B51" s="1" t="n">
        <v>45107</v>
      </c>
      <c r="C51" s="1" t="n">
        <v>45742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HYPERLINK("https://klasma.github.io/Logging_1980/artfynd/A 29787-2023 artfynd.xlsx", "A 29787-2023")</f>
        <v/>
      </c>
      <c r="T51">
        <f>HYPERLINK("https://klasma.github.io/Logging_1980/kartor/A 29787-2023 karta.png", "A 29787-2023")</f>
        <v/>
      </c>
      <c r="V51">
        <f>HYPERLINK("https://klasma.github.io/Logging_1980/klagomål/A 29787-2023 FSC-klagomål.docx", "A 29787-2023")</f>
        <v/>
      </c>
      <c r="W51">
        <f>HYPERLINK("https://klasma.github.io/Logging_1980/klagomålsmail/A 29787-2023 FSC-klagomål mail.docx", "A 29787-2023")</f>
        <v/>
      </c>
      <c r="X51">
        <f>HYPERLINK("https://klasma.github.io/Logging_1980/tillsyn/A 29787-2023 tillsynsbegäran.docx", "A 29787-2023")</f>
        <v/>
      </c>
      <c r="Y51">
        <f>HYPERLINK("https://klasma.github.io/Logging_1980/tillsynsmail/A 29787-2023 tillsynsbegäran mail.docx", "A 29787-2023")</f>
        <v/>
      </c>
    </row>
    <row r="52" ht="15" customHeight="1">
      <c r="A52" t="inlineStr">
        <is>
          <t>A 30084-2023</t>
        </is>
      </c>
      <c r="B52" s="1" t="n">
        <v>45110</v>
      </c>
      <c r="C52" s="1" t="n">
        <v>45742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HYPERLINK("https://klasma.github.io/Logging_1980/artfynd/A 30084-2023 artfynd.xlsx", "A 30084-2023")</f>
        <v/>
      </c>
      <c r="T52">
        <f>HYPERLINK("https://klasma.github.io/Logging_1980/kartor/A 30084-2023 karta.png", "A 30084-2023")</f>
        <v/>
      </c>
      <c r="V52">
        <f>HYPERLINK("https://klasma.github.io/Logging_1980/klagomål/A 30084-2023 FSC-klagomål.docx", "A 30084-2023")</f>
        <v/>
      </c>
      <c r="W52">
        <f>HYPERLINK("https://klasma.github.io/Logging_1980/klagomålsmail/A 30084-2023 FSC-klagomål mail.docx", "A 30084-2023")</f>
        <v/>
      </c>
      <c r="X52">
        <f>HYPERLINK("https://klasma.github.io/Logging_1980/tillsyn/A 30084-2023 tillsynsbegäran.docx", "A 30084-2023")</f>
        <v/>
      </c>
      <c r="Y52">
        <f>HYPERLINK("https://klasma.github.io/Logging_1980/tillsynsmail/A 30084-2023 tillsynsbegäran mail.docx", "A 30084-2023")</f>
        <v/>
      </c>
    </row>
    <row r="53" ht="15" customHeight="1">
      <c r="A53" t="inlineStr">
        <is>
          <t>A 31354-2023</t>
        </is>
      </c>
      <c r="B53" s="1" t="n">
        <v>45114</v>
      </c>
      <c r="C53" s="1" t="n">
        <v>45742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HYPERLINK("https://klasma.github.io/Logging_1980/artfynd/A 31354-2023 artfynd.xlsx", "A 31354-2023")</f>
        <v/>
      </c>
      <c r="T53">
        <f>HYPERLINK("https://klasma.github.io/Logging_1980/kartor/A 31354-2023 karta.png", "A 31354-2023")</f>
        <v/>
      </c>
      <c r="V53">
        <f>HYPERLINK("https://klasma.github.io/Logging_1980/klagomål/A 31354-2023 FSC-klagomål.docx", "A 31354-2023")</f>
        <v/>
      </c>
      <c r="W53">
        <f>HYPERLINK("https://klasma.github.io/Logging_1980/klagomålsmail/A 31354-2023 FSC-klagomål mail.docx", "A 31354-2023")</f>
        <v/>
      </c>
      <c r="X53">
        <f>HYPERLINK("https://klasma.github.io/Logging_1980/tillsyn/A 31354-2023 tillsynsbegäran.docx", "A 31354-2023")</f>
        <v/>
      </c>
      <c r="Y53">
        <f>HYPERLINK("https://klasma.github.io/Logging_1980/tillsynsmail/A 31354-2023 tillsynsbegäran mail.docx", "A 31354-2023")</f>
        <v/>
      </c>
      <c r="Z53">
        <f>HYPERLINK("https://klasma.github.io/Logging_1980/fåglar/A 31354-2023 prioriterade fågelarter.docx", "A 31354-2023")</f>
        <v/>
      </c>
    </row>
    <row r="54" ht="15" customHeight="1">
      <c r="A54" t="inlineStr">
        <is>
          <t>A 38849-2023</t>
        </is>
      </c>
      <c r="B54" s="1" t="n">
        <v>45163</v>
      </c>
      <c r="C54" s="1" t="n">
        <v>45742</v>
      </c>
      <c r="D54" t="inlineStr">
        <is>
          <t>VÄSTMANLANDS LÄN</t>
        </is>
      </c>
      <c r="E54" t="inlineStr">
        <is>
          <t>VÄSTERÅS</t>
        </is>
      </c>
      <c r="G54" t="n">
        <v>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HYPERLINK("https://klasma.github.io/Logging_1980/artfynd/A 38849-2023 artfynd.xlsx", "A 38849-2023")</f>
        <v/>
      </c>
      <c r="T54">
        <f>HYPERLINK("https://klasma.github.io/Logging_1980/kartor/A 38849-2023 karta.png", "A 38849-2023")</f>
        <v/>
      </c>
      <c r="V54">
        <f>HYPERLINK("https://klasma.github.io/Logging_1980/klagomål/A 38849-2023 FSC-klagomål.docx", "A 38849-2023")</f>
        <v/>
      </c>
      <c r="W54">
        <f>HYPERLINK("https://klasma.github.io/Logging_1980/klagomålsmail/A 38849-2023 FSC-klagomål mail.docx", "A 38849-2023")</f>
        <v/>
      </c>
      <c r="X54">
        <f>HYPERLINK("https://klasma.github.io/Logging_1980/tillsyn/A 38849-2023 tillsynsbegäran.docx", "A 38849-2023")</f>
        <v/>
      </c>
      <c r="Y54">
        <f>HYPERLINK("https://klasma.github.io/Logging_1980/tillsynsmail/A 38849-2023 tillsynsbegäran mail.docx", "A 38849-2023")</f>
        <v/>
      </c>
      <c r="Z54">
        <f>HYPERLINK("https://klasma.github.io/Logging_1980/fåglar/A 38849-2023 prioriterade fågelarter.docx", "A 38849-2023")</f>
        <v/>
      </c>
    </row>
    <row r="55" ht="15" customHeight="1">
      <c r="A55" t="inlineStr">
        <is>
          <t>A 40302-2023</t>
        </is>
      </c>
      <c r="B55" s="1" t="n">
        <v>45169</v>
      </c>
      <c r="C55" s="1" t="n">
        <v>45742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4.9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HYPERLINK("https://klasma.github.io/Logging_1980/artfynd/A 40302-2023 artfynd.xlsx", "A 40302-2023")</f>
        <v/>
      </c>
      <c r="T55">
        <f>HYPERLINK("https://klasma.github.io/Logging_1980/kartor/A 40302-2023 karta.png", "A 40302-2023")</f>
        <v/>
      </c>
      <c r="V55">
        <f>HYPERLINK("https://klasma.github.io/Logging_1980/klagomål/A 40302-2023 FSC-klagomål.docx", "A 40302-2023")</f>
        <v/>
      </c>
      <c r="W55">
        <f>HYPERLINK("https://klasma.github.io/Logging_1980/klagomålsmail/A 40302-2023 FSC-klagomål mail.docx", "A 40302-2023")</f>
        <v/>
      </c>
      <c r="X55">
        <f>HYPERLINK("https://klasma.github.io/Logging_1980/tillsyn/A 40302-2023 tillsynsbegäran.docx", "A 40302-2023")</f>
        <v/>
      </c>
      <c r="Y55">
        <f>HYPERLINK("https://klasma.github.io/Logging_1980/tillsynsmail/A 40302-2023 tillsynsbegäran mail.docx", "A 40302-2023")</f>
        <v/>
      </c>
    </row>
    <row r="56" ht="15" customHeight="1">
      <c r="A56" t="inlineStr">
        <is>
          <t>A 47695-2023</t>
        </is>
      </c>
      <c r="B56" s="1" t="n">
        <v>45203</v>
      </c>
      <c r="C56" s="1" t="n">
        <v>45742</v>
      </c>
      <c r="D56" t="inlineStr">
        <is>
          <t>VÄSTMANLANDS LÄN</t>
        </is>
      </c>
      <c r="E56" t="inlineStr">
        <is>
          <t>VÄSTERÅS</t>
        </is>
      </c>
      <c r="G56" t="n">
        <v>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HYPERLINK("https://klasma.github.io/Logging_1980/artfynd/A 47695-2023 artfynd.xlsx", "A 47695-2023")</f>
        <v/>
      </c>
      <c r="T56">
        <f>HYPERLINK("https://klasma.github.io/Logging_1980/kartor/A 47695-2023 karta.png", "A 47695-2023")</f>
        <v/>
      </c>
      <c r="V56">
        <f>HYPERLINK("https://klasma.github.io/Logging_1980/klagomål/A 47695-2023 FSC-klagomål.docx", "A 47695-2023")</f>
        <v/>
      </c>
      <c r="W56">
        <f>HYPERLINK("https://klasma.github.io/Logging_1980/klagomålsmail/A 47695-2023 FSC-klagomål mail.docx", "A 47695-2023")</f>
        <v/>
      </c>
      <c r="X56">
        <f>HYPERLINK("https://klasma.github.io/Logging_1980/tillsyn/A 47695-2023 tillsynsbegäran.docx", "A 47695-2023")</f>
        <v/>
      </c>
      <c r="Y56">
        <f>HYPERLINK("https://klasma.github.io/Logging_1980/tillsynsmail/A 47695-2023 tillsynsbegäran mail.docx", "A 47695-2023")</f>
        <v/>
      </c>
    </row>
    <row r="57" ht="15" customHeight="1">
      <c r="A57" t="inlineStr">
        <is>
          <t>A 55684-2023</t>
        </is>
      </c>
      <c r="B57" s="1" t="n">
        <v>45232</v>
      </c>
      <c r="C57" s="1" t="n">
        <v>45742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29.4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timmerman</t>
        </is>
      </c>
      <c r="S57">
        <f>HYPERLINK("https://klasma.github.io/Logging_1980/artfynd/A 55684-2023 artfynd.xlsx", "A 55684-2023")</f>
        <v/>
      </c>
      <c r="T57">
        <f>HYPERLINK("https://klasma.github.io/Logging_1980/kartor/A 55684-2023 karta.png", "A 55684-2023")</f>
        <v/>
      </c>
      <c r="V57">
        <f>HYPERLINK("https://klasma.github.io/Logging_1980/klagomål/A 55684-2023 FSC-klagomål.docx", "A 55684-2023")</f>
        <v/>
      </c>
      <c r="W57">
        <f>HYPERLINK("https://klasma.github.io/Logging_1980/klagomålsmail/A 55684-2023 FSC-klagomål mail.docx", "A 55684-2023")</f>
        <v/>
      </c>
      <c r="X57">
        <f>HYPERLINK("https://klasma.github.io/Logging_1980/tillsyn/A 55684-2023 tillsynsbegäran.docx", "A 55684-2023")</f>
        <v/>
      </c>
      <c r="Y57">
        <f>HYPERLINK("https://klasma.github.io/Logging_1980/tillsynsmail/A 55684-2023 tillsynsbegäran mail.docx", "A 55684-2023")</f>
        <v/>
      </c>
    </row>
    <row r="58" ht="15" customHeight="1">
      <c r="A58" t="inlineStr">
        <is>
          <t>A 61254-2023</t>
        </is>
      </c>
      <c r="B58" s="1" t="n">
        <v>45264</v>
      </c>
      <c r="C58" s="1" t="n">
        <v>45742</v>
      </c>
      <c r="D58" t="inlineStr">
        <is>
          <t>VÄSTMANLANDS LÄN</t>
        </is>
      </c>
      <c r="E58" t="inlineStr">
        <is>
          <t>VÄSTERÅS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Mistel</t>
        </is>
      </c>
      <c r="S58">
        <f>HYPERLINK("https://klasma.github.io/Logging_1980/artfynd/A 61254-2023 artfynd.xlsx", "A 61254-2023")</f>
        <v/>
      </c>
      <c r="T58">
        <f>HYPERLINK("https://klasma.github.io/Logging_1980/kartor/A 61254-2023 karta.png", "A 61254-2023")</f>
        <v/>
      </c>
      <c r="V58">
        <f>HYPERLINK("https://klasma.github.io/Logging_1980/klagomål/A 61254-2023 FSC-klagomål.docx", "A 61254-2023")</f>
        <v/>
      </c>
      <c r="W58">
        <f>HYPERLINK("https://klasma.github.io/Logging_1980/klagomålsmail/A 61254-2023 FSC-klagomål mail.docx", "A 61254-2023")</f>
        <v/>
      </c>
      <c r="X58">
        <f>HYPERLINK("https://klasma.github.io/Logging_1980/tillsyn/A 61254-2023 tillsynsbegäran.docx", "A 61254-2023")</f>
        <v/>
      </c>
      <c r="Y58">
        <f>HYPERLINK("https://klasma.github.io/Logging_1980/tillsynsmail/A 61254-2023 tillsynsbegäran mail.docx", "A 61254-2023")</f>
        <v/>
      </c>
    </row>
    <row r="59" ht="15" customHeight="1">
      <c r="A59" t="inlineStr">
        <is>
          <t>A 6249-2024</t>
        </is>
      </c>
      <c r="B59" s="1" t="n">
        <v>45337</v>
      </c>
      <c r="C59" s="1" t="n">
        <v>45742</v>
      </c>
      <c r="D59" t="inlineStr">
        <is>
          <t>VÄSTMANLANDS LÄN</t>
        </is>
      </c>
      <c r="E59" t="inlineStr">
        <is>
          <t>VÄSTERÅS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Grönfink</t>
        </is>
      </c>
      <c r="S59">
        <f>HYPERLINK("https://klasma.github.io/Logging_1980/artfynd/A 6249-2024 artfynd.xlsx", "A 6249-2024")</f>
        <v/>
      </c>
      <c r="T59">
        <f>HYPERLINK("https://klasma.github.io/Logging_1980/kartor/A 6249-2024 karta.png", "A 6249-2024")</f>
        <v/>
      </c>
      <c r="V59">
        <f>HYPERLINK("https://klasma.github.io/Logging_1980/klagomål/A 6249-2024 FSC-klagomål.docx", "A 6249-2024")</f>
        <v/>
      </c>
      <c r="W59">
        <f>HYPERLINK("https://klasma.github.io/Logging_1980/klagomålsmail/A 6249-2024 FSC-klagomål mail.docx", "A 6249-2024")</f>
        <v/>
      </c>
      <c r="X59">
        <f>HYPERLINK("https://klasma.github.io/Logging_1980/tillsyn/A 6249-2024 tillsynsbegäran.docx", "A 6249-2024")</f>
        <v/>
      </c>
      <c r="Y59">
        <f>HYPERLINK("https://klasma.github.io/Logging_1980/tillsynsmail/A 6249-2024 tillsynsbegäran mail.docx", "A 6249-2024")</f>
        <v/>
      </c>
      <c r="Z59">
        <f>HYPERLINK("https://klasma.github.io/Logging_1980/fåglar/A 6249-2024 prioriterade fågelarter.docx", "A 6249-2024")</f>
        <v/>
      </c>
    </row>
    <row r="60" ht="15" customHeight="1">
      <c r="A60" t="inlineStr">
        <is>
          <t>A 16015-2024</t>
        </is>
      </c>
      <c r="B60" s="1" t="n">
        <v>45405</v>
      </c>
      <c r="C60" s="1" t="n">
        <v>45742</v>
      </c>
      <c r="D60" t="inlineStr">
        <is>
          <t>VÄSTMANLANDS LÄN</t>
        </is>
      </c>
      <c r="E60" t="inlineStr">
        <is>
          <t>VÄSTERÅS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HYPERLINK("https://klasma.github.io/Logging_1980/artfynd/A 16015-2024 artfynd.xlsx", "A 16015-2024")</f>
        <v/>
      </c>
      <c r="T60">
        <f>HYPERLINK("https://klasma.github.io/Logging_1980/kartor/A 16015-2024 karta.png", "A 16015-2024")</f>
        <v/>
      </c>
      <c r="V60">
        <f>HYPERLINK("https://klasma.github.io/Logging_1980/klagomål/A 16015-2024 FSC-klagomål.docx", "A 16015-2024")</f>
        <v/>
      </c>
      <c r="W60">
        <f>HYPERLINK("https://klasma.github.io/Logging_1980/klagomålsmail/A 16015-2024 FSC-klagomål mail.docx", "A 16015-2024")</f>
        <v/>
      </c>
      <c r="X60">
        <f>HYPERLINK("https://klasma.github.io/Logging_1980/tillsyn/A 16015-2024 tillsynsbegäran.docx", "A 16015-2024")</f>
        <v/>
      </c>
      <c r="Y60">
        <f>HYPERLINK("https://klasma.github.io/Logging_1980/tillsynsmail/A 16015-2024 tillsynsbegäran mail.docx", "A 16015-2024")</f>
        <v/>
      </c>
    </row>
    <row r="61" ht="15" customHeight="1">
      <c r="A61" t="inlineStr">
        <is>
          <t>A 18148-2024</t>
        </is>
      </c>
      <c r="B61" s="1" t="n">
        <v>45420</v>
      </c>
      <c r="C61" s="1" t="n">
        <v>45742</v>
      </c>
      <c r="D61" t="inlineStr">
        <is>
          <t>VÄSTMANLANDS LÄN</t>
        </is>
      </c>
      <c r="E61" t="inlineStr">
        <is>
          <t>VÄSTERÅS</t>
        </is>
      </c>
      <c r="G61" t="n">
        <v>11.2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padda</t>
        </is>
      </c>
      <c r="S61">
        <f>HYPERLINK("https://klasma.github.io/Logging_1980/artfynd/A 18148-2024 artfynd.xlsx", "A 18148-2024")</f>
        <v/>
      </c>
      <c r="T61">
        <f>HYPERLINK("https://klasma.github.io/Logging_1980/kartor/A 18148-2024 karta.png", "A 18148-2024")</f>
        <v/>
      </c>
      <c r="V61">
        <f>HYPERLINK("https://klasma.github.io/Logging_1980/klagomål/A 18148-2024 FSC-klagomål.docx", "A 18148-2024")</f>
        <v/>
      </c>
      <c r="W61">
        <f>HYPERLINK("https://klasma.github.io/Logging_1980/klagomålsmail/A 18148-2024 FSC-klagomål mail.docx", "A 18148-2024")</f>
        <v/>
      </c>
      <c r="X61">
        <f>HYPERLINK("https://klasma.github.io/Logging_1980/tillsyn/A 18148-2024 tillsynsbegäran.docx", "A 18148-2024")</f>
        <v/>
      </c>
      <c r="Y61">
        <f>HYPERLINK("https://klasma.github.io/Logging_1980/tillsynsmail/A 18148-2024 tillsynsbegäran mail.docx", "A 18148-2024")</f>
        <v/>
      </c>
    </row>
    <row r="62" ht="15" customHeight="1">
      <c r="A62" t="inlineStr">
        <is>
          <t>A 23444-2024</t>
        </is>
      </c>
      <c r="B62" s="1" t="n">
        <v>45453</v>
      </c>
      <c r="C62" s="1" t="n">
        <v>45742</v>
      </c>
      <c r="D62" t="inlineStr">
        <is>
          <t>VÄSTMANLANDS LÄN</t>
        </is>
      </c>
      <c r="E62" t="inlineStr">
        <is>
          <t>VÄSTERÅS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 taggsvamp</t>
        </is>
      </c>
      <c r="S62">
        <f>HYPERLINK("https://klasma.github.io/Logging_1980/artfynd/A 23444-2024 artfynd.xlsx", "A 23444-2024")</f>
        <v/>
      </c>
      <c r="T62">
        <f>HYPERLINK("https://klasma.github.io/Logging_1980/kartor/A 23444-2024 karta.png", "A 23444-2024")</f>
        <v/>
      </c>
      <c r="V62">
        <f>HYPERLINK("https://klasma.github.io/Logging_1980/klagomål/A 23444-2024 FSC-klagomål.docx", "A 23444-2024")</f>
        <v/>
      </c>
      <c r="W62">
        <f>HYPERLINK("https://klasma.github.io/Logging_1980/klagomålsmail/A 23444-2024 FSC-klagomål mail.docx", "A 23444-2024")</f>
        <v/>
      </c>
      <c r="X62">
        <f>HYPERLINK("https://klasma.github.io/Logging_1980/tillsyn/A 23444-2024 tillsynsbegäran.docx", "A 23444-2024")</f>
        <v/>
      </c>
      <c r="Y62">
        <f>HYPERLINK("https://klasma.github.io/Logging_1980/tillsynsmail/A 23444-2024 tillsynsbegäran mail.docx", "A 23444-2024")</f>
        <v/>
      </c>
    </row>
    <row r="63" ht="15" customHeight="1">
      <c r="A63" t="inlineStr">
        <is>
          <t>A 51912-2024</t>
        </is>
      </c>
      <c r="B63" s="1" t="n">
        <v>45607</v>
      </c>
      <c r="C63" s="1" t="n">
        <v>45742</v>
      </c>
      <c r="D63" t="inlineStr">
        <is>
          <t>VÄSTMANLANDS LÄN</t>
        </is>
      </c>
      <c r="E63" t="inlineStr">
        <is>
          <t>VÄSTERÅS</t>
        </is>
      </c>
      <c r="G63" t="n">
        <v>13.2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HYPERLINK("https://klasma.github.io/Logging_1980/artfynd/A 51912-2024 artfynd.xlsx", "A 51912-2024")</f>
        <v/>
      </c>
      <c r="T63">
        <f>HYPERLINK("https://klasma.github.io/Logging_1980/kartor/A 51912-2024 karta.png", "A 51912-2024")</f>
        <v/>
      </c>
      <c r="V63">
        <f>HYPERLINK("https://klasma.github.io/Logging_1980/klagomål/A 51912-2024 FSC-klagomål.docx", "A 51912-2024")</f>
        <v/>
      </c>
      <c r="W63">
        <f>HYPERLINK("https://klasma.github.io/Logging_1980/klagomålsmail/A 51912-2024 FSC-klagomål mail.docx", "A 51912-2024")</f>
        <v/>
      </c>
      <c r="X63">
        <f>HYPERLINK("https://klasma.github.io/Logging_1980/tillsyn/A 51912-2024 tillsynsbegäran.docx", "A 51912-2024")</f>
        <v/>
      </c>
      <c r="Y63">
        <f>HYPERLINK("https://klasma.github.io/Logging_1980/tillsynsmail/A 51912-2024 tillsynsbegäran mail.docx", "A 51912-2024")</f>
        <v/>
      </c>
    </row>
    <row r="64" ht="15" customHeight="1">
      <c r="A64" t="inlineStr">
        <is>
          <t>A 60218-2024</t>
        </is>
      </c>
      <c r="B64" s="1" t="n">
        <v>45642</v>
      </c>
      <c r="C64" s="1" t="n">
        <v>45742</v>
      </c>
      <c r="D64" t="inlineStr">
        <is>
          <t>VÄSTMANLANDS LÄN</t>
        </is>
      </c>
      <c r="E64" t="inlineStr">
        <is>
          <t>VÄSTERÅS</t>
        </is>
      </c>
      <c r="G64" t="n">
        <v>7.3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HYPERLINK("https://klasma.github.io/Logging_1980/artfynd/A 60218-2024 artfynd.xlsx", "A 60218-2024")</f>
        <v/>
      </c>
      <c r="T64">
        <f>HYPERLINK("https://klasma.github.io/Logging_1980/kartor/A 60218-2024 karta.png", "A 60218-2024")</f>
        <v/>
      </c>
      <c r="V64">
        <f>HYPERLINK("https://klasma.github.io/Logging_1980/klagomål/A 60218-2024 FSC-klagomål.docx", "A 60218-2024")</f>
        <v/>
      </c>
      <c r="W64">
        <f>HYPERLINK("https://klasma.github.io/Logging_1980/klagomålsmail/A 60218-2024 FSC-klagomål mail.docx", "A 60218-2024")</f>
        <v/>
      </c>
      <c r="X64">
        <f>HYPERLINK("https://klasma.github.io/Logging_1980/tillsyn/A 60218-2024 tillsynsbegäran.docx", "A 60218-2024")</f>
        <v/>
      </c>
      <c r="Y64">
        <f>HYPERLINK("https://klasma.github.io/Logging_1980/tillsynsmail/A 60218-2024 tillsynsbegäran mail.docx", "A 60218-2024")</f>
        <v/>
      </c>
    </row>
    <row r="65" ht="15" customHeight="1">
      <c r="A65" t="inlineStr">
        <is>
          <t>A 61036-2024</t>
        </is>
      </c>
      <c r="B65" s="1" t="n">
        <v>45645</v>
      </c>
      <c r="C65" s="1" t="n">
        <v>45742</v>
      </c>
      <c r="D65" t="inlineStr">
        <is>
          <t>VÄSTMANLANDS LÄN</t>
        </is>
      </c>
      <c r="E65" t="inlineStr">
        <is>
          <t>VÄSTERÅS</t>
        </is>
      </c>
      <c r="G65" t="n">
        <v>3.7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HYPERLINK("https://klasma.github.io/Logging_1980/artfynd/A 61036-2024 artfynd.xlsx", "A 61036-2024")</f>
        <v/>
      </c>
      <c r="T65">
        <f>HYPERLINK("https://klasma.github.io/Logging_1980/kartor/A 61036-2024 karta.png", "A 61036-2024")</f>
        <v/>
      </c>
      <c r="V65">
        <f>HYPERLINK("https://klasma.github.io/Logging_1980/klagomål/A 61036-2024 FSC-klagomål.docx", "A 61036-2024")</f>
        <v/>
      </c>
      <c r="W65">
        <f>HYPERLINK("https://klasma.github.io/Logging_1980/klagomålsmail/A 61036-2024 FSC-klagomål mail.docx", "A 61036-2024")</f>
        <v/>
      </c>
      <c r="X65">
        <f>HYPERLINK("https://klasma.github.io/Logging_1980/tillsyn/A 61036-2024 tillsynsbegäran.docx", "A 61036-2024")</f>
        <v/>
      </c>
      <c r="Y65">
        <f>HYPERLINK("https://klasma.github.io/Logging_1980/tillsynsmail/A 61036-2024 tillsynsbegäran mail.docx", "A 61036-2024")</f>
        <v/>
      </c>
    </row>
    <row r="66" ht="15" customHeight="1">
      <c r="A66" t="inlineStr">
        <is>
          <t>A 18641-2019</t>
        </is>
      </c>
      <c r="B66" s="1" t="n">
        <v>43560</v>
      </c>
      <c r="C66" s="1" t="n">
        <v>45742</v>
      </c>
      <c r="D66" t="inlineStr">
        <is>
          <t>VÄSTMANLANDS LÄN</t>
        </is>
      </c>
      <c r="E66" t="inlineStr">
        <is>
          <t>VÄSTERÅS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18765-2019</t>
        </is>
      </c>
      <c r="B67" s="1" t="n">
        <v>43560</v>
      </c>
      <c r="C67" s="1" t="n">
        <v>45742</v>
      </c>
      <c r="D67" t="inlineStr">
        <is>
          <t>VÄSTMANLANDS LÄN</t>
        </is>
      </c>
      <c r="E67" t="inlineStr">
        <is>
          <t>VÄSTERÅS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19312-2019</t>
        </is>
      </c>
      <c r="B68" s="1" t="n">
        <v>43565</v>
      </c>
      <c r="C68" s="1" t="n">
        <v>45742</v>
      </c>
      <c r="D68" t="inlineStr">
        <is>
          <t>VÄSTMANLANDS LÄN</t>
        </is>
      </c>
      <c r="E68" t="inlineStr">
        <is>
          <t>VÄSTERÅS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19318-2019</t>
        </is>
      </c>
      <c r="B69" s="1" t="n">
        <v>43565</v>
      </c>
      <c r="C69" s="1" t="n">
        <v>45742</v>
      </c>
      <c r="D69" t="inlineStr">
        <is>
          <t>VÄSTMANLANDS LÄN</t>
        </is>
      </c>
      <c r="E69" t="inlineStr">
        <is>
          <t>VÄSTERÅS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21397-2019</t>
        </is>
      </c>
      <c r="B70" s="1" t="n">
        <v>43580</v>
      </c>
      <c r="C70" s="1" t="n">
        <v>45742</v>
      </c>
      <c r="D70" t="inlineStr">
        <is>
          <t>VÄSTMANLANDS LÄN</t>
        </is>
      </c>
      <c r="E70" t="inlineStr">
        <is>
          <t>VÄSTERÅS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21768-2019</t>
        </is>
      </c>
      <c r="B71" s="1" t="n">
        <v>43581</v>
      </c>
      <c r="C71" s="1" t="n">
        <v>45742</v>
      </c>
      <c r="D71" t="inlineStr">
        <is>
          <t>VÄSTMANLANDS LÄN</t>
        </is>
      </c>
      <c r="E71" t="inlineStr">
        <is>
          <t>VÄSTERÅS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22221-2019</t>
        </is>
      </c>
      <c r="B72" s="1" t="n">
        <v>43585</v>
      </c>
      <c r="C72" s="1" t="n">
        <v>45742</v>
      </c>
      <c r="D72" t="inlineStr">
        <is>
          <t>VÄSTMANLANDS LÄN</t>
        </is>
      </c>
      <c r="E72" t="inlineStr">
        <is>
          <t>VÄSTERÅS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26614-2019</t>
        </is>
      </c>
      <c r="B73" s="1" t="n">
        <v>43612</v>
      </c>
      <c r="C73" s="1" t="n">
        <v>45742</v>
      </c>
      <c r="D73" t="inlineStr">
        <is>
          <t>VÄSTMANLANDS LÄN</t>
        </is>
      </c>
      <c r="E73" t="inlineStr">
        <is>
          <t>VÄSTERÅS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27181-2019</t>
        </is>
      </c>
      <c r="B74" s="1" t="n">
        <v>43614</v>
      </c>
      <c r="C74" s="1" t="n">
        <v>45742</v>
      </c>
      <c r="D74" t="inlineStr">
        <is>
          <t>VÄSTMANLANDS LÄN</t>
        </is>
      </c>
      <c r="E74" t="inlineStr">
        <is>
          <t>VÄSTERÅS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30745-2019</t>
        </is>
      </c>
      <c r="B75" s="1" t="n">
        <v>43636</v>
      </c>
      <c r="C75" s="1" t="n">
        <v>45742</v>
      </c>
      <c r="D75" t="inlineStr">
        <is>
          <t>VÄSTMANLANDS LÄN</t>
        </is>
      </c>
      <c r="E75" t="inlineStr">
        <is>
          <t>VÄSTERÅS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30826-2019</t>
        </is>
      </c>
      <c r="B76" s="1" t="n">
        <v>43636</v>
      </c>
      <c r="C76" s="1" t="n">
        <v>45742</v>
      </c>
      <c r="D76" t="inlineStr">
        <is>
          <t>VÄSTMANLANDS LÄN</t>
        </is>
      </c>
      <c r="E76" t="inlineStr">
        <is>
          <t>VÄSTERÅS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35801-2019</t>
        </is>
      </c>
      <c r="B77" s="1" t="n">
        <v>43665</v>
      </c>
      <c r="C77" s="1" t="n">
        <v>45742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36437-2019</t>
        </is>
      </c>
      <c r="B78" s="1" t="n">
        <v>43670</v>
      </c>
      <c r="C78" s="1" t="n">
        <v>45742</v>
      </c>
      <c r="D78" t="inlineStr">
        <is>
          <t>VÄSTMANLANDS LÄN</t>
        </is>
      </c>
      <c r="E78" t="inlineStr">
        <is>
          <t>VÄSTERÅS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36695-2019</t>
        </is>
      </c>
      <c r="B79" s="1" t="n">
        <v>43671</v>
      </c>
      <c r="C79" s="1" t="n">
        <v>45742</v>
      </c>
      <c r="D79" t="inlineStr">
        <is>
          <t>VÄSTMANLANDS LÄN</t>
        </is>
      </c>
      <c r="E79" t="inlineStr">
        <is>
          <t>VÄSTERÅS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36802-2019</t>
        </is>
      </c>
      <c r="B80" s="1" t="n">
        <v>43672</v>
      </c>
      <c r="C80" s="1" t="n">
        <v>45742</v>
      </c>
      <c r="D80" t="inlineStr">
        <is>
          <t>VÄSTMANLANDS LÄN</t>
        </is>
      </c>
      <c r="E80" t="inlineStr">
        <is>
          <t>VÄSTERÅS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38084-2019</t>
        </is>
      </c>
      <c r="B81" s="1" t="n">
        <v>43683</v>
      </c>
      <c r="C81" s="1" t="n">
        <v>45742</v>
      </c>
      <c r="D81" t="inlineStr">
        <is>
          <t>VÄSTMANLANDS LÄN</t>
        </is>
      </c>
      <c r="E81" t="inlineStr">
        <is>
          <t>VÄSTERÅS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39177-2019</t>
        </is>
      </c>
      <c r="B82" s="1" t="n">
        <v>43685</v>
      </c>
      <c r="C82" s="1" t="n">
        <v>45742</v>
      </c>
      <c r="D82" t="inlineStr">
        <is>
          <t>VÄSTMANLANDS LÄN</t>
        </is>
      </c>
      <c r="E82" t="inlineStr">
        <is>
          <t>VÄSTERÅS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39178-2019</t>
        </is>
      </c>
      <c r="B83" s="1" t="n">
        <v>43685</v>
      </c>
      <c r="C83" s="1" t="n">
        <v>45742</v>
      </c>
      <c r="D83" t="inlineStr">
        <is>
          <t>VÄSTMANLANDS LÄN</t>
        </is>
      </c>
      <c r="E83" t="inlineStr">
        <is>
          <t>VÄSTERÅS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38922-2019</t>
        </is>
      </c>
      <c r="B84" s="1" t="n">
        <v>43689</v>
      </c>
      <c r="C84" s="1" t="n">
        <v>45742</v>
      </c>
      <c r="D84" t="inlineStr">
        <is>
          <t>VÄSTMANLANDS LÄN</t>
        </is>
      </c>
      <c r="E84" t="inlineStr">
        <is>
          <t>VÄSTERÅS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38986-2019</t>
        </is>
      </c>
      <c r="B85" s="1" t="n">
        <v>43689</v>
      </c>
      <c r="C85" s="1" t="n">
        <v>45742</v>
      </c>
      <c r="D85" t="inlineStr">
        <is>
          <t>VÄSTMANLANDS LÄN</t>
        </is>
      </c>
      <c r="E85" t="inlineStr">
        <is>
          <t>VÄSTERÅS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38981-2019</t>
        </is>
      </c>
      <c r="B86" s="1" t="n">
        <v>43689</v>
      </c>
      <c r="C86" s="1" t="n">
        <v>45742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38848-2019</t>
        </is>
      </c>
      <c r="B87" s="1" t="n">
        <v>43689</v>
      </c>
      <c r="C87" s="1" t="n">
        <v>45742</v>
      </c>
      <c r="D87" t="inlineStr">
        <is>
          <t>VÄSTMANLANDS LÄN</t>
        </is>
      </c>
      <c r="E87" t="inlineStr">
        <is>
          <t>VÄSTERÅS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39497-2019</t>
        </is>
      </c>
      <c r="B88" s="1" t="n">
        <v>43691</v>
      </c>
      <c r="C88" s="1" t="n">
        <v>45742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39756-2019</t>
        </is>
      </c>
      <c r="B89" s="1" t="n">
        <v>43692</v>
      </c>
      <c r="C89" s="1" t="n">
        <v>45742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41762-2019</t>
        </is>
      </c>
      <c r="B90" s="1" t="n">
        <v>43699</v>
      </c>
      <c r="C90" s="1" t="n">
        <v>45742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42061-2019</t>
        </is>
      </c>
      <c r="B91" s="1" t="n">
        <v>43700</v>
      </c>
      <c r="C91" s="1" t="n">
        <v>45742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42058-2019</t>
        </is>
      </c>
      <c r="B92" s="1" t="n">
        <v>43700</v>
      </c>
      <c r="C92" s="1" t="n">
        <v>45742</v>
      </c>
      <c r="D92" t="inlineStr">
        <is>
          <t>VÄSTMANLANDS LÄN</t>
        </is>
      </c>
      <c r="E92" t="inlineStr">
        <is>
          <t>VÄSTERÅS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42158-2019</t>
        </is>
      </c>
      <c r="B93" s="1" t="n">
        <v>43703</v>
      </c>
      <c r="C93" s="1" t="n">
        <v>45742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42385-2019</t>
        </is>
      </c>
      <c r="B94" s="1" t="n">
        <v>43703</v>
      </c>
      <c r="C94" s="1" t="n">
        <v>45742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43235-2019</t>
        </is>
      </c>
      <c r="B95" s="1" t="n">
        <v>43706</v>
      </c>
      <c r="C95" s="1" t="n">
        <v>45742</v>
      </c>
      <c r="D95" t="inlineStr">
        <is>
          <t>VÄSTMANLANDS LÄN</t>
        </is>
      </c>
      <c r="E95" t="inlineStr">
        <is>
          <t>VÄSTERÅS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43508-2019</t>
        </is>
      </c>
      <c r="B96" s="1" t="n">
        <v>43706</v>
      </c>
      <c r="C96" s="1" t="n">
        <v>45742</v>
      </c>
      <c r="D96" t="inlineStr">
        <is>
          <t>VÄSTMANLANDS LÄN</t>
        </is>
      </c>
      <c r="E96" t="inlineStr">
        <is>
          <t>VÄSTERÅS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44140-2019</t>
        </is>
      </c>
      <c r="B97" s="1" t="n">
        <v>43709</v>
      </c>
      <c r="C97" s="1" t="n">
        <v>45742</v>
      </c>
      <c r="D97" t="inlineStr">
        <is>
          <t>VÄSTMANLANDS LÄN</t>
        </is>
      </c>
      <c r="E97" t="inlineStr">
        <is>
          <t>VÄSTERÅS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44131-2019</t>
        </is>
      </c>
      <c r="B98" s="1" t="n">
        <v>43709</v>
      </c>
      <c r="C98" s="1" t="n">
        <v>45742</v>
      </c>
      <c r="D98" t="inlineStr">
        <is>
          <t>VÄSTMANLANDS LÄN</t>
        </is>
      </c>
      <c r="E98" t="inlineStr">
        <is>
          <t>VÄSTERÅS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44694-2019</t>
        </is>
      </c>
      <c r="B99" s="1" t="n">
        <v>43712</v>
      </c>
      <c r="C99" s="1" t="n">
        <v>45742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44715-2019</t>
        </is>
      </c>
      <c r="B100" s="1" t="n">
        <v>43712</v>
      </c>
      <c r="C100" s="1" t="n">
        <v>45742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44730-2019</t>
        </is>
      </c>
      <c r="B101" s="1" t="n">
        <v>43712</v>
      </c>
      <c r="C101" s="1" t="n">
        <v>45742</v>
      </c>
      <c r="D101" t="inlineStr">
        <is>
          <t>VÄSTMANLANDS LÄN</t>
        </is>
      </c>
      <c r="E101" t="inlineStr">
        <is>
          <t>VÄSTERÅS</t>
        </is>
      </c>
      <c r="G101" t="n">
        <v>28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44813-2019</t>
        </is>
      </c>
      <c r="B102" s="1" t="n">
        <v>43712</v>
      </c>
      <c r="C102" s="1" t="n">
        <v>45742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44959-2019</t>
        </is>
      </c>
      <c r="B103" s="1" t="n">
        <v>43713</v>
      </c>
      <c r="C103" s="1" t="n">
        <v>45742</v>
      </c>
      <c r="D103" t="inlineStr">
        <is>
          <t>VÄSTMANLANDS LÄN</t>
        </is>
      </c>
      <c r="E103" t="inlineStr">
        <is>
          <t>VÄSTERÅS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45251-2019</t>
        </is>
      </c>
      <c r="B104" s="1" t="n">
        <v>43713</v>
      </c>
      <c r="C104" s="1" t="n">
        <v>45742</v>
      </c>
      <c r="D104" t="inlineStr">
        <is>
          <t>VÄSTMANLANDS LÄN</t>
        </is>
      </c>
      <c r="E104" t="inlineStr">
        <is>
          <t>VÄSTERÅS</t>
        </is>
      </c>
      <c r="G104" t="n">
        <v>34.2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47016-2019</t>
        </is>
      </c>
      <c r="B105" s="1" t="n">
        <v>43720</v>
      </c>
      <c r="C105" s="1" t="n">
        <v>45742</v>
      </c>
      <c r="D105" t="inlineStr">
        <is>
          <t>VÄSTMANLANDS LÄN</t>
        </is>
      </c>
      <c r="E105" t="inlineStr">
        <is>
          <t>VÄSTERÅS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47049-2019</t>
        </is>
      </c>
      <c r="B106" s="1" t="n">
        <v>43720</v>
      </c>
      <c r="C106" s="1" t="n">
        <v>45742</v>
      </c>
      <c r="D106" t="inlineStr">
        <is>
          <t>VÄSTMANLANDS LÄN</t>
        </is>
      </c>
      <c r="E106" t="inlineStr">
        <is>
          <t>VÄSTERÅS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47725-2019</t>
        </is>
      </c>
      <c r="B107" s="1" t="n">
        <v>43724</v>
      </c>
      <c r="C107" s="1" t="n">
        <v>45742</v>
      </c>
      <c r="D107" t="inlineStr">
        <is>
          <t>VÄSTMANLANDS LÄN</t>
        </is>
      </c>
      <c r="E107" t="inlineStr">
        <is>
          <t>VÄSTERÅS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48195-2019</t>
        </is>
      </c>
      <c r="B108" s="1" t="n">
        <v>43726</v>
      </c>
      <c r="C108" s="1" t="n">
        <v>45742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48228-2019</t>
        </is>
      </c>
      <c r="B109" s="1" t="n">
        <v>43726</v>
      </c>
      <c r="C109" s="1" t="n">
        <v>45742</v>
      </c>
      <c r="D109" t="inlineStr">
        <is>
          <t>VÄSTMANLANDS LÄN</t>
        </is>
      </c>
      <c r="E109" t="inlineStr">
        <is>
          <t>VÄSTERÅS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48310-2019</t>
        </is>
      </c>
      <c r="B110" s="1" t="n">
        <v>43726</v>
      </c>
      <c r="C110" s="1" t="n">
        <v>45742</v>
      </c>
      <c r="D110" t="inlineStr">
        <is>
          <t>VÄSTMANLANDS LÄN</t>
        </is>
      </c>
      <c r="E110" t="inlineStr">
        <is>
          <t>VÄSTERÅS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48560-2019</t>
        </is>
      </c>
      <c r="B111" s="1" t="n">
        <v>43727</v>
      </c>
      <c r="C111" s="1" t="n">
        <v>45742</v>
      </c>
      <c r="D111" t="inlineStr">
        <is>
          <t>VÄSTMANLANDS LÄN</t>
        </is>
      </c>
      <c r="E111" t="inlineStr">
        <is>
          <t>VÄSTERÅS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49217-2019</t>
        </is>
      </c>
      <c r="B112" s="1" t="n">
        <v>43731</v>
      </c>
      <c r="C112" s="1" t="n">
        <v>45742</v>
      </c>
      <c r="D112" t="inlineStr">
        <is>
          <t>VÄSTMANLANDS LÄN</t>
        </is>
      </c>
      <c r="E112" t="inlineStr">
        <is>
          <t>VÄSTERÅS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49460-2019</t>
        </is>
      </c>
      <c r="B113" s="1" t="n">
        <v>43732</v>
      </c>
      <c r="C113" s="1" t="n">
        <v>45742</v>
      </c>
      <c r="D113" t="inlineStr">
        <is>
          <t>VÄSTMANLANDS LÄN</t>
        </is>
      </c>
      <c r="E113" t="inlineStr">
        <is>
          <t>VÄSTERÅS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49542-2019</t>
        </is>
      </c>
      <c r="B114" s="1" t="n">
        <v>43732</v>
      </c>
      <c r="C114" s="1" t="n">
        <v>45742</v>
      </c>
      <c r="D114" t="inlineStr">
        <is>
          <t>VÄSTMANLANDS LÄN</t>
        </is>
      </c>
      <c r="E114" t="inlineStr">
        <is>
          <t>VÄSTERÅS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49849-2019</t>
        </is>
      </c>
      <c r="B115" s="1" t="n">
        <v>43733</v>
      </c>
      <c r="C115" s="1" t="n">
        <v>45742</v>
      </c>
      <c r="D115" t="inlineStr">
        <is>
          <t>VÄSTMANLANDS LÄN</t>
        </is>
      </c>
      <c r="E115" t="inlineStr">
        <is>
          <t>VÄSTERÅS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50121-2019</t>
        </is>
      </c>
      <c r="B116" s="1" t="n">
        <v>43734</v>
      </c>
      <c r="C116" s="1" t="n">
        <v>45742</v>
      </c>
      <c r="D116" t="inlineStr">
        <is>
          <t>VÄSTMANLANDS LÄN</t>
        </is>
      </c>
      <c r="E116" t="inlineStr">
        <is>
          <t>VÄSTERÅS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50888-2019</t>
        </is>
      </c>
      <c r="B117" s="1" t="n">
        <v>43735</v>
      </c>
      <c r="C117" s="1" t="n">
        <v>45742</v>
      </c>
      <c r="D117" t="inlineStr">
        <is>
          <t>VÄSTMANLANDS LÄN</t>
        </is>
      </c>
      <c r="E117" t="inlineStr">
        <is>
          <t>VÄSTERÅS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50664-2019</t>
        </is>
      </c>
      <c r="B118" s="1" t="n">
        <v>43737</v>
      </c>
      <c r="C118" s="1" t="n">
        <v>45742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50946-2019</t>
        </is>
      </c>
      <c r="B119" s="1" t="n">
        <v>43738</v>
      </c>
      <c r="C119" s="1" t="n">
        <v>45742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51505-2019</t>
        </is>
      </c>
      <c r="B120" s="1" t="n">
        <v>43740</v>
      </c>
      <c r="C120" s="1" t="n">
        <v>45742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51884-2019</t>
        </is>
      </c>
      <c r="B121" s="1" t="n">
        <v>43741</v>
      </c>
      <c r="C121" s="1" t="n">
        <v>45742</v>
      </c>
      <c r="D121" t="inlineStr">
        <is>
          <t>VÄSTMANLANDS LÄN</t>
        </is>
      </c>
      <c r="E121" t="inlineStr">
        <is>
          <t>VÄSTERÅS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52243-2019</t>
        </is>
      </c>
      <c r="B122" s="1" t="n">
        <v>43742</v>
      </c>
      <c r="C122" s="1" t="n">
        <v>45742</v>
      </c>
      <c r="D122" t="inlineStr">
        <is>
          <t>VÄSTMANLANDS LÄN</t>
        </is>
      </c>
      <c r="E122" t="inlineStr">
        <is>
          <t>VÄSTERÅS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52122-2019</t>
        </is>
      </c>
      <c r="B123" s="1" t="n">
        <v>43742</v>
      </c>
      <c r="C123" s="1" t="n">
        <v>45742</v>
      </c>
      <c r="D123" t="inlineStr">
        <is>
          <t>VÄSTMANLANDS LÄN</t>
        </is>
      </c>
      <c r="E123" t="inlineStr">
        <is>
          <t>VÄSTERÅS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52242-2019</t>
        </is>
      </c>
      <c r="B124" s="1" t="n">
        <v>43742</v>
      </c>
      <c r="C124" s="1" t="n">
        <v>45742</v>
      </c>
      <c r="D124" t="inlineStr">
        <is>
          <t>VÄSTMANLANDS LÄN</t>
        </is>
      </c>
      <c r="E124" t="inlineStr">
        <is>
          <t>VÄSTERÅS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52410-2019</t>
        </is>
      </c>
      <c r="B125" s="1" t="n">
        <v>43745</v>
      </c>
      <c r="C125" s="1" t="n">
        <v>45742</v>
      </c>
      <c r="D125" t="inlineStr">
        <is>
          <t>VÄSTMANLANDS LÄN</t>
        </is>
      </c>
      <c r="E125" t="inlineStr">
        <is>
          <t>VÄSTERÅS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52408-2019</t>
        </is>
      </c>
      <c r="B126" s="1" t="n">
        <v>43745</v>
      </c>
      <c r="C126" s="1" t="n">
        <v>45742</v>
      </c>
      <c r="D126" t="inlineStr">
        <is>
          <t>VÄSTMANLANDS LÄN</t>
        </is>
      </c>
      <c r="E126" t="inlineStr">
        <is>
          <t>VÄSTERÅS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53358-2019</t>
        </is>
      </c>
      <c r="B127" s="1" t="n">
        <v>43748</v>
      </c>
      <c r="C127" s="1" t="n">
        <v>45742</v>
      </c>
      <c r="D127" t="inlineStr">
        <is>
          <t>VÄSTMANLANDS LÄN</t>
        </is>
      </c>
      <c r="E127" t="inlineStr">
        <is>
          <t>VÄSTERÅS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53250-2019</t>
        </is>
      </c>
      <c r="B128" s="1" t="n">
        <v>43748</v>
      </c>
      <c r="C128" s="1" t="n">
        <v>45742</v>
      </c>
      <c r="D128" t="inlineStr">
        <is>
          <t>VÄSTMANLANDS LÄN</t>
        </is>
      </c>
      <c r="E128" t="inlineStr">
        <is>
          <t>VÄSTERÅS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53246-2019</t>
        </is>
      </c>
      <c r="B129" s="1" t="n">
        <v>43748</v>
      </c>
      <c r="C129" s="1" t="n">
        <v>45742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53685-2019</t>
        </is>
      </c>
      <c r="B130" s="1" t="n">
        <v>43749</v>
      </c>
      <c r="C130" s="1" t="n">
        <v>45742</v>
      </c>
      <c r="D130" t="inlineStr">
        <is>
          <t>VÄSTMANLANDS LÄN</t>
        </is>
      </c>
      <c r="E130" t="inlineStr">
        <is>
          <t>VÄSTERÅS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54195-2019</t>
        </is>
      </c>
      <c r="B131" s="1" t="n">
        <v>43753</v>
      </c>
      <c r="C131" s="1" t="n">
        <v>45742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54628-2019</t>
        </is>
      </c>
      <c r="B132" s="1" t="n">
        <v>43754</v>
      </c>
      <c r="C132" s="1" t="n">
        <v>45742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56611-2019</t>
        </is>
      </c>
      <c r="B133" s="1" t="n">
        <v>43762</v>
      </c>
      <c r="C133" s="1" t="n">
        <v>45742</v>
      </c>
      <c r="D133" t="inlineStr">
        <is>
          <t>VÄSTMANLANDS LÄN</t>
        </is>
      </c>
      <c r="E133" t="inlineStr">
        <is>
          <t>VÄSTERÅS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57078-2019</t>
        </is>
      </c>
      <c r="B134" s="1" t="n">
        <v>43766</v>
      </c>
      <c r="C134" s="1" t="n">
        <v>45742</v>
      </c>
      <c r="D134" t="inlineStr">
        <is>
          <t>VÄSTMANLANDS LÄN</t>
        </is>
      </c>
      <c r="E134" t="inlineStr">
        <is>
          <t>VÄSTERÅS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57810-2019</t>
        </is>
      </c>
      <c r="B135" s="1" t="n">
        <v>43768</v>
      </c>
      <c r="C135" s="1" t="n">
        <v>45742</v>
      </c>
      <c r="D135" t="inlineStr">
        <is>
          <t>VÄSTMANLANDS LÄN</t>
        </is>
      </c>
      <c r="E135" t="inlineStr">
        <is>
          <t>VÄSTERÅS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58138-2019</t>
        </is>
      </c>
      <c r="B136" s="1" t="n">
        <v>43769</v>
      </c>
      <c r="C136" s="1" t="n">
        <v>45742</v>
      </c>
      <c r="D136" t="inlineStr">
        <is>
          <t>VÄSTMANLANDS LÄN</t>
        </is>
      </c>
      <c r="E136" t="inlineStr">
        <is>
          <t>VÄSTERÅS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59327-2019</t>
        </is>
      </c>
      <c r="B137" s="1" t="n">
        <v>43775</v>
      </c>
      <c r="C137" s="1" t="n">
        <v>45742</v>
      </c>
      <c r="D137" t="inlineStr">
        <is>
          <t>VÄSTMANLANDS LÄN</t>
        </is>
      </c>
      <c r="E137" t="inlineStr">
        <is>
          <t>VÄSTERÅS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59586-2019</t>
        </is>
      </c>
      <c r="B138" s="1" t="n">
        <v>43776</v>
      </c>
      <c r="C138" s="1" t="n">
        <v>45742</v>
      </c>
      <c r="D138" t="inlineStr">
        <is>
          <t>VÄSTMANLANDS LÄN</t>
        </is>
      </c>
      <c r="E138" t="inlineStr">
        <is>
          <t>VÄSTERÅS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60963-2019</t>
        </is>
      </c>
      <c r="B139" s="1" t="n">
        <v>43782</v>
      </c>
      <c r="C139" s="1" t="n">
        <v>45742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60958-2019</t>
        </is>
      </c>
      <c r="B140" s="1" t="n">
        <v>43782</v>
      </c>
      <c r="C140" s="1" t="n">
        <v>45742</v>
      </c>
      <c r="D140" t="inlineStr">
        <is>
          <t>VÄSTMANLANDS LÄN</t>
        </is>
      </c>
      <c r="E140" t="inlineStr">
        <is>
          <t>VÄSTERÅS</t>
        </is>
      </c>
      <c r="G140" t="n">
        <v>14.5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62412-2019</t>
        </is>
      </c>
      <c r="B141" s="1" t="n">
        <v>43788</v>
      </c>
      <c r="C141" s="1" t="n">
        <v>45742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62774-2019</t>
        </is>
      </c>
      <c r="B142" s="1" t="n">
        <v>43789</v>
      </c>
      <c r="C142" s="1" t="n">
        <v>45742</v>
      </c>
      <c r="D142" t="inlineStr">
        <is>
          <t>VÄSTMANLANDS LÄN</t>
        </is>
      </c>
      <c r="E142" t="inlineStr">
        <is>
          <t>VÄSTERÅS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63203-2019</t>
        </is>
      </c>
      <c r="B143" s="1" t="n">
        <v>43791</v>
      </c>
      <c r="C143" s="1" t="n">
        <v>45742</v>
      </c>
      <c r="D143" t="inlineStr">
        <is>
          <t>VÄSTMANLANDS LÄN</t>
        </is>
      </c>
      <c r="E143" t="inlineStr">
        <is>
          <t>VÄSTERÅS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63288-2019</t>
        </is>
      </c>
      <c r="B144" s="1" t="n">
        <v>43794</v>
      </c>
      <c r="C144" s="1" t="n">
        <v>45742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63753-2019</t>
        </is>
      </c>
      <c r="B145" s="1" t="n">
        <v>43795</v>
      </c>
      <c r="C145" s="1" t="n">
        <v>45742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64639-2019</t>
        </is>
      </c>
      <c r="B146" s="1" t="n">
        <v>43798</v>
      </c>
      <c r="C146" s="1" t="n">
        <v>45742</v>
      </c>
      <c r="D146" t="inlineStr">
        <is>
          <t>VÄSTMANLANDS LÄN</t>
        </is>
      </c>
      <c r="E146" t="inlineStr">
        <is>
          <t>VÄSTERÅS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65299-2019</t>
        </is>
      </c>
      <c r="B147" s="1" t="n">
        <v>43802</v>
      </c>
      <c r="C147" s="1" t="n">
        <v>45742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65184-2019</t>
        </is>
      </c>
      <c r="B148" s="1" t="n">
        <v>43802</v>
      </c>
      <c r="C148" s="1" t="n">
        <v>45742</v>
      </c>
      <c r="D148" t="inlineStr">
        <is>
          <t>VÄSTMANLANDS LÄN</t>
        </is>
      </c>
      <c r="E148" t="inlineStr">
        <is>
          <t>VÄSTERÅS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66205-2019</t>
        </is>
      </c>
      <c r="B149" s="1" t="n">
        <v>43808</v>
      </c>
      <c r="C149" s="1" t="n">
        <v>45742</v>
      </c>
      <c r="D149" t="inlineStr">
        <is>
          <t>VÄSTMANLANDS LÄN</t>
        </is>
      </c>
      <c r="E149" t="inlineStr">
        <is>
          <t>VÄSTERÅS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67995-2019</t>
        </is>
      </c>
      <c r="B150" s="1" t="n">
        <v>43811</v>
      </c>
      <c r="C150" s="1" t="n">
        <v>45742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950-2020</t>
        </is>
      </c>
      <c r="B151" s="1" t="n">
        <v>43839</v>
      </c>
      <c r="C151" s="1" t="n">
        <v>45742</v>
      </c>
      <c r="D151" t="inlineStr">
        <is>
          <t>VÄSTMANLANDS LÄN</t>
        </is>
      </c>
      <c r="E151" t="inlineStr">
        <is>
          <t>VÄSTERÅS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2331-2020</t>
        </is>
      </c>
      <c r="B152" s="1" t="n">
        <v>43846</v>
      </c>
      <c r="C152" s="1" t="n">
        <v>45742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4425-2020</t>
        </is>
      </c>
      <c r="B153" s="1" t="n">
        <v>43847</v>
      </c>
      <c r="C153" s="1" t="n">
        <v>45742</v>
      </c>
      <c r="D153" t="inlineStr">
        <is>
          <t>VÄSTMANLANDS LÄN</t>
        </is>
      </c>
      <c r="E153" t="inlineStr">
        <is>
          <t>VÄSTERÅS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2939-2020</t>
        </is>
      </c>
      <c r="B154" s="1" t="n">
        <v>43850</v>
      </c>
      <c r="C154" s="1" t="n">
        <v>45742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2920-2020</t>
        </is>
      </c>
      <c r="B155" s="1" t="n">
        <v>43850</v>
      </c>
      <c r="C155" s="1" t="n">
        <v>45742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Kyrkan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3078-2020</t>
        </is>
      </c>
      <c r="B156" s="1" t="n">
        <v>43851</v>
      </c>
      <c r="C156" s="1" t="n">
        <v>45742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4809-2020</t>
        </is>
      </c>
      <c r="B157" s="1" t="n">
        <v>43859</v>
      </c>
      <c r="C157" s="1" t="n">
        <v>45742</v>
      </c>
      <c r="D157" t="inlineStr">
        <is>
          <t>VÄSTMANLANDS LÄN</t>
        </is>
      </c>
      <c r="E157" t="inlineStr">
        <is>
          <t>VÄSTERÅS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6043-2020</t>
        </is>
      </c>
      <c r="B158" s="1" t="n">
        <v>43865</v>
      </c>
      <c r="C158" s="1" t="n">
        <v>45742</v>
      </c>
      <c r="D158" t="inlineStr">
        <is>
          <t>VÄSTMANLANDS LÄN</t>
        </is>
      </c>
      <c r="E158" t="inlineStr">
        <is>
          <t>VÄSTERÅS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6341-2020</t>
        </is>
      </c>
      <c r="B159" s="1" t="n">
        <v>43866</v>
      </c>
      <c r="C159" s="1" t="n">
        <v>45742</v>
      </c>
      <c r="D159" t="inlineStr">
        <is>
          <t>VÄSTMANLANDS LÄN</t>
        </is>
      </c>
      <c r="E159" t="inlineStr">
        <is>
          <t>VÄSTERÅS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6592-2020</t>
        </is>
      </c>
      <c r="B160" s="1" t="n">
        <v>43866</v>
      </c>
      <c r="C160" s="1" t="n">
        <v>45742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6583-2020</t>
        </is>
      </c>
      <c r="B161" s="1" t="n">
        <v>43866</v>
      </c>
      <c r="C161" s="1" t="n">
        <v>45742</v>
      </c>
      <c r="D161" t="inlineStr">
        <is>
          <t>VÄSTMANLANDS LÄN</t>
        </is>
      </c>
      <c r="E161" t="inlineStr">
        <is>
          <t>VÄSTERÅS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6669-2020</t>
        </is>
      </c>
      <c r="B162" s="1" t="n">
        <v>43867</v>
      </c>
      <c r="C162" s="1" t="n">
        <v>45742</v>
      </c>
      <c r="D162" t="inlineStr">
        <is>
          <t>VÄSTMANLANDS LÄN</t>
        </is>
      </c>
      <c r="E162" t="inlineStr">
        <is>
          <t>VÄSTERÅS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6664-2020</t>
        </is>
      </c>
      <c r="B163" s="1" t="n">
        <v>43867</v>
      </c>
      <c r="C163" s="1" t="n">
        <v>45742</v>
      </c>
      <c r="D163" t="inlineStr">
        <is>
          <t>VÄSTMANLANDS LÄN</t>
        </is>
      </c>
      <c r="E163" t="inlineStr">
        <is>
          <t>VÄSTERÅS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6750-2020</t>
        </is>
      </c>
      <c r="B164" s="1" t="n">
        <v>43867</v>
      </c>
      <c r="C164" s="1" t="n">
        <v>45742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7139-2020</t>
        </is>
      </c>
      <c r="B165" s="1" t="n">
        <v>43869</v>
      </c>
      <c r="C165" s="1" t="n">
        <v>45742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8644-2020</t>
        </is>
      </c>
      <c r="B166" s="1" t="n">
        <v>43878</v>
      </c>
      <c r="C166" s="1" t="n">
        <v>45742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9299-2020</t>
        </is>
      </c>
      <c r="B167" s="1" t="n">
        <v>43880</v>
      </c>
      <c r="C167" s="1" t="n">
        <v>45742</v>
      </c>
      <c r="D167" t="inlineStr">
        <is>
          <t>VÄSTMANLANDS LÄN</t>
        </is>
      </c>
      <c r="E167" t="inlineStr">
        <is>
          <t>VÄSTERÅS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17388-2020</t>
        </is>
      </c>
      <c r="B168" s="1" t="n">
        <v>43887</v>
      </c>
      <c r="C168" s="1" t="n">
        <v>45742</v>
      </c>
      <c r="D168" t="inlineStr">
        <is>
          <t>VÄSTMANLANDS LÄN</t>
        </is>
      </c>
      <c r="E168" t="inlineStr">
        <is>
          <t>VÄSTERÅS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11657-2020</t>
        </is>
      </c>
      <c r="B169" s="1" t="n">
        <v>43893</v>
      </c>
      <c r="C169" s="1" t="n">
        <v>45742</v>
      </c>
      <c r="D169" t="inlineStr">
        <is>
          <t>VÄSTMANLANDS LÄN</t>
        </is>
      </c>
      <c r="E169" t="inlineStr">
        <is>
          <t>VÄSTERÅS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13542-2020</t>
        </is>
      </c>
      <c r="B170" s="1" t="n">
        <v>43902</v>
      </c>
      <c r="C170" s="1" t="n">
        <v>45742</v>
      </c>
      <c r="D170" t="inlineStr">
        <is>
          <t>VÄSTMANLANDS LÄN</t>
        </is>
      </c>
      <c r="E170" t="inlineStr">
        <is>
          <t>VÄSTERÅS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14811-2020</t>
        </is>
      </c>
      <c r="B171" s="1" t="n">
        <v>43909</v>
      </c>
      <c r="C171" s="1" t="n">
        <v>45742</v>
      </c>
      <c r="D171" t="inlineStr">
        <is>
          <t>VÄSTMANLANDS LÄN</t>
        </is>
      </c>
      <c r="E171" t="inlineStr">
        <is>
          <t>VÄSTERÅS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15314-2020</t>
        </is>
      </c>
      <c r="B172" s="1" t="n">
        <v>43913</v>
      </c>
      <c r="C172" s="1" t="n">
        <v>45742</v>
      </c>
      <c r="D172" t="inlineStr">
        <is>
          <t>VÄSTMANLANDS LÄN</t>
        </is>
      </c>
      <c r="E172" t="inlineStr">
        <is>
          <t>VÄSTERÅS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15187-2020</t>
        </is>
      </c>
      <c r="B173" s="1" t="n">
        <v>43913</v>
      </c>
      <c r="C173" s="1" t="n">
        <v>45742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15567-2020</t>
        </is>
      </c>
      <c r="B174" s="1" t="n">
        <v>43914</v>
      </c>
      <c r="C174" s="1" t="n">
        <v>45742</v>
      </c>
      <c r="D174" t="inlineStr">
        <is>
          <t>VÄSTMANLANDS LÄN</t>
        </is>
      </c>
      <c r="E174" t="inlineStr">
        <is>
          <t>VÄSTERÅS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17494-2020</t>
        </is>
      </c>
      <c r="B175" s="1" t="n">
        <v>43916</v>
      </c>
      <c r="C175" s="1" t="n">
        <v>45742</v>
      </c>
      <c r="D175" t="inlineStr">
        <is>
          <t>VÄSTMANLANDS LÄN</t>
        </is>
      </c>
      <c r="E175" t="inlineStr">
        <is>
          <t>VÄSTERÅS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17588-2020</t>
        </is>
      </c>
      <c r="B176" s="1" t="n">
        <v>43920</v>
      </c>
      <c r="C176" s="1" t="n">
        <v>45742</v>
      </c>
      <c r="D176" t="inlineStr">
        <is>
          <t>VÄSTMANLANDS LÄN</t>
        </is>
      </c>
      <c r="E176" t="inlineStr">
        <is>
          <t>VÄSTERÅS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17298-2020</t>
        </is>
      </c>
      <c r="B177" s="1" t="n">
        <v>43922</v>
      </c>
      <c r="C177" s="1" t="n">
        <v>45742</v>
      </c>
      <c r="D177" t="inlineStr">
        <is>
          <t>VÄSTMANLANDS LÄN</t>
        </is>
      </c>
      <c r="E177" t="inlineStr">
        <is>
          <t>VÄSTERÅS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23556-2020</t>
        </is>
      </c>
      <c r="B178" s="1" t="n">
        <v>43969</v>
      </c>
      <c r="C178" s="1" t="n">
        <v>45742</v>
      </c>
      <c r="D178" t="inlineStr">
        <is>
          <t>VÄSTMANLANDS LÄN</t>
        </is>
      </c>
      <c r="E178" t="inlineStr">
        <is>
          <t>VÄSTERÅS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24336-2020</t>
        </is>
      </c>
      <c r="B179" s="1" t="n">
        <v>43976</v>
      </c>
      <c r="C179" s="1" t="n">
        <v>45742</v>
      </c>
      <c r="D179" t="inlineStr">
        <is>
          <t>VÄSTMANLANDS LÄN</t>
        </is>
      </c>
      <c r="E179" t="inlineStr">
        <is>
          <t>VÄSTERÅS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24342-2020</t>
        </is>
      </c>
      <c r="B180" s="1" t="n">
        <v>43976</v>
      </c>
      <c r="C180" s="1" t="n">
        <v>45742</v>
      </c>
      <c r="D180" t="inlineStr">
        <is>
          <t>VÄSTMANLANDS LÄN</t>
        </is>
      </c>
      <c r="E180" t="inlineStr">
        <is>
          <t>VÄSTERÅS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24466-2020</t>
        </is>
      </c>
      <c r="B181" s="1" t="n">
        <v>43977</v>
      </c>
      <c r="C181" s="1" t="n">
        <v>45742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24478-2020</t>
        </is>
      </c>
      <c r="B182" s="1" t="n">
        <v>43977</v>
      </c>
      <c r="C182" s="1" t="n">
        <v>45742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24734-2020</t>
        </is>
      </c>
      <c r="B183" s="1" t="n">
        <v>43978</v>
      </c>
      <c r="C183" s="1" t="n">
        <v>45742</v>
      </c>
      <c r="D183" t="inlineStr">
        <is>
          <t>VÄSTMANLANDS LÄN</t>
        </is>
      </c>
      <c r="E183" t="inlineStr">
        <is>
          <t>VÄSTERÅS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26215-2020</t>
        </is>
      </c>
      <c r="B184" s="1" t="n">
        <v>43986</v>
      </c>
      <c r="C184" s="1" t="n">
        <v>45742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27637-2020</t>
        </is>
      </c>
      <c r="B185" s="1" t="n">
        <v>43993</v>
      </c>
      <c r="C185" s="1" t="n">
        <v>45742</v>
      </c>
      <c r="D185" t="inlineStr">
        <is>
          <t>VÄSTMANLANDS LÄN</t>
        </is>
      </c>
      <c r="E185" t="inlineStr">
        <is>
          <t>VÄSTERÅS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28536-2020</t>
        </is>
      </c>
      <c r="B186" s="1" t="n">
        <v>43999</v>
      </c>
      <c r="C186" s="1" t="n">
        <v>45742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28533-2020</t>
        </is>
      </c>
      <c r="B187" s="1" t="n">
        <v>43999</v>
      </c>
      <c r="C187" s="1" t="n">
        <v>45742</v>
      </c>
      <c r="D187" t="inlineStr">
        <is>
          <t>VÄSTMANLANDS LÄN</t>
        </is>
      </c>
      <c r="E187" t="inlineStr">
        <is>
          <t>VÄSTERÅS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29197-2020</t>
        </is>
      </c>
      <c r="B188" s="1" t="n">
        <v>44004</v>
      </c>
      <c r="C188" s="1" t="n">
        <v>45742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29726-2020</t>
        </is>
      </c>
      <c r="B189" s="1" t="n">
        <v>44005</v>
      </c>
      <c r="C189" s="1" t="n">
        <v>45742</v>
      </c>
      <c r="D189" t="inlineStr">
        <is>
          <t>VÄSTMANLANDS LÄN</t>
        </is>
      </c>
      <c r="E189" t="inlineStr">
        <is>
          <t>VÄSTERÅS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30362-2020</t>
        </is>
      </c>
      <c r="B190" s="1" t="n">
        <v>44007</v>
      </c>
      <c r="C190" s="1" t="n">
        <v>45742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30365-2020</t>
        </is>
      </c>
      <c r="B191" s="1" t="n">
        <v>44007</v>
      </c>
      <c r="C191" s="1" t="n">
        <v>45742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30793-2020</t>
        </is>
      </c>
      <c r="B192" s="1" t="n">
        <v>44010</v>
      </c>
      <c r="C192" s="1" t="n">
        <v>45742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31552-2020</t>
        </is>
      </c>
      <c r="B193" s="1" t="n">
        <v>44013</v>
      </c>
      <c r="C193" s="1" t="n">
        <v>45742</v>
      </c>
      <c r="D193" t="inlineStr">
        <is>
          <t>VÄSTMANLANDS LÄN</t>
        </is>
      </c>
      <c r="E193" t="inlineStr">
        <is>
          <t>VÄSTERÅS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33183-2020</t>
        </is>
      </c>
      <c r="B194" s="1" t="n">
        <v>44021</v>
      </c>
      <c r="C194" s="1" t="n">
        <v>45742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33867-2020</t>
        </is>
      </c>
      <c r="B195" s="1" t="n">
        <v>44027</v>
      </c>
      <c r="C195" s="1" t="n">
        <v>45742</v>
      </c>
      <c r="D195" t="inlineStr">
        <is>
          <t>VÄSTMANLANDS LÄN</t>
        </is>
      </c>
      <c r="E195" t="inlineStr">
        <is>
          <t>VÄSTERÅS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34181-2020</t>
        </is>
      </c>
      <c r="B196" s="1" t="n">
        <v>44029</v>
      </c>
      <c r="C196" s="1" t="n">
        <v>45742</v>
      </c>
      <c r="D196" t="inlineStr">
        <is>
          <t>VÄSTMANLANDS LÄN</t>
        </is>
      </c>
      <c r="E196" t="inlineStr">
        <is>
          <t>VÄSTERÅS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34528-2020</t>
        </is>
      </c>
      <c r="B197" s="1" t="n">
        <v>44032</v>
      </c>
      <c r="C197" s="1" t="n">
        <v>45742</v>
      </c>
      <c r="D197" t="inlineStr">
        <is>
          <t>VÄSTMANLANDS LÄN</t>
        </is>
      </c>
      <c r="E197" t="inlineStr">
        <is>
          <t>VÄSTERÅS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35713-2020</t>
        </is>
      </c>
      <c r="B198" s="1" t="n">
        <v>44032</v>
      </c>
      <c r="C198" s="1" t="n">
        <v>45742</v>
      </c>
      <c r="D198" t="inlineStr">
        <is>
          <t>VÄSTMANLANDS LÄN</t>
        </is>
      </c>
      <c r="E198" t="inlineStr">
        <is>
          <t>VÄSTERÅS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35199-2020</t>
        </is>
      </c>
      <c r="B199" s="1" t="n">
        <v>44040</v>
      </c>
      <c r="C199" s="1" t="n">
        <v>45742</v>
      </c>
      <c r="D199" t="inlineStr">
        <is>
          <t>VÄSTMANLANDS LÄN</t>
        </is>
      </c>
      <c r="E199" t="inlineStr">
        <is>
          <t>VÄSTERÅS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35730-2020</t>
        </is>
      </c>
      <c r="B200" s="1" t="n">
        <v>44046</v>
      </c>
      <c r="C200" s="1" t="n">
        <v>45742</v>
      </c>
      <c r="D200" t="inlineStr">
        <is>
          <t>VÄSTMANLANDS LÄN</t>
        </is>
      </c>
      <c r="E200" t="inlineStr">
        <is>
          <t>VÄSTERÅS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35734-2020</t>
        </is>
      </c>
      <c r="B201" s="1" t="n">
        <v>44046</v>
      </c>
      <c r="C201" s="1" t="n">
        <v>45742</v>
      </c>
      <c r="D201" t="inlineStr">
        <is>
          <t>VÄSTMANLANDS LÄN</t>
        </is>
      </c>
      <c r="E201" t="inlineStr">
        <is>
          <t>VÄSTERÅS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36921-2020</t>
        </is>
      </c>
      <c r="B202" s="1" t="n">
        <v>44053</v>
      </c>
      <c r="C202" s="1" t="n">
        <v>45742</v>
      </c>
      <c r="D202" t="inlineStr">
        <is>
          <t>VÄSTMANLANDS LÄN</t>
        </is>
      </c>
      <c r="E202" t="inlineStr">
        <is>
          <t>VÄSTERÅS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38373-2020</t>
        </is>
      </c>
      <c r="B203" s="1" t="n">
        <v>44060</v>
      </c>
      <c r="C203" s="1" t="n">
        <v>45742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Aktiebolag</t>
        </is>
      </c>
      <c r="G203" t="n">
        <v>36.2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39619-2020</t>
        </is>
      </c>
      <c r="B204" s="1" t="n">
        <v>44064</v>
      </c>
      <c r="C204" s="1" t="n">
        <v>45742</v>
      </c>
      <c r="D204" t="inlineStr">
        <is>
          <t>VÄSTMANLANDS LÄN</t>
        </is>
      </c>
      <c r="E204" t="inlineStr">
        <is>
          <t>VÄSTERÅS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39773-2020</t>
        </is>
      </c>
      <c r="B205" s="1" t="n">
        <v>44067</v>
      </c>
      <c r="C205" s="1" t="n">
        <v>45742</v>
      </c>
      <c r="D205" t="inlineStr">
        <is>
          <t>VÄSTMANLANDS LÄN</t>
        </is>
      </c>
      <c r="E205" t="inlineStr">
        <is>
          <t>VÄSTERÅS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40986-2020</t>
        </is>
      </c>
      <c r="B206" s="1" t="n">
        <v>44068</v>
      </c>
      <c r="C206" s="1" t="n">
        <v>45742</v>
      </c>
      <c r="D206" t="inlineStr">
        <is>
          <t>VÄSTMANLANDS LÄN</t>
        </is>
      </c>
      <c r="E206" t="inlineStr">
        <is>
          <t>VÄSTERÅS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40999-2020</t>
        </is>
      </c>
      <c r="B207" s="1" t="n">
        <v>44068</v>
      </c>
      <c r="C207" s="1" t="n">
        <v>45742</v>
      </c>
      <c r="D207" t="inlineStr">
        <is>
          <t>VÄSTMANLANDS LÄN</t>
        </is>
      </c>
      <c r="E207" t="inlineStr">
        <is>
          <t>VÄSTERÅS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40992-2020</t>
        </is>
      </c>
      <c r="B208" s="1" t="n">
        <v>44068</v>
      </c>
      <c r="C208" s="1" t="n">
        <v>45742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41980-2020</t>
        </is>
      </c>
      <c r="B209" s="1" t="n">
        <v>44075</v>
      </c>
      <c r="C209" s="1" t="n">
        <v>45742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42915-2020</t>
        </is>
      </c>
      <c r="B210" s="1" t="n">
        <v>44078</v>
      </c>
      <c r="C210" s="1" t="n">
        <v>45742</v>
      </c>
      <c r="D210" t="inlineStr">
        <is>
          <t>VÄSTMANLANDS LÄN</t>
        </is>
      </c>
      <c r="E210" t="inlineStr">
        <is>
          <t>VÄSTERÅS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42875-2020</t>
        </is>
      </c>
      <c r="B211" s="1" t="n">
        <v>44078</v>
      </c>
      <c r="C211" s="1" t="n">
        <v>45742</v>
      </c>
      <c r="D211" t="inlineStr">
        <is>
          <t>VÄSTMANLANDS LÄN</t>
        </is>
      </c>
      <c r="E211" t="inlineStr">
        <is>
          <t>VÄSTERÅS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43614-2020</t>
        </is>
      </c>
      <c r="B212" s="1" t="n">
        <v>44082</v>
      </c>
      <c r="C212" s="1" t="n">
        <v>45742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44008-2020</t>
        </is>
      </c>
      <c r="B213" s="1" t="n">
        <v>44083</v>
      </c>
      <c r="C213" s="1" t="n">
        <v>45742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44143-2020</t>
        </is>
      </c>
      <c r="B214" s="1" t="n">
        <v>44083</v>
      </c>
      <c r="C214" s="1" t="n">
        <v>45742</v>
      </c>
      <c r="D214" t="inlineStr">
        <is>
          <t>VÄSTMANLANDS LÄN</t>
        </is>
      </c>
      <c r="E214" t="inlineStr">
        <is>
          <t>VÄSTERÅS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45931-2020</t>
        </is>
      </c>
      <c r="B215" s="1" t="n">
        <v>44091</v>
      </c>
      <c r="C215" s="1" t="n">
        <v>45742</v>
      </c>
      <c r="D215" t="inlineStr">
        <is>
          <t>VÄSTMANLANDS LÄN</t>
        </is>
      </c>
      <c r="E215" t="inlineStr">
        <is>
          <t>VÄSTERÅS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45935-2020</t>
        </is>
      </c>
      <c r="B216" s="1" t="n">
        <v>44091</v>
      </c>
      <c r="C216" s="1" t="n">
        <v>45742</v>
      </c>
      <c r="D216" t="inlineStr">
        <is>
          <t>VÄSTMANLANDS LÄN</t>
        </is>
      </c>
      <c r="E216" t="inlineStr">
        <is>
          <t>VÄSTERÅS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46810-2020</t>
        </is>
      </c>
      <c r="B217" s="1" t="n">
        <v>44096</v>
      </c>
      <c r="C217" s="1" t="n">
        <v>45742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46962-2020</t>
        </is>
      </c>
      <c r="B218" s="1" t="n">
        <v>44096</v>
      </c>
      <c r="C218" s="1" t="n">
        <v>45742</v>
      </c>
      <c r="D218" t="inlineStr">
        <is>
          <t>VÄSTMANLANDS LÄN</t>
        </is>
      </c>
      <c r="E218" t="inlineStr">
        <is>
          <t>VÄSTERÅS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46814-2020</t>
        </is>
      </c>
      <c r="B219" s="1" t="n">
        <v>44096</v>
      </c>
      <c r="C219" s="1" t="n">
        <v>45742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46870-2020</t>
        </is>
      </c>
      <c r="B220" s="1" t="n">
        <v>44096</v>
      </c>
      <c r="C220" s="1" t="n">
        <v>45742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46817-2020</t>
        </is>
      </c>
      <c r="B221" s="1" t="n">
        <v>44096</v>
      </c>
      <c r="C221" s="1" t="n">
        <v>45742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47964-2020</t>
        </is>
      </c>
      <c r="B222" s="1" t="n">
        <v>44099</v>
      </c>
      <c r="C222" s="1" t="n">
        <v>45742</v>
      </c>
      <c r="D222" t="inlineStr">
        <is>
          <t>VÄSTMANLANDS LÄN</t>
        </is>
      </c>
      <c r="E222" t="inlineStr">
        <is>
          <t>VÄSTERÅS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51489-2020</t>
        </is>
      </c>
      <c r="B223" s="1" t="n">
        <v>44113</v>
      </c>
      <c r="C223" s="1" t="n">
        <v>45742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52016-2020</t>
        </is>
      </c>
      <c r="B224" s="1" t="n">
        <v>44116</v>
      </c>
      <c r="C224" s="1" t="n">
        <v>45742</v>
      </c>
      <c r="D224" t="inlineStr">
        <is>
          <t>VÄSTMANLANDS LÄN</t>
        </is>
      </c>
      <c r="E224" t="inlineStr">
        <is>
          <t>VÄSTERÅS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51975-2020</t>
        </is>
      </c>
      <c r="B225" s="1" t="n">
        <v>44116</v>
      </c>
      <c r="C225" s="1" t="n">
        <v>45742</v>
      </c>
      <c r="D225" t="inlineStr">
        <is>
          <t>VÄSTMANLANDS LÄN</t>
        </is>
      </c>
      <c r="E225" t="inlineStr">
        <is>
          <t>VÄSTERÅS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53224-2020</t>
        </is>
      </c>
      <c r="B226" s="1" t="n">
        <v>44123</v>
      </c>
      <c r="C226" s="1" t="n">
        <v>45742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56513-2020</t>
        </is>
      </c>
      <c r="B227" s="1" t="n">
        <v>44137</v>
      </c>
      <c r="C227" s="1" t="n">
        <v>45742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56446-2020</t>
        </is>
      </c>
      <c r="B228" s="1" t="n">
        <v>44137</v>
      </c>
      <c r="C228" s="1" t="n">
        <v>45742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59165-2020</t>
        </is>
      </c>
      <c r="B229" s="1" t="n">
        <v>44147</v>
      </c>
      <c r="C229" s="1" t="n">
        <v>45742</v>
      </c>
      <c r="D229" t="inlineStr">
        <is>
          <t>VÄSTMANLANDS LÄN</t>
        </is>
      </c>
      <c r="E229" t="inlineStr">
        <is>
          <t>VÄSTERÅS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59512-2020</t>
        </is>
      </c>
      <c r="B230" s="1" t="n">
        <v>44148</v>
      </c>
      <c r="C230" s="1" t="n">
        <v>45742</v>
      </c>
      <c r="D230" t="inlineStr">
        <is>
          <t>VÄSTMANLANDS LÄN</t>
        </is>
      </c>
      <c r="E230" t="inlineStr">
        <is>
          <t>VÄSTERÅS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60363-2020</t>
        </is>
      </c>
      <c r="B231" s="1" t="n">
        <v>44152</v>
      </c>
      <c r="C231" s="1" t="n">
        <v>45742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60355-2020</t>
        </is>
      </c>
      <c r="B232" s="1" t="n">
        <v>44152</v>
      </c>
      <c r="C232" s="1" t="n">
        <v>45742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60555-2020</t>
        </is>
      </c>
      <c r="B233" s="1" t="n">
        <v>44153</v>
      </c>
      <c r="C233" s="1" t="n">
        <v>45742</v>
      </c>
      <c r="D233" t="inlineStr">
        <is>
          <t>VÄSTMANLANDS LÄN</t>
        </is>
      </c>
      <c r="E233" t="inlineStr">
        <is>
          <t>VÄSTERÅS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61327-2020</t>
        </is>
      </c>
      <c r="B234" s="1" t="n">
        <v>44155</v>
      </c>
      <c r="C234" s="1" t="n">
        <v>45742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statliga verk och myndigheter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61858-2020</t>
        </is>
      </c>
      <c r="B235" s="1" t="n">
        <v>44159</v>
      </c>
      <c r="C235" s="1" t="n">
        <v>45742</v>
      </c>
      <c r="D235" t="inlineStr">
        <is>
          <t>VÄSTMANLANDS LÄN</t>
        </is>
      </c>
      <c r="E235" t="inlineStr">
        <is>
          <t>VÄSTERÅS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63035-2020</t>
        </is>
      </c>
      <c r="B236" s="1" t="n">
        <v>44162</v>
      </c>
      <c r="C236" s="1" t="n">
        <v>45742</v>
      </c>
      <c r="D236" t="inlineStr">
        <is>
          <t>VÄSTMANLANDS LÄN</t>
        </is>
      </c>
      <c r="E236" t="inlineStr">
        <is>
          <t>VÄSTERÅS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63346-2020</t>
        </is>
      </c>
      <c r="B237" s="1" t="n">
        <v>44165</v>
      </c>
      <c r="C237" s="1" t="n">
        <v>45742</v>
      </c>
      <c r="D237" t="inlineStr">
        <is>
          <t>VÄSTMANLANDS LÄN</t>
        </is>
      </c>
      <c r="E237" t="inlineStr">
        <is>
          <t>VÄSTERÅS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63318-2020</t>
        </is>
      </c>
      <c r="B238" s="1" t="n">
        <v>44165</v>
      </c>
      <c r="C238" s="1" t="n">
        <v>45742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64853-2020</t>
        </is>
      </c>
      <c r="B239" s="1" t="n">
        <v>44171</v>
      </c>
      <c r="C239" s="1" t="n">
        <v>45742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66574-2020</t>
        </is>
      </c>
      <c r="B240" s="1" t="n">
        <v>44179</v>
      </c>
      <c r="C240" s="1" t="n">
        <v>45742</v>
      </c>
      <c r="D240" t="inlineStr">
        <is>
          <t>VÄSTMANLANDS LÄN</t>
        </is>
      </c>
      <c r="E240" t="inlineStr">
        <is>
          <t>VÄSTERÅS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67943-2020</t>
        </is>
      </c>
      <c r="B241" s="1" t="n">
        <v>44182</v>
      </c>
      <c r="C241" s="1" t="n">
        <v>45742</v>
      </c>
      <c r="D241" t="inlineStr">
        <is>
          <t>VÄSTMANLANDS LÄN</t>
        </is>
      </c>
      <c r="E241" t="inlineStr">
        <is>
          <t>VÄSTERÅS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68193-2020</t>
        </is>
      </c>
      <c r="B242" s="1" t="n">
        <v>44183</v>
      </c>
      <c r="C242" s="1" t="n">
        <v>45742</v>
      </c>
      <c r="D242" t="inlineStr">
        <is>
          <t>VÄSTMANLANDS LÄN</t>
        </is>
      </c>
      <c r="E242" t="inlineStr">
        <is>
          <t>VÄSTERÅS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68191-2020</t>
        </is>
      </c>
      <c r="B243" s="1" t="n">
        <v>44183</v>
      </c>
      <c r="C243" s="1" t="n">
        <v>45742</v>
      </c>
      <c r="D243" t="inlineStr">
        <is>
          <t>VÄSTMANLANDS LÄN</t>
        </is>
      </c>
      <c r="E243" t="inlineStr">
        <is>
          <t>VÄSTERÅS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68934-2020</t>
        </is>
      </c>
      <c r="B244" s="1" t="n">
        <v>44187</v>
      </c>
      <c r="C244" s="1" t="n">
        <v>45742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69631-2020</t>
        </is>
      </c>
      <c r="B245" s="1" t="n">
        <v>44195</v>
      </c>
      <c r="C245" s="1" t="n">
        <v>45742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1527-2021</t>
        </is>
      </c>
      <c r="B246" s="1" t="n">
        <v>44209</v>
      </c>
      <c r="C246" s="1" t="n">
        <v>45742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3906-2021</t>
        </is>
      </c>
      <c r="B247" s="1" t="n">
        <v>44217</v>
      </c>
      <c r="C247" s="1" t="n">
        <v>45742</v>
      </c>
      <c r="D247" t="inlineStr">
        <is>
          <t>VÄSTMANLANDS LÄN</t>
        </is>
      </c>
      <c r="E247" t="inlineStr">
        <is>
          <t>VÄSTERÅS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3901-2021</t>
        </is>
      </c>
      <c r="B248" s="1" t="n">
        <v>44217</v>
      </c>
      <c r="C248" s="1" t="n">
        <v>45742</v>
      </c>
      <c r="D248" t="inlineStr">
        <is>
          <t>VÄSTMANLANDS LÄN</t>
        </is>
      </c>
      <c r="E248" t="inlineStr">
        <is>
          <t>VÄSTERÅS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3909-2021</t>
        </is>
      </c>
      <c r="B249" s="1" t="n">
        <v>44217</v>
      </c>
      <c r="C249" s="1" t="n">
        <v>45742</v>
      </c>
      <c r="D249" t="inlineStr">
        <is>
          <t>VÄSTMANLANDS LÄN</t>
        </is>
      </c>
      <c r="E249" t="inlineStr">
        <is>
          <t>VÄSTERÅS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4759-2021</t>
        </is>
      </c>
      <c r="B250" s="1" t="n">
        <v>44225</v>
      </c>
      <c r="C250" s="1" t="n">
        <v>45742</v>
      </c>
      <c r="D250" t="inlineStr">
        <is>
          <t>VÄSTMANLANDS LÄN</t>
        </is>
      </c>
      <c r="E250" t="inlineStr">
        <is>
          <t>VÄSTERÅS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4778-2021</t>
        </is>
      </c>
      <c r="B251" s="1" t="n">
        <v>44225</v>
      </c>
      <c r="C251" s="1" t="n">
        <v>45742</v>
      </c>
      <c r="D251" t="inlineStr">
        <is>
          <t>VÄSTMANLANDS LÄN</t>
        </is>
      </c>
      <c r="E251" t="inlineStr">
        <is>
          <t>VÄSTERÅS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4776-2021</t>
        </is>
      </c>
      <c r="B252" s="1" t="n">
        <v>44225</v>
      </c>
      <c r="C252" s="1" t="n">
        <v>45742</v>
      </c>
      <c r="D252" t="inlineStr">
        <is>
          <t>VÄSTMANLANDS LÄN</t>
        </is>
      </c>
      <c r="E252" t="inlineStr">
        <is>
          <t>VÄSTERÅS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6785-2021</t>
        </is>
      </c>
      <c r="B253" s="1" t="n">
        <v>44236</v>
      </c>
      <c r="C253" s="1" t="n">
        <v>45742</v>
      </c>
      <c r="D253" t="inlineStr">
        <is>
          <t>VÄSTMANLANDS LÄN</t>
        </is>
      </c>
      <c r="E253" t="inlineStr">
        <is>
          <t>VÄSTERÅS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7275-2021</t>
        </is>
      </c>
      <c r="B254" s="1" t="n">
        <v>44238</v>
      </c>
      <c r="C254" s="1" t="n">
        <v>45742</v>
      </c>
      <c r="D254" t="inlineStr">
        <is>
          <t>VÄSTMANLANDS LÄN</t>
        </is>
      </c>
      <c r="E254" t="inlineStr">
        <is>
          <t>VÄSTERÅS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7556-2021</t>
        </is>
      </c>
      <c r="B255" s="1" t="n">
        <v>44239</v>
      </c>
      <c r="C255" s="1" t="n">
        <v>45742</v>
      </c>
      <c r="D255" t="inlineStr">
        <is>
          <t>VÄSTMANLANDS LÄN</t>
        </is>
      </c>
      <c r="E255" t="inlineStr">
        <is>
          <t>VÄSTERÅS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7690-2021</t>
        </is>
      </c>
      <c r="B256" s="1" t="n">
        <v>44242</v>
      </c>
      <c r="C256" s="1" t="n">
        <v>45742</v>
      </c>
      <c r="D256" t="inlineStr">
        <is>
          <t>VÄSTMANLANDS LÄN</t>
        </is>
      </c>
      <c r="E256" t="inlineStr">
        <is>
          <t>VÄSTERÅS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9152-2021</t>
        </is>
      </c>
      <c r="B257" s="1" t="n">
        <v>44249</v>
      </c>
      <c r="C257" s="1" t="n">
        <v>45742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9149-2021</t>
        </is>
      </c>
      <c r="B258" s="1" t="n">
        <v>44249</v>
      </c>
      <c r="C258" s="1" t="n">
        <v>45742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9967-2021</t>
        </is>
      </c>
      <c r="B259" s="1" t="n">
        <v>44253</v>
      </c>
      <c r="C259" s="1" t="n">
        <v>45742</v>
      </c>
      <c r="D259" t="inlineStr">
        <is>
          <t>VÄSTMANLANDS LÄN</t>
        </is>
      </c>
      <c r="E259" t="inlineStr">
        <is>
          <t>VÄSTERÅS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9969-2021</t>
        </is>
      </c>
      <c r="B260" s="1" t="n">
        <v>44253</v>
      </c>
      <c r="C260" s="1" t="n">
        <v>45742</v>
      </c>
      <c r="D260" t="inlineStr">
        <is>
          <t>VÄSTMANLANDS LÄN</t>
        </is>
      </c>
      <c r="E260" t="inlineStr">
        <is>
          <t>VÄSTERÅS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10753-2021</t>
        </is>
      </c>
      <c r="B261" s="1" t="n">
        <v>44259</v>
      </c>
      <c r="C261" s="1" t="n">
        <v>45742</v>
      </c>
      <c r="D261" t="inlineStr">
        <is>
          <t>VÄSTMANLANDS LÄN</t>
        </is>
      </c>
      <c r="E261" t="inlineStr">
        <is>
          <t>VÄSTERÅS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11284-2021</t>
        </is>
      </c>
      <c r="B262" s="1" t="n">
        <v>44263</v>
      </c>
      <c r="C262" s="1" t="n">
        <v>45742</v>
      </c>
      <c r="D262" t="inlineStr">
        <is>
          <t>VÄSTMANLANDS LÄN</t>
        </is>
      </c>
      <c r="E262" t="inlineStr">
        <is>
          <t>VÄSTERÅS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11625-2021</t>
        </is>
      </c>
      <c r="B263" s="1" t="n">
        <v>44264</v>
      </c>
      <c r="C263" s="1" t="n">
        <v>45742</v>
      </c>
      <c r="D263" t="inlineStr">
        <is>
          <t>VÄSTMANLANDS LÄN</t>
        </is>
      </c>
      <c r="E263" t="inlineStr">
        <is>
          <t>VÄSTERÅS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11752-2021</t>
        </is>
      </c>
      <c r="B264" s="1" t="n">
        <v>44265</v>
      </c>
      <c r="C264" s="1" t="n">
        <v>45742</v>
      </c>
      <c r="D264" t="inlineStr">
        <is>
          <t>VÄSTMANLANDS LÄN</t>
        </is>
      </c>
      <c r="E264" t="inlineStr">
        <is>
          <t>VÄSTERÅS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12244-2021</t>
        </is>
      </c>
      <c r="B265" s="1" t="n">
        <v>44266</v>
      </c>
      <c r="C265" s="1" t="n">
        <v>45742</v>
      </c>
      <c r="D265" t="inlineStr">
        <is>
          <t>VÄSTMANLANDS LÄN</t>
        </is>
      </c>
      <c r="E265" t="inlineStr">
        <is>
          <t>VÄSTERÅS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13252-2021</t>
        </is>
      </c>
      <c r="B266" s="1" t="n">
        <v>44272</v>
      </c>
      <c r="C266" s="1" t="n">
        <v>45742</v>
      </c>
      <c r="D266" t="inlineStr">
        <is>
          <t>VÄSTMANLANDS LÄN</t>
        </is>
      </c>
      <c r="E266" t="inlineStr">
        <is>
          <t>VÄSTERÅS</t>
        </is>
      </c>
      <c r="G266" t="n">
        <v>24.2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15347-2021</t>
        </is>
      </c>
      <c r="B267" s="1" t="n">
        <v>44284</v>
      </c>
      <c r="C267" s="1" t="n">
        <v>45742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16601-2021</t>
        </is>
      </c>
      <c r="B268" s="1" t="n">
        <v>44294</v>
      </c>
      <c r="C268" s="1" t="n">
        <v>45742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21551-2021</t>
        </is>
      </c>
      <c r="B269" s="1" t="n">
        <v>44321</v>
      </c>
      <c r="C269" s="1" t="n">
        <v>45742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23098-2021</t>
        </is>
      </c>
      <c r="B270" s="1" t="n">
        <v>44330</v>
      </c>
      <c r="C270" s="1" t="n">
        <v>45742</v>
      </c>
      <c r="D270" t="inlineStr">
        <is>
          <t>VÄSTMANLANDS LÄN</t>
        </is>
      </c>
      <c r="E270" t="inlineStr">
        <is>
          <t>VÄSTERÅS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24229-2021</t>
        </is>
      </c>
      <c r="B271" s="1" t="n">
        <v>44336</v>
      </c>
      <c r="C271" s="1" t="n">
        <v>45742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24834-2021</t>
        </is>
      </c>
      <c r="B272" s="1" t="n">
        <v>44340</v>
      </c>
      <c r="C272" s="1" t="n">
        <v>45742</v>
      </c>
      <c r="D272" t="inlineStr">
        <is>
          <t>VÄSTMANLANDS LÄN</t>
        </is>
      </c>
      <c r="E272" t="inlineStr">
        <is>
          <t>VÄSTERÅS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24838-2021</t>
        </is>
      </c>
      <c r="B273" s="1" t="n">
        <v>44340</v>
      </c>
      <c r="C273" s="1" t="n">
        <v>45742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25015-2021</t>
        </is>
      </c>
      <c r="B274" s="1" t="n">
        <v>44341</v>
      </c>
      <c r="C274" s="1" t="n">
        <v>45742</v>
      </c>
      <c r="D274" t="inlineStr">
        <is>
          <t>VÄSTMANLANDS LÄN</t>
        </is>
      </c>
      <c r="E274" t="inlineStr">
        <is>
          <t>VÄSTERÅS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25340-2021</t>
        </is>
      </c>
      <c r="B275" s="1" t="n">
        <v>44342</v>
      </c>
      <c r="C275" s="1" t="n">
        <v>45742</v>
      </c>
      <c r="D275" t="inlineStr">
        <is>
          <t>VÄSTMANLANDS LÄN</t>
        </is>
      </c>
      <c r="E275" t="inlineStr">
        <is>
          <t>VÄSTERÅS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25382-2021</t>
        </is>
      </c>
      <c r="B276" s="1" t="n">
        <v>44342</v>
      </c>
      <c r="C276" s="1" t="n">
        <v>45742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26520-2021</t>
        </is>
      </c>
      <c r="B277" s="1" t="n">
        <v>44348</v>
      </c>
      <c r="C277" s="1" t="n">
        <v>45742</v>
      </c>
      <c r="D277" t="inlineStr">
        <is>
          <t>VÄSTMANLANDS LÄN</t>
        </is>
      </c>
      <c r="E277" t="inlineStr">
        <is>
          <t>VÄSTERÅS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29791-2021</t>
        </is>
      </c>
      <c r="B278" s="1" t="n">
        <v>44362</v>
      </c>
      <c r="C278" s="1" t="n">
        <v>45742</v>
      </c>
      <c r="D278" t="inlineStr">
        <is>
          <t>VÄSTMANLANDS LÄN</t>
        </is>
      </c>
      <c r="E278" t="inlineStr">
        <is>
          <t>VÄSTERÅS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30465-2021</t>
        </is>
      </c>
      <c r="B279" s="1" t="n">
        <v>44364</v>
      </c>
      <c r="C279" s="1" t="n">
        <v>45742</v>
      </c>
      <c r="D279" t="inlineStr">
        <is>
          <t>VÄSTMANLANDS LÄN</t>
        </is>
      </c>
      <c r="E279" t="inlineStr">
        <is>
          <t>VÄSTERÅS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31626-2021</t>
        </is>
      </c>
      <c r="B280" s="1" t="n">
        <v>44369</v>
      </c>
      <c r="C280" s="1" t="n">
        <v>45742</v>
      </c>
      <c r="D280" t="inlineStr">
        <is>
          <t>VÄSTMANLANDS LÄN</t>
        </is>
      </c>
      <c r="E280" t="inlineStr">
        <is>
          <t>VÄSTERÅS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31680-2021</t>
        </is>
      </c>
      <c r="B281" s="1" t="n">
        <v>44369</v>
      </c>
      <c r="C281" s="1" t="n">
        <v>45742</v>
      </c>
      <c r="D281" t="inlineStr">
        <is>
          <t>VÄSTMANLANDS LÄN</t>
        </is>
      </c>
      <c r="E281" t="inlineStr">
        <is>
          <t>VÄSTERÅS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31880-2021</t>
        </is>
      </c>
      <c r="B282" s="1" t="n">
        <v>44370</v>
      </c>
      <c r="C282" s="1" t="n">
        <v>45742</v>
      </c>
      <c r="D282" t="inlineStr">
        <is>
          <t>VÄSTMANLANDS LÄN</t>
        </is>
      </c>
      <c r="E282" t="inlineStr">
        <is>
          <t>VÄSTERÅS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32312-2021</t>
        </is>
      </c>
      <c r="B283" s="1" t="n">
        <v>44371</v>
      </c>
      <c r="C283" s="1" t="n">
        <v>45742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32436-2021</t>
        </is>
      </c>
      <c r="B284" s="1" t="n">
        <v>44371</v>
      </c>
      <c r="C284" s="1" t="n">
        <v>45742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33512-2021</t>
        </is>
      </c>
      <c r="B285" s="1" t="n">
        <v>44377</v>
      </c>
      <c r="C285" s="1" t="n">
        <v>45742</v>
      </c>
      <c r="D285" t="inlineStr">
        <is>
          <t>VÄSTMANLANDS LÄN</t>
        </is>
      </c>
      <c r="E285" t="inlineStr">
        <is>
          <t>VÄSTERÅS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36507-2021</t>
        </is>
      </c>
      <c r="B286" s="1" t="n">
        <v>44391</v>
      </c>
      <c r="C286" s="1" t="n">
        <v>45742</v>
      </c>
      <c r="D286" t="inlineStr">
        <is>
          <t>VÄSTMANLANDS LÄN</t>
        </is>
      </c>
      <c r="E286" t="inlineStr">
        <is>
          <t>VÄSTERÅS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38176-2021</t>
        </is>
      </c>
      <c r="B287" s="1" t="n">
        <v>44405</v>
      </c>
      <c r="C287" s="1" t="n">
        <v>45742</v>
      </c>
      <c r="D287" t="inlineStr">
        <is>
          <t>VÄSTMANLANDS LÄN</t>
        </is>
      </c>
      <c r="E287" t="inlineStr">
        <is>
          <t>VÄSTERÅS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38329-2021</t>
        </is>
      </c>
      <c r="B288" s="1" t="n">
        <v>44405</v>
      </c>
      <c r="C288" s="1" t="n">
        <v>45742</v>
      </c>
      <c r="D288" t="inlineStr">
        <is>
          <t>VÄSTMANLANDS LÄN</t>
        </is>
      </c>
      <c r="E288" t="inlineStr">
        <is>
          <t>VÄSTERÅS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39206-2021</t>
        </is>
      </c>
      <c r="B289" s="1" t="n">
        <v>44413</v>
      </c>
      <c r="C289" s="1" t="n">
        <v>45742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42659-2021</t>
        </is>
      </c>
      <c r="B290" s="1" t="n">
        <v>44428</v>
      </c>
      <c r="C290" s="1" t="n">
        <v>45742</v>
      </c>
      <c r="D290" t="inlineStr">
        <is>
          <t>VÄSTMANLANDS LÄN</t>
        </is>
      </c>
      <c r="E290" t="inlineStr">
        <is>
          <t>VÄSTERÅS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43354-2021</t>
        </is>
      </c>
      <c r="B291" s="1" t="n">
        <v>44432</v>
      </c>
      <c r="C291" s="1" t="n">
        <v>45742</v>
      </c>
      <c r="D291" t="inlineStr">
        <is>
          <t>VÄSTMANLANDS LÄN</t>
        </is>
      </c>
      <c r="E291" t="inlineStr">
        <is>
          <t>VÄSTERÅS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43355-2021</t>
        </is>
      </c>
      <c r="B292" s="1" t="n">
        <v>44432</v>
      </c>
      <c r="C292" s="1" t="n">
        <v>45742</v>
      </c>
      <c r="D292" t="inlineStr">
        <is>
          <t>VÄSTMANLANDS LÄN</t>
        </is>
      </c>
      <c r="E292" t="inlineStr">
        <is>
          <t>VÄSTERÅS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46200-2021</t>
        </is>
      </c>
      <c r="B293" s="1" t="n">
        <v>44442</v>
      </c>
      <c r="C293" s="1" t="n">
        <v>45742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48055-2021</t>
        </is>
      </c>
      <c r="B294" s="1" t="n">
        <v>44449</v>
      </c>
      <c r="C294" s="1" t="n">
        <v>45742</v>
      </c>
      <c r="D294" t="inlineStr">
        <is>
          <t>VÄSTMANLANDS LÄN</t>
        </is>
      </c>
      <c r="E294" t="inlineStr">
        <is>
          <t>VÄSTERÅS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49284-2021</t>
        </is>
      </c>
      <c r="B295" s="1" t="n">
        <v>44454</v>
      </c>
      <c r="C295" s="1" t="n">
        <v>45742</v>
      </c>
      <c r="D295" t="inlineStr">
        <is>
          <t>VÄSTMANLANDS LÄN</t>
        </is>
      </c>
      <c r="E295" t="inlineStr">
        <is>
          <t>VÄSTERÅS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51861-2021</t>
        </is>
      </c>
      <c r="B296" s="1" t="n">
        <v>44462</v>
      </c>
      <c r="C296" s="1" t="n">
        <v>45742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52811-2021</t>
        </is>
      </c>
      <c r="B297" s="1" t="n">
        <v>44467</v>
      </c>
      <c r="C297" s="1" t="n">
        <v>45742</v>
      </c>
      <c r="D297" t="inlineStr">
        <is>
          <t>VÄSTMANLANDS LÄN</t>
        </is>
      </c>
      <c r="E297" t="inlineStr">
        <is>
          <t>VÄSTERÅS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53686-2021</t>
        </is>
      </c>
      <c r="B298" s="1" t="n">
        <v>44469</v>
      </c>
      <c r="C298" s="1" t="n">
        <v>45742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55693-2021</t>
        </is>
      </c>
      <c r="B299" s="1" t="n">
        <v>44476</v>
      </c>
      <c r="C299" s="1" t="n">
        <v>45742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56862-2021</t>
        </is>
      </c>
      <c r="B300" s="1" t="n">
        <v>44481</v>
      </c>
      <c r="C300" s="1" t="n">
        <v>45742</v>
      </c>
      <c r="D300" t="inlineStr">
        <is>
          <t>VÄSTMANLANDS LÄN</t>
        </is>
      </c>
      <c r="E300" t="inlineStr">
        <is>
          <t>VÄSTERÅS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56980-2021</t>
        </is>
      </c>
      <c r="B301" s="1" t="n">
        <v>44482</v>
      </c>
      <c r="C301" s="1" t="n">
        <v>45742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56967-2021</t>
        </is>
      </c>
      <c r="B302" s="1" t="n">
        <v>44482</v>
      </c>
      <c r="C302" s="1" t="n">
        <v>45742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61249-2021</t>
        </is>
      </c>
      <c r="B303" s="1" t="n">
        <v>44498</v>
      </c>
      <c r="C303" s="1" t="n">
        <v>45742</v>
      </c>
      <c r="D303" t="inlineStr">
        <is>
          <t>VÄSTMANLANDS LÄN</t>
        </is>
      </c>
      <c r="E303" t="inlineStr">
        <is>
          <t>VÄSTERÅS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62499-2021</t>
        </is>
      </c>
      <c r="B304" s="1" t="n">
        <v>44503</v>
      </c>
      <c r="C304" s="1" t="n">
        <v>45742</v>
      </c>
      <c r="D304" t="inlineStr">
        <is>
          <t>VÄSTMANLANDS LÄN</t>
        </is>
      </c>
      <c r="E304" t="inlineStr">
        <is>
          <t>VÄSTERÅS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62528-2021</t>
        </is>
      </c>
      <c r="B305" s="1" t="n">
        <v>44503</v>
      </c>
      <c r="C305" s="1" t="n">
        <v>45742</v>
      </c>
      <c r="D305" t="inlineStr">
        <is>
          <t>VÄSTMANLANDS LÄN</t>
        </is>
      </c>
      <c r="E305" t="inlineStr">
        <is>
          <t>VÄSTERÅS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63492-2021</t>
        </is>
      </c>
      <c r="B306" s="1" t="n">
        <v>44508</v>
      </c>
      <c r="C306" s="1" t="n">
        <v>45742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63851-2021</t>
        </is>
      </c>
      <c r="B307" s="1" t="n">
        <v>44509</v>
      </c>
      <c r="C307" s="1" t="n">
        <v>45742</v>
      </c>
      <c r="D307" t="inlineStr">
        <is>
          <t>VÄSTMANLANDS LÄN</t>
        </is>
      </c>
      <c r="E307" t="inlineStr">
        <is>
          <t>VÄSTERÅS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65678-2021</t>
        </is>
      </c>
      <c r="B308" s="1" t="n">
        <v>44516</v>
      </c>
      <c r="C308" s="1" t="n">
        <v>45742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67350-2021</t>
        </is>
      </c>
      <c r="B309" s="1" t="n">
        <v>44523</v>
      </c>
      <c r="C309" s="1" t="n">
        <v>45742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67352-2021</t>
        </is>
      </c>
      <c r="B310" s="1" t="n">
        <v>44523</v>
      </c>
      <c r="C310" s="1" t="n">
        <v>45742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67353-2021</t>
        </is>
      </c>
      <c r="B311" s="1" t="n">
        <v>44523</v>
      </c>
      <c r="C311" s="1" t="n">
        <v>45742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67943-2021</t>
        </is>
      </c>
      <c r="B312" s="1" t="n">
        <v>44525</v>
      </c>
      <c r="C312" s="1" t="n">
        <v>45742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69565-2021</t>
        </is>
      </c>
      <c r="B313" s="1" t="n">
        <v>44531</v>
      </c>
      <c r="C313" s="1" t="n">
        <v>45742</v>
      </c>
      <c r="D313" t="inlineStr">
        <is>
          <t>VÄSTMANLANDS LÄN</t>
        </is>
      </c>
      <c r="E313" t="inlineStr">
        <is>
          <t>VÄSTERÅS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72019-2021</t>
        </is>
      </c>
      <c r="B314" s="1" t="n">
        <v>44540</v>
      </c>
      <c r="C314" s="1" t="n">
        <v>45742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71997-2021</t>
        </is>
      </c>
      <c r="B315" s="1" t="n">
        <v>44543</v>
      </c>
      <c r="C315" s="1" t="n">
        <v>45742</v>
      </c>
      <c r="D315" t="inlineStr">
        <is>
          <t>VÄSTMANLANDS LÄN</t>
        </is>
      </c>
      <c r="E315" t="inlineStr">
        <is>
          <t>VÄSTERÅS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73334-2021</t>
        </is>
      </c>
      <c r="B316" s="1" t="n">
        <v>44551</v>
      </c>
      <c r="C316" s="1" t="n">
        <v>45742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73597-2021</t>
        </is>
      </c>
      <c r="B317" s="1" t="n">
        <v>44552</v>
      </c>
      <c r="C317" s="1" t="n">
        <v>45742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73679-2021</t>
        </is>
      </c>
      <c r="B318" s="1" t="n">
        <v>44552</v>
      </c>
      <c r="C318" s="1" t="n">
        <v>45742</v>
      </c>
      <c r="D318" t="inlineStr">
        <is>
          <t>VÄSTMANLANDS LÄN</t>
        </is>
      </c>
      <c r="E318" t="inlineStr">
        <is>
          <t>VÄSTERÅS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73601-2021</t>
        </is>
      </c>
      <c r="B319" s="1" t="n">
        <v>44552</v>
      </c>
      <c r="C319" s="1" t="n">
        <v>45742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73994-2021</t>
        </is>
      </c>
      <c r="B320" s="1" t="n">
        <v>44556</v>
      </c>
      <c r="C320" s="1" t="n">
        <v>45742</v>
      </c>
      <c r="D320" t="inlineStr">
        <is>
          <t>VÄSTMANLANDS LÄN</t>
        </is>
      </c>
      <c r="E320" t="inlineStr">
        <is>
          <t>VÄSTERÅS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74314-2021</t>
        </is>
      </c>
      <c r="B321" s="1" t="n">
        <v>44559</v>
      </c>
      <c r="C321" s="1" t="n">
        <v>45742</v>
      </c>
      <c r="D321" t="inlineStr">
        <is>
          <t>VÄSTMANLANDS LÄN</t>
        </is>
      </c>
      <c r="E321" t="inlineStr">
        <is>
          <t>VÄSTERÅS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822-2022</t>
        </is>
      </c>
      <c r="B322" s="1" t="n">
        <v>44571</v>
      </c>
      <c r="C322" s="1" t="n">
        <v>45742</v>
      </c>
      <c r="D322" t="inlineStr">
        <is>
          <t>VÄSTMANLANDS LÄN</t>
        </is>
      </c>
      <c r="E322" t="inlineStr">
        <is>
          <t>VÄSTERÅS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836-2022</t>
        </is>
      </c>
      <c r="B323" s="1" t="n">
        <v>44571</v>
      </c>
      <c r="C323" s="1" t="n">
        <v>45742</v>
      </c>
      <c r="D323" t="inlineStr">
        <is>
          <t>VÄSTMANLANDS LÄN</t>
        </is>
      </c>
      <c r="E323" t="inlineStr">
        <is>
          <t>VÄSTERÅS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1195-2022</t>
        </is>
      </c>
      <c r="B324" s="1" t="n">
        <v>44572</v>
      </c>
      <c r="C324" s="1" t="n">
        <v>45742</v>
      </c>
      <c r="D324" t="inlineStr">
        <is>
          <t>VÄSTMANLANDS LÄN</t>
        </is>
      </c>
      <c r="E324" t="inlineStr">
        <is>
          <t>VÄSTERÅS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1198-2022</t>
        </is>
      </c>
      <c r="B325" s="1" t="n">
        <v>44572</v>
      </c>
      <c r="C325" s="1" t="n">
        <v>45742</v>
      </c>
      <c r="D325" t="inlineStr">
        <is>
          <t>VÄSTMANLANDS LÄN</t>
        </is>
      </c>
      <c r="E325" t="inlineStr">
        <is>
          <t>VÄSTERÅS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1186-2022</t>
        </is>
      </c>
      <c r="B326" s="1" t="n">
        <v>44572</v>
      </c>
      <c r="C326" s="1" t="n">
        <v>45742</v>
      </c>
      <c r="D326" t="inlineStr">
        <is>
          <t>VÄSTMANLANDS LÄN</t>
        </is>
      </c>
      <c r="E326" t="inlineStr">
        <is>
          <t>VÄSTERÅS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1652-2022</t>
        </is>
      </c>
      <c r="B327" s="1" t="n">
        <v>44574</v>
      </c>
      <c r="C327" s="1" t="n">
        <v>45742</v>
      </c>
      <c r="D327" t="inlineStr">
        <is>
          <t>VÄSTMANLANDS LÄN</t>
        </is>
      </c>
      <c r="E327" t="inlineStr">
        <is>
          <t>VÄSTERÅS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3118-2022</t>
        </is>
      </c>
      <c r="B328" s="1" t="n">
        <v>44582</v>
      </c>
      <c r="C328" s="1" t="n">
        <v>45742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5208-2022</t>
        </is>
      </c>
      <c r="B329" s="1" t="n">
        <v>44594</v>
      </c>
      <c r="C329" s="1" t="n">
        <v>45742</v>
      </c>
      <c r="D329" t="inlineStr">
        <is>
          <t>VÄSTMANLANDS LÄN</t>
        </is>
      </c>
      <c r="E329" t="inlineStr">
        <is>
          <t>VÄSTERÅS</t>
        </is>
      </c>
      <c r="G329" t="n">
        <v>20.3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7738-2022</t>
        </is>
      </c>
      <c r="B330" s="1" t="n">
        <v>44594</v>
      </c>
      <c r="C330" s="1" t="n">
        <v>45742</v>
      </c>
      <c r="D330" t="inlineStr">
        <is>
          <t>VÄSTMANLANDS LÄN</t>
        </is>
      </c>
      <c r="E330" t="inlineStr">
        <is>
          <t>VÄSTERÅS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5604-2022</t>
        </is>
      </c>
      <c r="B331" s="1" t="n">
        <v>44595</v>
      </c>
      <c r="C331" s="1" t="n">
        <v>45742</v>
      </c>
      <c r="D331" t="inlineStr">
        <is>
          <t>VÄSTMANLANDS LÄN</t>
        </is>
      </c>
      <c r="E331" t="inlineStr">
        <is>
          <t>VÄSTERÅS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5603-2022</t>
        </is>
      </c>
      <c r="B332" s="1" t="n">
        <v>44595</v>
      </c>
      <c r="C332" s="1" t="n">
        <v>45742</v>
      </c>
      <c r="D332" t="inlineStr">
        <is>
          <t>VÄSTMANLANDS LÄN</t>
        </is>
      </c>
      <c r="E332" t="inlineStr">
        <is>
          <t>VÄSTERÅS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6277-2022</t>
        </is>
      </c>
      <c r="B333" s="1" t="n">
        <v>44600</v>
      </c>
      <c r="C333" s="1" t="n">
        <v>45742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6420-2022</t>
        </is>
      </c>
      <c r="B334" s="1" t="n">
        <v>44600</v>
      </c>
      <c r="C334" s="1" t="n">
        <v>45742</v>
      </c>
      <c r="D334" t="inlineStr">
        <is>
          <t>VÄSTMANLANDS LÄN</t>
        </is>
      </c>
      <c r="E334" t="inlineStr">
        <is>
          <t>VÄSTERÅS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6585-2022</t>
        </is>
      </c>
      <c r="B335" s="1" t="n">
        <v>44601</v>
      </c>
      <c r="C335" s="1" t="n">
        <v>45742</v>
      </c>
      <c r="D335" t="inlineStr">
        <is>
          <t>VÄSTMANLANDS LÄN</t>
        </is>
      </c>
      <c r="E335" t="inlineStr">
        <is>
          <t>VÄSTERÅS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6589-2022</t>
        </is>
      </c>
      <c r="B336" s="1" t="n">
        <v>44601</v>
      </c>
      <c r="C336" s="1" t="n">
        <v>45742</v>
      </c>
      <c r="D336" t="inlineStr">
        <is>
          <t>VÄSTMANLANDS LÄN</t>
        </is>
      </c>
      <c r="E336" t="inlineStr">
        <is>
          <t>VÄSTERÅS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6603-2022</t>
        </is>
      </c>
      <c r="B337" s="1" t="n">
        <v>44601</v>
      </c>
      <c r="C337" s="1" t="n">
        <v>45742</v>
      </c>
      <c r="D337" t="inlineStr">
        <is>
          <t>VÄSTMANLANDS LÄN</t>
        </is>
      </c>
      <c r="E337" t="inlineStr">
        <is>
          <t>VÄSTERÅS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7375-2022</t>
        </is>
      </c>
      <c r="B338" s="1" t="n">
        <v>44606</v>
      </c>
      <c r="C338" s="1" t="n">
        <v>45742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7378-2022</t>
        </is>
      </c>
      <c r="B339" s="1" t="n">
        <v>44606</v>
      </c>
      <c r="C339" s="1" t="n">
        <v>45742</v>
      </c>
      <c r="D339" t="inlineStr">
        <is>
          <t>VÄSTMANLANDS LÄN</t>
        </is>
      </c>
      <c r="E339" t="inlineStr">
        <is>
          <t>VÄSTERÅS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7536-2022</t>
        </is>
      </c>
      <c r="B340" s="1" t="n">
        <v>44607</v>
      </c>
      <c r="C340" s="1" t="n">
        <v>45742</v>
      </c>
      <c r="D340" t="inlineStr">
        <is>
          <t>VÄSTMANLANDS LÄN</t>
        </is>
      </c>
      <c r="E340" t="inlineStr">
        <is>
          <t>VÄSTERÅS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45742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45742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45742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45742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45742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45742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45742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45742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45742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45742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45742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45742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45742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45742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45742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45742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45742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45742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45742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45742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45742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45742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45742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45742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45742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45742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45742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45742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45742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45742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45742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45742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45742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45742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45742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45742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45742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45742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45742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45742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45742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45742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45742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45742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45742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45742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45742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45742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45742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45742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45742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45742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45742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45742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45742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45742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45742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45742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45742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45742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45742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45742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45742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45742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45742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45742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45742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45742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45742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45742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45742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45742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45742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45742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45742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45742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45742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45742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45742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45742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45742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45742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45742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45742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45742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45742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45742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45742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45742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45742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45742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45742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45742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45742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45742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45742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45742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45742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45742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45742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45742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45742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45742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45742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45742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45742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45742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45742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45742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45742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45742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45742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45742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45742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45742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45742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45742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45742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45742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45742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45742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45742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45742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45742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45742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45742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45742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45742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45742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45742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45742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45742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45742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45742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45742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45742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45742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45742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45742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45742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45742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45742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45742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45742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45742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45742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45742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45742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45742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45742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45742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45742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45742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45742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45742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45742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45742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45742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45742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45742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45742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45742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45742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45742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45742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45742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45742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45742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45742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45742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45742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45742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45742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45742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45742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45742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45742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45742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45742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45742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45742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45742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45742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45742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45742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45742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45742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45742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45742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45742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45742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45742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45742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45742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45742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45742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45742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45742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45742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45742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45742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45742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45742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45742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45742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45742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45742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45742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45742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45742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45742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45742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45742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45742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45742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45742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45742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45742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45742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45742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45742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45742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45742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45742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45742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45742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45742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45742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45742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45742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45742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45742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45742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45742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45742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45742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45742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45742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45742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45742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45742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45742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45742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45742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45742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45742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45742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45742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45742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45742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45742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45742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45742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45742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45742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45742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45742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45742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45742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45742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45742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45742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45742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45742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45742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45742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45742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45742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45742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45742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45742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45742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45742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45742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45742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45742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45742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45742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45742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45742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45742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45742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45742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45742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45742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45742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45742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45742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45742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45742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45742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45742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45742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45742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45742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45742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45742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45742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45742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45742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45742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45742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45742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45742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45742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45742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45742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45742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45742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45742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45742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45742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45742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45742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45742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45742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45742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45742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45742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45742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45742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45742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45742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45742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45742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45742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45742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45742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45742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45742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45742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45742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45742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45742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45742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45742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45742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45742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45742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45742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45742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45742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45742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45742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45742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45742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45742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45742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45742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45742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45742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45742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45742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45742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45742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45742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45742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45742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45742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45742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45742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45742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45742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45742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45742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45742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45742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45742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45742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45742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45742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45742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45742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45742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45742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45742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45742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45742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45742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45742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45742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45742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45742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45742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45742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45742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45742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45742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45742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45742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45742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45742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45742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45742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45742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45742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45742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45742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45742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45742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45742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45742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45742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45742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45742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45742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45742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45742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45742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45742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45742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45742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45742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45742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45742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45742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45742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45742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45742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45742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45742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45742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45742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45742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45742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45742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45742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45742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45742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45742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45742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45742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45742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45742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45742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45742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45742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45742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45742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45742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45742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13239-2025</t>
        </is>
      </c>
      <c r="B782" s="1" t="n">
        <v>45735</v>
      </c>
      <c r="C782" s="1" t="n">
        <v>45742</v>
      </c>
      <c r="D782" t="inlineStr">
        <is>
          <t>VÄSTMANLANDS LÄN</t>
        </is>
      </c>
      <c r="E782" t="inlineStr">
        <is>
          <t>VÄSTERÅS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13338-2025</t>
        </is>
      </c>
      <c r="B783" s="1" t="n">
        <v>45735</v>
      </c>
      <c r="C783" s="1" t="n">
        <v>45742</v>
      </c>
      <c r="D783" t="inlineStr">
        <is>
          <t>VÄSTMANLANDS LÄN</t>
        </is>
      </c>
      <c r="E783" t="inlineStr">
        <is>
          <t>VÄSTERÅS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45742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13241-2025</t>
        </is>
      </c>
      <c r="B785" s="1" t="n">
        <v>45735</v>
      </c>
      <c r="C785" s="1" t="n">
        <v>45742</v>
      </c>
      <c r="D785" t="inlineStr">
        <is>
          <t>VÄSTMANLANDS LÄN</t>
        </is>
      </c>
      <c r="E785" t="inlineStr">
        <is>
          <t>VÄSTERÅS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45742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13632-2025</t>
        </is>
      </c>
      <c r="B787" s="1" t="n">
        <v>45736</v>
      </c>
      <c r="C787" s="1" t="n">
        <v>45742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2025-03-26T17:29:58Z</dcterms:created>
  <dcterms:modified xmlns:dcterms="http://purl.org/dc/terms/" xmlns:xsi="http://www.w3.org/2001/XMLSchema-instance" xsi:type="dcterms:W3CDTF">2025-03-26T17:29:59Z</dcterms:modified>
</cp:coreProperties>
</file>