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46256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46256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46256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46256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Knärot
Blåmossa
Vedticka
Mattlummer
Revlummer</t>
        </is>
      </c>
      <c r="W13">
        <f>HYPERLINK("https://klasma.github.io/Logging_1980/artfynd/A 26563-2026 artfynd.xlsx", "A 26563-2026")</f>
        <v/>
      </c>
      <c r="X13">
        <f>HYPERLINK("https://klasma.github.io/Logging_1980/kartor/A 26563-2026 karta.png", "A 26563-2026")</f>
        <v/>
      </c>
      <c r="Y13">
        <f>HYPERLINK("https://klasma.github.io/Logging_1980/kartor_geotiff/A 26563-2026 georefererad karta.tif", "A 26563-2026")</f>
        <v/>
      </c>
      <c r="Z13">
        <f>HYPERLINK("https://klasma.github.io/Logging_1980/knärot/A 26563-2026 karta knärot.png", "A 26563-2026")</f>
        <v/>
      </c>
      <c r="AA13">
        <f>HYPERLINK("https://klasma.github.io/Logging_1980/klagomål/A 26563-2026 FSC-klagomål.docx", "A 26563-2026")</f>
        <v/>
      </c>
      <c r="AB13">
        <f>HYPERLINK("https://klasma.github.io/Logging_1980/klagomålsmail/A 26563-2026 FSC-klagomål mail.docx", "A 26563-2026")</f>
        <v/>
      </c>
      <c r="AC13">
        <f>HYPERLINK("https://klasma.github.io/Logging_1980/tillsyn/A 26563-2026 tillsynsbegäran.docx", "A 26563-2026")</f>
        <v/>
      </c>
      <c r="AD13">
        <f>HYPERLINK("https://klasma.github.io/Logging_1980/tillsynsmail/A 26563-2026 tillsynsbegäran mail.docx", "A 26563-2026")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46256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46256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t="n">
        <v>0</v>
      </c>
      <c r="V15" s="2" t="inlineStr">
        <is>
          <t>Nordfladdermus
Blåsippa
Dvärgpipistrell
Större brunfladdermus
Vattenfladdermus</t>
        </is>
      </c>
      <c r="W15">
        <f>HYPERLINK("https://klasma.github.io/Logging_1980/artfynd/A 22453-2026 artfynd.xlsx", "A 22453-2026")</f>
        <v/>
      </c>
      <c r="X15">
        <f>HYPERLINK("https://klasma.github.io/Logging_1980/kartor/A 22453-2026 karta.png", "A 22453-2026")</f>
        <v/>
      </c>
      <c r="Y15">
        <f>HYPERLINK("https://klasma.github.io/Logging_1980/kartor_geotiff/A 22453-2026 georefererad karta.tif", "A 22453-2026")</f>
        <v/>
      </c>
      <c r="AA15">
        <f>HYPERLINK("https://klasma.github.io/Logging_1980/klagomål/A 22453-2026 FSC-klagomål.docx", "A 22453-2026")</f>
        <v/>
      </c>
      <c r="AB15">
        <f>HYPERLINK("https://klasma.github.io/Logging_1980/klagomålsmail/A 22453-2026 FSC-klagomål mail.docx", "A 22453-2026")</f>
        <v/>
      </c>
      <c r="AC15">
        <f>HYPERLINK("https://klasma.github.io/Logging_1980/tillsyn/A 22453-2026 tillsynsbegäran.docx", "A 22453-2026")</f>
        <v/>
      </c>
      <c r="AD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46256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47695-2023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46256</v>
      </c>
      <c r="F18" t="inlineStr">
        <is>
          <t>VÄSTMANLANDS LÄN</t>
        </is>
      </c>
      <c r="G18" t="inlineStr">
        <is>
          <t>VÄSTERÅS</t>
        </is>
      </c>
      <c r="I18" t="n">
        <v>6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Gullklöver
Svinrot
Hasselticka
Kopparödla</t>
        </is>
      </c>
      <c r="W18">
        <f>HYPERLINK("https://klasma.github.io/Logging_1980/artfynd/A 47695-2023 artfynd.xlsx", "A 47695-2023")</f>
        <v/>
      </c>
      <c r="X18">
        <f>HYPERLINK("https://klasma.github.io/Logging_1980/kartor/A 47695-2023 karta.png", "A 47695-2023")</f>
        <v/>
      </c>
      <c r="Y18">
        <f>HYPERLINK("https://klasma.github.io/Logging_1980/kartor_geotiff/A 47695-2023 georefererad karta.tif", "A 47695-2023")</f>
        <v/>
      </c>
      <c r="AA18">
        <f>HYPERLINK("https://klasma.github.io/Logging_1980/klagomål/A 47695-2023 FSC-klagomål.docx", "A 47695-2023")</f>
        <v/>
      </c>
      <c r="AB18">
        <f>HYPERLINK("https://klasma.github.io/Logging_1980/klagomålsmail/A 47695-2023 FSC-klagomål mail.docx", "A 47695-2023")</f>
        <v/>
      </c>
      <c r="AC18">
        <f>HYPERLINK("https://klasma.github.io/Logging_1980/tillsyn/A 47695-2023 tillsynsbegäran.docx", "A 47695-2023")</f>
        <v/>
      </c>
      <c r="AD18">
        <f>HYPERLINK("https://klasma.github.io/Logging_1980/tillsynsmail/A 47695-2023 tillsynsbegäran mail.docx", "A 47695-2023")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46256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46256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46256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46256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46256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46256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64735-2023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46256</v>
      </c>
      <c r="F25" t="inlineStr">
        <is>
          <t>VÄSTMANLANDS LÄN</t>
        </is>
      </c>
      <c r="G25" t="inlineStr">
        <is>
          <t>VÄSTERÅS</t>
        </is>
      </c>
      <c r="H25" t="inlineStr">
        <is>
          <t>Övriga Aktiebolag</t>
        </is>
      </c>
      <c r="I25" t="n">
        <v>12.5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6</v>
      </c>
      <c r="U25" t="n">
        <v>1</v>
      </c>
      <c r="V25" s="2" t="inlineStr">
        <is>
          <t>Backsippa
Vårstarr
Gullviva</t>
        </is>
      </c>
      <c r="W25">
        <f>HYPERLINK("https://klasma.github.io/Logging_1980/artfynd/A 64735-2023 artfynd.xlsx", "A 64735-2023")</f>
        <v/>
      </c>
      <c r="X25">
        <f>HYPERLINK("https://klasma.github.io/Logging_1980/kartor/A 64735-2023 karta.png", "A 64735-2023")</f>
        <v/>
      </c>
      <c r="Y25">
        <f>HYPERLINK("https://klasma.github.io/Logging_1980/kartor_geotiff/A 64735-2023 georefererad karta.tif", "A 64735-2023")</f>
        <v/>
      </c>
      <c r="AA25">
        <f>HYPERLINK("https://klasma.github.io/Logging_1980/klagomål/A 64735-2023 FSC-klagomål.docx", "A 64735-2023")</f>
        <v/>
      </c>
      <c r="AB25">
        <f>HYPERLINK("https://klasma.github.io/Logging_1980/klagomålsmail/A 64735-2023 FSC-klagomål mail.docx", "A 64735-2023")</f>
        <v/>
      </c>
      <c r="AC25">
        <f>HYPERLINK("https://klasma.github.io/Logging_1980/tillsyn/A 64735-2023 tillsynsbegäran.docx", "A 64735-2023")</f>
        <v/>
      </c>
      <c r="AD25">
        <f>HYPERLINK("https://klasma.github.io/Logging_1980/tillsynsmail/A 64735-2023 tillsynsbegäran mail.docx", "A 64735-2023")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46256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46256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46256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46256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46256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46256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46256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46256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46256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46256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46256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46256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46256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46256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46256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46256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46256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46256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26568-2022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46256</v>
      </c>
      <c r="F44" t="inlineStr">
        <is>
          <t>VÄSTMANLANDS LÄN</t>
        </is>
      </c>
      <c r="G44" t="inlineStr">
        <is>
          <t>VÄSTERÅS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Mistel</t>
        </is>
      </c>
      <c r="W44">
        <f>HYPERLINK("https://klasma.github.io/Logging_1980/artfynd/A 26568-2022 artfynd.xlsx", "A 26568-2022")</f>
        <v/>
      </c>
      <c r="X44">
        <f>HYPERLINK("https://klasma.github.io/Logging_1980/kartor/A 26568-2022 karta.png", "A 26568-2022")</f>
        <v/>
      </c>
      <c r="Y44">
        <f>HYPERLINK("https://klasma.github.io/Logging_1980/kartor_geotiff/A 26568-2022 georefererad karta.tif", "A 26568-2022")</f>
        <v/>
      </c>
      <c r="AA44">
        <f>HYPERLINK("https://klasma.github.io/Logging_1980/klagomål/A 26568-2022 FSC-klagomål.docx", "A 26568-2022")</f>
        <v/>
      </c>
      <c r="AB44">
        <f>HYPERLINK("https://klasma.github.io/Logging_1980/klagomålsmail/A 26568-2022 FSC-klagomål mail.docx", "A 26568-2022")</f>
        <v/>
      </c>
      <c r="AC44">
        <f>HYPERLINK("https://klasma.github.io/Logging_1980/tillsyn/A 26568-2022 tillsynsbegäran.docx", "A 26568-2022")</f>
        <v/>
      </c>
      <c r="AD44">
        <f>HYPERLINK("https://klasma.github.io/Logging_1980/tillsynsmail/A 26568-2022 tillsynsbegäran mail.docx", "A 26568-2022")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46256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8362-2022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46256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Köpingfibbla</t>
        </is>
      </c>
      <c r="W46">
        <f>HYPERLINK("https://klasma.github.io/Logging_1980/artfynd/A 8362-2022 artfynd.xlsx", "A 8362-2022")</f>
        <v/>
      </c>
      <c r="X46">
        <f>HYPERLINK("https://klasma.github.io/Logging_1980/kartor/A 8362-2022 karta.png", "A 8362-2022")</f>
        <v/>
      </c>
      <c r="Y46">
        <f>HYPERLINK("https://klasma.github.io/Logging_1980/kartor_geotiff/A 8362-2022 georefererad karta.tif", "A 8362-2022")</f>
        <v/>
      </c>
      <c r="AA46">
        <f>HYPERLINK("https://klasma.github.io/Logging_1980/klagomål/A 8362-2022 FSC-klagomål.docx", "A 8362-2022")</f>
        <v/>
      </c>
      <c r="AB46">
        <f>HYPERLINK("https://klasma.github.io/Logging_1980/klagomålsmail/A 8362-2022 FSC-klagomål mail.docx", "A 8362-2022")</f>
        <v/>
      </c>
      <c r="AC46">
        <f>HYPERLINK("https://klasma.github.io/Logging_1980/tillsyn/A 8362-2022 tillsynsbegäran.docx", "A 8362-2022")</f>
        <v/>
      </c>
      <c r="AD46">
        <f>HYPERLINK("https://klasma.github.io/Logging_1980/tillsynsmail/A 8362-2022 tillsynsbegäran mail.docx", "A 8362-2022")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46256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46256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58395-2022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44901</v>
      </c>
      <c r="E49" s="1" t="n">
        <v>46256</v>
      </c>
      <c r="F49" t="inlineStr">
        <is>
          <t>VÄSTMANLANDS LÄN</t>
        </is>
      </c>
      <c r="G49" t="inlineStr">
        <is>
          <t>VÄSTERÅS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Korskovall</t>
        </is>
      </c>
      <c r="W49">
        <f>HYPERLINK("https://klasma.github.io/Logging_1980/artfynd/A 58395-2022 artfynd.xlsx", "A 58395-2022")</f>
        <v/>
      </c>
      <c r="X49">
        <f>HYPERLINK("https://klasma.github.io/Logging_1980/kartor/A 58395-2022 karta.png", "A 58395-2022")</f>
        <v/>
      </c>
      <c r="Y49">
        <f>HYPERLINK("https://klasma.github.io/Logging_1980/kartor_geotiff/A 58395-2022 georefererad karta.tif", "A 58395-2022")</f>
        <v/>
      </c>
      <c r="AA49">
        <f>HYPERLINK("https://klasma.github.io/Logging_1980/klagomål/A 58395-2022 FSC-klagomål.docx", "A 58395-2022")</f>
        <v/>
      </c>
      <c r="AB49">
        <f>HYPERLINK("https://klasma.github.io/Logging_1980/klagomålsmail/A 58395-2022 FSC-klagomål mail.docx", "A 58395-2022")</f>
        <v/>
      </c>
      <c r="AC49">
        <f>HYPERLINK("https://klasma.github.io/Logging_1980/tillsyn/A 58395-2022 tillsynsbegäran.docx", "A 58395-2022")</f>
        <v/>
      </c>
      <c r="AD49">
        <f>HYPERLINK("https://klasma.github.io/Logging_1980/tillsynsmail/A 58395-2022 tillsynsbegäran mail.docx", "A 58395-2022")</f>
        <v/>
      </c>
    </row>
    <row r="50" ht="15" customHeight="1">
      <c r="A50" t="inlineStr">
        <is>
          <t>A 51147-2023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46256</v>
      </c>
      <c r="F50" t="inlineStr">
        <is>
          <t>VÄSTMANLANDS LÄN</t>
        </is>
      </c>
      <c r="G50" t="inlineStr">
        <is>
          <t>VÄSTERÅS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Mindre märgborre</t>
        </is>
      </c>
      <c r="W50">
        <f>HYPERLINK("https://klasma.github.io/Logging_1980/artfynd/A 51147-2023 artfynd.xlsx", "A 51147-2023")</f>
        <v/>
      </c>
      <c r="X50">
        <f>HYPERLINK("https://klasma.github.io/Logging_1980/kartor/A 51147-2023 karta.png", "A 51147-2023")</f>
        <v/>
      </c>
      <c r="Y50">
        <f>HYPERLINK("https://klasma.github.io/Logging_1980/kartor_geotiff/A 51147-2023 georefererad karta.tif", "A 51147-2023")</f>
        <v/>
      </c>
      <c r="AA50">
        <f>HYPERLINK("https://klasma.github.io/Logging_1980/klagomål/A 51147-2023 FSC-klagomål.docx", "A 51147-2023")</f>
        <v/>
      </c>
      <c r="AB50">
        <f>HYPERLINK("https://klasma.github.io/Logging_1980/klagomålsmail/A 51147-2023 FSC-klagomål mail.docx", "A 51147-2023")</f>
        <v/>
      </c>
      <c r="AC50">
        <f>HYPERLINK("https://klasma.github.io/Logging_1980/tillsyn/A 51147-2023 tillsynsbegäran.docx", "A 51147-2023")</f>
        <v/>
      </c>
      <c r="AD50">
        <f>HYPERLINK("https://klasma.github.io/Logging_1980/tillsynsmail/A 51147-2023 tillsynsbegäran mail.docx", "A 51147-2023")</f>
        <v/>
      </c>
    </row>
    <row r="51" ht="15" customHeight="1">
      <c r="A51" t="inlineStr">
        <is>
          <t>A 59140-2025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46256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HYPERLINK("https://klasma.github.io/Logging_1980/artfynd/A 59140-2025 artfynd.xlsx", "A 59140-2025")</f>
        <v/>
      </c>
      <c r="X51">
        <f>HYPERLINK("https://klasma.github.io/Logging_1980/kartor/A 59140-2025 karta.png", "A 59140-2025")</f>
        <v/>
      </c>
      <c r="Y51">
        <f>HYPERLINK("https://klasma.github.io/Logging_1980/kartor_geotiff/A 59140-2025 georefererad karta.tif", "A 59140-2025")</f>
        <v/>
      </c>
      <c r="AA51">
        <f>HYPERLINK("https://klasma.github.io/Logging_1980/klagomål/A 59140-2025 FSC-klagomål.docx", "A 59140-2025")</f>
        <v/>
      </c>
      <c r="AB51">
        <f>HYPERLINK("https://klasma.github.io/Logging_1980/klagomålsmail/A 59140-2025 FSC-klagomål mail.docx", "A 59140-2025")</f>
        <v/>
      </c>
      <c r="AC51">
        <f>HYPERLINK("https://klasma.github.io/Logging_1980/tillsyn/A 59140-2025 tillsynsbegäran.docx", "A 59140-2025")</f>
        <v/>
      </c>
      <c r="AD51">
        <f>HYPERLINK("https://klasma.github.io/Logging_1980/tillsynsmail/A 59140-2025 tillsynsbegäran mail.docx", "A 59140-2025")</f>
        <v/>
      </c>
      <c r="AE51">
        <f>HYPERLINK("https://klasma.github.io/Logging_1980/fåglar/A 59140-2025 prioriterade fågelarter.docx", "A 59140-2025")</f>
        <v/>
      </c>
    </row>
    <row r="52" ht="15" customHeight="1">
      <c r="A52" t="inlineStr">
        <is>
          <t>A 59144-2025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46256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HYPERLINK("https://klasma.github.io/Logging_1980/artfynd/A 59144-2025 artfynd.xlsx", "A 59144-2025")</f>
        <v/>
      </c>
      <c r="X52">
        <f>HYPERLINK("https://klasma.github.io/Logging_1980/kartor/A 59144-2025 karta.png", "A 59144-2025")</f>
        <v/>
      </c>
      <c r="Y52">
        <f>HYPERLINK("https://klasma.github.io/Logging_1980/kartor_geotiff/A 59144-2025 georefererad karta.tif", "A 59144-2025")</f>
        <v/>
      </c>
      <c r="AA52">
        <f>HYPERLINK("https://klasma.github.io/Logging_1980/klagomål/A 59144-2025 FSC-klagomål.docx", "A 59144-2025")</f>
        <v/>
      </c>
      <c r="AB52">
        <f>HYPERLINK("https://klasma.github.io/Logging_1980/klagomålsmail/A 59144-2025 FSC-klagomål mail.docx", "A 59144-2025")</f>
        <v/>
      </c>
      <c r="AC52">
        <f>HYPERLINK("https://klasma.github.io/Logging_1980/tillsyn/A 59144-2025 tillsynsbegäran.docx", "A 59144-2025")</f>
        <v/>
      </c>
      <c r="AD52">
        <f>HYPERLINK("https://klasma.github.io/Logging_1980/tillsynsmail/A 59144-2025 tillsynsbegäran mail.docx", "A 59144-2025")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46256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46256</v>
      </c>
      <c r="F54" t="inlineStr">
        <is>
          <t>VÄSTMANLANDS LÄN</t>
        </is>
      </c>
      <c r="G54" t="inlineStr">
        <is>
          <t>VÄSTERÅS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5363-2025 artfynd.xlsx", "A 5363-2025")</f>
        <v/>
      </c>
      <c r="X54">
        <f>HYPERLINK("https://klasma.github.io/Logging_1980/kartor/A 5363-2025 karta.png", "A 5363-2025")</f>
        <v/>
      </c>
      <c r="Y54">
        <f>HYPERLINK("https://klasma.github.io/Logging_1980/kartor_geotiff/A 5363-2025 georefererad karta.tif", "A 5363-2025")</f>
        <v/>
      </c>
      <c r="AA54">
        <f>HYPERLINK("https://klasma.github.io/Logging_1980/klagomål/A 5363-2025 FSC-klagomål.docx", "A 5363-2025")</f>
        <v/>
      </c>
      <c r="AB54">
        <f>HYPERLINK("https://klasma.github.io/Logging_1980/klagomålsmail/A 5363-2025 FSC-klagomål mail.docx", "A 5363-2025")</f>
        <v/>
      </c>
      <c r="AC54">
        <f>HYPERLINK("https://klasma.github.io/Logging_1980/tillsyn/A 5363-2025 tillsynsbegäran.docx", "A 5363-2025")</f>
        <v/>
      </c>
      <c r="AD54">
        <f>HYPERLINK("https://klasma.github.io/Logging_1980/tillsynsmail/A 5363-2025 tillsynsbegäran mail.docx", "A 5363-2025")</f>
        <v/>
      </c>
    </row>
    <row r="55" ht="15" customHeight="1">
      <c r="A55" t="inlineStr">
        <is>
          <t>A 61059-2024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46256</v>
      </c>
      <c r="F55" t="inlineStr">
        <is>
          <t>VÄSTMANLANDS LÄN</t>
        </is>
      </c>
      <c r="G55" t="inlineStr">
        <is>
          <t>VÄSTERÅS</t>
        </is>
      </c>
      <c r="I55" t="n">
        <v>4.7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Bandad skulderbock</t>
        </is>
      </c>
      <c r="W55">
        <f>HYPERLINK("https://klasma.github.io/Logging_1980/artfynd/A 61059-2024 artfynd.xlsx", "A 61059-2024")</f>
        <v/>
      </c>
      <c r="X55">
        <f>HYPERLINK("https://klasma.github.io/Logging_1980/kartor/A 61059-2024 karta.png", "A 61059-2024")</f>
        <v/>
      </c>
      <c r="Y55">
        <f>HYPERLINK("https://klasma.github.io/Logging_1980/kartor_geotiff/A 61059-2024 georefererad karta.tif", "A 61059-2024")</f>
        <v/>
      </c>
      <c r="AA55">
        <f>HYPERLINK("https://klasma.github.io/Logging_1980/klagomål/A 61059-2024 FSC-klagomål.docx", "A 61059-2024")</f>
        <v/>
      </c>
      <c r="AB55">
        <f>HYPERLINK("https://klasma.github.io/Logging_1980/klagomålsmail/A 61059-2024 FSC-klagomål mail.docx", "A 61059-2024")</f>
        <v/>
      </c>
      <c r="AC55">
        <f>HYPERLINK("https://klasma.github.io/Logging_1980/tillsyn/A 61059-2024 tillsynsbegäran.docx", "A 61059-2024")</f>
        <v/>
      </c>
      <c r="AD55">
        <f>HYPERLINK("https://klasma.github.io/Logging_1980/tillsynsmail/A 61059-2024 tillsynsbegäran mail.docx", "A 61059-2024")</f>
        <v/>
      </c>
    </row>
    <row r="56" ht="15" customHeight="1">
      <c r="A56" t="inlineStr">
        <is>
          <t>A 31976-2026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46232</v>
      </c>
      <c r="E56" s="1" t="n">
        <v>46256</v>
      </c>
      <c r="F56" t="inlineStr">
        <is>
          <t>VÄSTMANLANDS LÄN</t>
        </is>
      </c>
      <c r="G56" t="inlineStr">
        <is>
          <t>VÄSTERÅS</t>
        </is>
      </c>
      <c r="H56" t="inlineStr">
        <is>
          <t>Övriga Aktiebolag</t>
        </is>
      </c>
      <c r="I56" t="n">
        <v>14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Rostfläck</t>
        </is>
      </c>
      <c r="W56">
        <f>HYPERLINK("https://klasma.github.io/Logging_1980/artfynd/A 31976-2026 artfynd.xlsx", "A 31976-2026")</f>
        <v/>
      </c>
      <c r="X56">
        <f>HYPERLINK("https://klasma.github.io/Logging_1980/kartor/A 31976-2026 karta.png", "A 31976-2026")</f>
        <v/>
      </c>
      <c r="Y56">
        <f>HYPERLINK("https://klasma.github.io/Logging_1980/kartor_geotiff/A 31976-2026 georefererad karta.tif", "A 31976-2026")</f>
        <v/>
      </c>
      <c r="AA56">
        <f>HYPERLINK("https://klasma.github.io/Logging_1980/klagomål/A 31976-2026 FSC-klagomål.docx", "A 31976-2026")</f>
        <v/>
      </c>
      <c r="AB56">
        <f>HYPERLINK("https://klasma.github.io/Logging_1980/klagomålsmail/A 31976-2026 FSC-klagomål mail.docx", "A 31976-2026")</f>
        <v/>
      </c>
      <c r="AC56">
        <f>HYPERLINK("https://klasma.github.io/Logging_1980/tillsyn/A 31976-2026 tillsynsbegäran.docx", "A 31976-2026")</f>
        <v/>
      </c>
      <c r="AD56">
        <f>HYPERLINK("https://klasma.github.io/Logging_1980/tillsynsmail/A 31976-2026 tillsynsbegäran mail.docx", "A 31976-2026")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46256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46189-2023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45196</v>
      </c>
      <c r="E58" s="1" t="n">
        <v>46256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HYPERLINK("https://klasma.github.io/Logging_1980/artfynd/A 46189-2023 artfynd.xlsx", "A 46189-2023")</f>
        <v/>
      </c>
      <c r="X58">
        <f>HYPERLINK("https://klasma.github.io/Logging_1980/kartor/A 46189-2023 karta.png", "A 46189-2023")</f>
        <v/>
      </c>
      <c r="Y58">
        <f>HYPERLINK("https://klasma.github.io/Logging_1980/kartor_geotiff/A 46189-2023 georefererad karta.tif", "A 46189-2023")</f>
        <v/>
      </c>
      <c r="AA58">
        <f>HYPERLINK("https://klasma.github.io/Logging_1980/klagomål/A 46189-2023 FSC-klagomål.docx", "A 46189-2023")</f>
        <v/>
      </c>
      <c r="AB58">
        <f>HYPERLINK("https://klasma.github.io/Logging_1980/klagomålsmail/A 46189-2023 FSC-klagomål mail.docx", "A 46189-2023")</f>
        <v/>
      </c>
      <c r="AC58">
        <f>HYPERLINK("https://klasma.github.io/Logging_1980/tillsyn/A 46189-2023 tillsynsbegäran.docx", "A 46189-2023")</f>
        <v/>
      </c>
      <c r="AD58">
        <f>HYPERLINK("https://klasma.github.io/Logging_1980/tillsynsmail/A 46189-2023 tillsynsbegäran mail.docx", "A 46189-2023")</f>
        <v/>
      </c>
    </row>
    <row r="59" ht="15" customHeight="1">
      <c r="A59" t="inlineStr">
        <is>
          <t>A 61254-2023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45264</v>
      </c>
      <c r="E59" s="1" t="n">
        <v>46256</v>
      </c>
      <c r="F59" t="inlineStr">
        <is>
          <t>VÄSTMANLANDS LÄN</t>
        </is>
      </c>
      <c r="G59" t="inlineStr">
        <is>
          <t>VÄSTERÅS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Mistel</t>
        </is>
      </c>
      <c r="W59">
        <f>HYPERLINK("https://klasma.github.io/Logging_1980/artfynd/A 61254-2023 artfynd.xlsx", "A 61254-2023")</f>
        <v/>
      </c>
      <c r="X59">
        <f>HYPERLINK("https://klasma.github.io/Logging_1980/kartor/A 61254-2023 karta.png", "A 61254-2023")</f>
        <v/>
      </c>
      <c r="Y59">
        <f>HYPERLINK("https://klasma.github.io/Logging_1980/kartor_geotiff/A 61254-2023 georefererad karta.tif", "A 61254-2023")</f>
        <v/>
      </c>
      <c r="AA59">
        <f>HYPERLINK("https://klasma.github.io/Logging_1980/klagomål/A 61254-2023 FSC-klagomål.docx", "A 61254-2023")</f>
        <v/>
      </c>
      <c r="AB59">
        <f>HYPERLINK("https://klasma.github.io/Logging_1980/klagomålsmail/A 61254-2023 FSC-klagomål mail.docx", "A 61254-2023")</f>
        <v/>
      </c>
      <c r="AC59">
        <f>HYPERLINK("https://klasma.github.io/Logging_1980/tillsyn/A 61254-2023 tillsynsbegäran.docx", "A 61254-2023")</f>
        <v/>
      </c>
      <c r="AD59">
        <f>HYPERLINK("https://klasma.github.io/Logging_1980/tillsynsmail/A 61254-2023 tillsynsbegäran mail.docx", "A 61254-2023")</f>
        <v/>
      </c>
    </row>
    <row r="60" ht="15" customHeight="1">
      <c r="A60" t="inlineStr">
        <is>
          <t>A 59520-2024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46256</v>
      </c>
      <c r="F60" t="inlineStr">
        <is>
          <t>VÄSTMANLANDS LÄN</t>
        </is>
      </c>
      <c r="G60" t="inlineStr">
        <is>
          <t>VÄSTERÅS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59520-2024 artfynd.xlsx", "A 59520-2024")</f>
        <v/>
      </c>
      <c r="X60">
        <f>HYPERLINK("https://klasma.github.io/Logging_1980/kartor/A 59520-2024 karta.png", "A 59520-2024")</f>
        <v/>
      </c>
      <c r="Y60">
        <f>HYPERLINK("https://klasma.github.io/Logging_1980/kartor_geotiff/A 59520-2024 georefererad karta.tif", "A 59520-2024")</f>
        <v/>
      </c>
      <c r="AA60">
        <f>HYPERLINK("https://klasma.github.io/Logging_1980/klagomål/A 59520-2024 FSC-klagomål.docx", "A 59520-2024")</f>
        <v/>
      </c>
      <c r="AB60">
        <f>HYPERLINK("https://klasma.github.io/Logging_1980/klagomålsmail/A 59520-2024 FSC-klagomål mail.docx", "A 59520-2024")</f>
        <v/>
      </c>
      <c r="AC60">
        <f>HYPERLINK("https://klasma.github.io/Logging_1980/tillsyn/A 59520-2024 tillsynsbegäran.docx", "A 59520-2024")</f>
        <v/>
      </c>
      <c r="AD60">
        <f>HYPERLINK("https://klasma.github.io/Logging_1980/tillsynsmail/A 59520-2024 tillsynsbegäran mail.docx", "A 59520-2024")</f>
        <v/>
      </c>
    </row>
    <row r="61" ht="15" customHeight="1">
      <c r="A61" t="inlineStr">
        <is>
          <t>A 22378-2026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46256</v>
      </c>
      <c r="F61" t="inlineStr">
        <is>
          <t>VÄSTMANLANDS LÄN</t>
        </is>
      </c>
      <c r="G61" t="inlineStr">
        <is>
          <t>VÄSTERÅS</t>
        </is>
      </c>
      <c r="I61" t="n">
        <v>5.6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HYPERLINK("https://klasma.github.io/Logging_1980/artfynd/A 22378-2026 artfynd.xlsx", "A 22378-2026")</f>
        <v/>
      </c>
      <c r="X61">
        <f>HYPERLINK("https://klasma.github.io/Logging_1980/kartor/A 22378-2026 karta.png", "A 22378-2026")</f>
        <v/>
      </c>
      <c r="Y61">
        <f>HYPERLINK("https://klasma.github.io/Logging_1980/kartor_geotiff/A 22378-2026 georefererad karta.tif", "A 22378-2026")</f>
        <v/>
      </c>
      <c r="AA61">
        <f>HYPERLINK("https://klasma.github.io/Logging_1980/klagomål/A 22378-2026 FSC-klagomål.docx", "A 22378-2026")</f>
        <v/>
      </c>
      <c r="AB61">
        <f>HYPERLINK("https://klasma.github.io/Logging_1980/klagomålsmail/A 22378-2026 FSC-klagomål mail.docx", "A 22378-2026")</f>
        <v/>
      </c>
      <c r="AC61">
        <f>HYPERLINK("https://klasma.github.io/Logging_1980/tillsyn/A 22378-2026 tillsynsbegäran.docx", "A 22378-2026")</f>
        <v/>
      </c>
      <c r="AD61">
        <f>HYPERLINK("https://klasma.github.io/Logging_1980/tillsynsmail/A 22378-2026 tillsynsbegäran mail.docx", "A 22378-2026")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46256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46256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46256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46256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46256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46256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46256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46256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46256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46256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46256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46256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46256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46256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46256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46256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46256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46256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46256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46256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46256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46256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46256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46256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46256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46256</v>
      </c>
      <c r="F87" t="inlineStr">
        <is>
          <t>VÄSTMANLANDS LÄN</t>
        </is>
      </c>
      <c r="G87" t="inlineStr">
        <is>
          <t>VÄSTERÅS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46256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46256</v>
      </c>
      <c r="F89" t="inlineStr">
        <is>
          <t>VÄSTMANLANDS LÄN</t>
        </is>
      </c>
      <c r="G89" t="inlineStr">
        <is>
          <t>VÄSTERÅS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46256</v>
      </c>
      <c r="F90" t="inlineStr">
        <is>
          <t>VÄSTMANLANDS LÄN</t>
        </is>
      </c>
      <c r="G90" t="inlineStr">
        <is>
          <t>VÄSTERÅS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46256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46256</v>
      </c>
      <c r="F92" t="inlineStr">
        <is>
          <t>VÄSTMANLANDS LÄN</t>
        </is>
      </c>
      <c r="G92" t="inlineStr">
        <is>
          <t>VÄSTERÅS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46256</v>
      </c>
      <c r="F93" t="inlineStr">
        <is>
          <t>VÄSTMANLANDS LÄN</t>
        </is>
      </c>
      <c r="G93" t="inlineStr">
        <is>
          <t>VÄSTERÅS</t>
        </is>
      </c>
      <c r="I93" t="n">
        <v>12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46256</v>
      </c>
      <c r="F94" t="inlineStr">
        <is>
          <t>VÄSTMANLANDS LÄN</t>
        </is>
      </c>
      <c r="G94" t="inlineStr">
        <is>
          <t>VÄSTERÅS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10499-2022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44623</v>
      </c>
      <c r="E95" s="1" t="n">
        <v>46256</v>
      </c>
      <c r="F95" t="inlineStr">
        <is>
          <t>VÄSTMANLANDS LÄN</t>
        </is>
      </c>
      <c r="G95" t="inlineStr">
        <is>
          <t>VÄSTERÅS</t>
        </is>
      </c>
      <c r="H95" t="inlineStr">
        <is>
          <t>Sveaskog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45235</v>
      </c>
      <c r="E96" s="1" t="n">
        <v>46256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37.8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44761</v>
      </c>
      <c r="E97" s="1" t="n">
        <v>46256</v>
      </c>
      <c r="F97" t="inlineStr">
        <is>
          <t>VÄSTMANLANDS LÄN</t>
        </is>
      </c>
      <c r="G97" t="inlineStr">
        <is>
          <t>VÄSTERÅS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46256</v>
      </c>
      <c r="F98" t="inlineStr">
        <is>
          <t>VÄSTMANLANDS LÄN</t>
        </is>
      </c>
      <c r="G98" t="inlineStr">
        <is>
          <t>VÄSTERÅS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45603</v>
      </c>
      <c r="E99" s="1" t="n">
        <v>46256</v>
      </c>
      <c r="F99" t="inlineStr">
        <is>
          <t>VÄSTMANLANDS LÄN</t>
        </is>
      </c>
      <c r="G99" t="inlineStr">
        <is>
          <t>VÄSTERÅS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46256</v>
      </c>
      <c r="F100" t="inlineStr">
        <is>
          <t>VÄSTMANLANDS LÄN</t>
        </is>
      </c>
      <c r="G100" t="inlineStr">
        <is>
          <t>VÄSTERÅS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45595</v>
      </c>
      <c r="E101" s="1" t="n">
        <v>46256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46256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46116-2022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46256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46256</v>
      </c>
      <c r="F104" t="inlineStr">
        <is>
          <t>VÄSTMANLANDS LÄN</t>
        </is>
      </c>
      <c r="G104" t="inlineStr">
        <is>
          <t>VÄSTERÅS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46256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55676-2023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45232</v>
      </c>
      <c r="E106" s="1" t="n">
        <v>46256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Övriga Aktiebolag</t>
        </is>
      </c>
      <c r="I106" t="n">
        <v>37.9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44908</v>
      </c>
      <c r="E107" s="1" t="n">
        <v>46256</v>
      </c>
      <c r="F107" t="inlineStr">
        <is>
          <t>VÄSTMANLANDS LÄN</t>
        </is>
      </c>
      <c r="G107" t="inlineStr">
        <is>
          <t>VÄSTERÅS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46256</v>
      </c>
      <c r="F108" t="inlineStr">
        <is>
          <t>VÄSTMANLANDS LÄN</t>
        </is>
      </c>
      <c r="G108" t="inlineStr">
        <is>
          <t>VÄSTERÅS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46256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44552</v>
      </c>
      <c r="E110" s="1" t="n">
        <v>46256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46256</v>
      </c>
      <c r="F111" t="inlineStr">
        <is>
          <t>VÄSTMANLANDS LÄN</t>
        </is>
      </c>
      <c r="G111" t="inlineStr">
        <is>
          <t>VÄSTERÅS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55684-2023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45232</v>
      </c>
      <c r="E112" s="1" t="n">
        <v>46256</v>
      </c>
      <c r="F112" t="inlineStr">
        <is>
          <t>VÄSTMANLANDS LÄN</t>
        </is>
      </c>
      <c r="G112" t="inlineStr">
        <is>
          <t>VÄSTERÅS</t>
        </is>
      </c>
      <c r="H112" t="inlineStr">
        <is>
          <t>Övriga Aktiebolag</t>
        </is>
      </c>
      <c r="I112" t="n">
        <v>29.4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45027</v>
      </c>
      <c r="E113" s="1" t="n">
        <v>46256</v>
      </c>
      <c r="F113" t="inlineStr">
        <is>
          <t>VÄSTMANLANDS LÄN</t>
        </is>
      </c>
      <c r="G113" t="inlineStr">
        <is>
          <t>VÄSTERÅS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45027</v>
      </c>
      <c r="E114" s="1" t="n">
        <v>46256</v>
      </c>
      <c r="F114" t="inlineStr">
        <is>
          <t>VÄSTMANLANDS LÄN</t>
        </is>
      </c>
      <c r="G114" t="inlineStr">
        <is>
          <t>VÄSTERÅS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46256</v>
      </c>
      <c r="F115" t="inlineStr">
        <is>
          <t>VÄSTMANLANDS LÄN</t>
        </is>
      </c>
      <c r="G115" t="inlineStr">
        <is>
          <t>VÄSTERÅS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46256</v>
      </c>
      <c r="F116" t="inlineStr">
        <is>
          <t>VÄSTMANLANDS LÄN</t>
        </is>
      </c>
      <c r="G116" t="inlineStr">
        <is>
          <t>VÄSTERÅS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46256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52015-2024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45607</v>
      </c>
      <c r="E118" s="1" t="n">
        <v>46256</v>
      </c>
      <c r="F118" t="inlineStr">
        <is>
          <t>VÄSTMANLANDS LÄN</t>
        </is>
      </c>
      <c r="G118" t="inlineStr">
        <is>
          <t>VÄSTERÅS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44637</v>
      </c>
      <c r="E119" s="1" t="n">
        <v>46256</v>
      </c>
      <c r="F119" t="inlineStr">
        <is>
          <t>VÄSTMANLANDS LÄN</t>
        </is>
      </c>
      <c r="G119" t="inlineStr">
        <is>
          <t>VÄSTERÅS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44999</v>
      </c>
      <c r="E120" s="1" t="n">
        <v>46256</v>
      </c>
      <c r="F120" t="inlineStr">
        <is>
          <t>VÄSTMANLANDS LÄN</t>
        </is>
      </c>
      <c r="G120" t="inlineStr">
        <is>
          <t>VÄSTERÅS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26556-2022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46256</v>
      </c>
      <c r="F121" t="inlineStr">
        <is>
          <t>VÄSTMANLANDS LÄN</t>
        </is>
      </c>
      <c r="G121" t="inlineStr">
        <is>
          <t>VÄSTERÅS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46256</v>
      </c>
      <c r="F122" t="inlineStr">
        <is>
          <t>VÄSTMANLANDS LÄN</t>
        </is>
      </c>
      <c r="G122" t="inlineStr">
        <is>
          <t>VÄSTERÅS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46256</v>
      </c>
      <c r="F123" t="inlineStr">
        <is>
          <t>VÄSTMANLANDS LÄN</t>
        </is>
      </c>
      <c r="G123" t="inlineStr">
        <is>
          <t>VÄSTERÅS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74314-2021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44559</v>
      </c>
      <c r="E124" s="1" t="n">
        <v>46256</v>
      </c>
      <c r="F124" t="inlineStr">
        <is>
          <t>VÄSTMANLANDS LÄN</t>
        </is>
      </c>
      <c r="G124" t="inlineStr">
        <is>
          <t>VÄSTERÅS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46256</v>
      </c>
      <c r="F125" t="inlineStr">
        <is>
          <t>VÄSTMANLANDS LÄN</t>
        </is>
      </c>
      <c r="G125" t="inlineStr">
        <is>
          <t>VÄSTERÅS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46256</v>
      </c>
      <c r="F126" t="inlineStr">
        <is>
          <t>VÄSTMANLANDS LÄN</t>
        </is>
      </c>
      <c r="G126" t="inlineStr">
        <is>
          <t>VÄSTERÅS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46256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46256</v>
      </c>
      <c r="F128" t="inlineStr">
        <is>
          <t>VÄSTMANLANDS LÄN</t>
        </is>
      </c>
      <c r="G128" t="inlineStr">
        <is>
          <t>VÄSTERÅS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46256</v>
      </c>
      <c r="F129" t="inlineStr">
        <is>
          <t>VÄSTMANLANDS LÄN</t>
        </is>
      </c>
      <c r="G129" t="inlineStr">
        <is>
          <t>VÄSTERÅS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46256</v>
      </c>
      <c r="F130" t="inlineStr">
        <is>
          <t>VÄSTMANLANDS LÄN</t>
        </is>
      </c>
      <c r="G130" t="inlineStr">
        <is>
          <t>VÄSTERÅS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46256</v>
      </c>
      <c r="F131" t="inlineStr">
        <is>
          <t>VÄSTMANLANDS LÄN</t>
        </is>
      </c>
      <c r="G131" t="inlineStr">
        <is>
          <t>VÄSTERÅS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44582</v>
      </c>
      <c r="E132" s="1" t="n">
        <v>46256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46256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46256</v>
      </c>
      <c r="F134" t="inlineStr">
        <is>
          <t>VÄSTMANLANDS LÄN</t>
        </is>
      </c>
      <c r="G134" t="inlineStr">
        <is>
          <t>VÄSTERÅS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46256</v>
      </c>
      <c r="F135" t="inlineStr">
        <is>
          <t>VÄSTMANLANDS LÄN</t>
        </is>
      </c>
      <c r="G135" t="inlineStr">
        <is>
          <t>VÄSTERÅS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46256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statliga verk och myndigheter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46256</v>
      </c>
      <c r="F137" t="inlineStr">
        <is>
          <t>VÄSTMANLANDS LÄN</t>
        </is>
      </c>
      <c r="G137" t="inlineStr">
        <is>
          <t>VÄSTERÅS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17258-2024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45414</v>
      </c>
      <c r="E138" s="1" t="n">
        <v>46256</v>
      </c>
      <c r="F138" t="inlineStr">
        <is>
          <t>VÄSTMANLANDS LÄN</t>
        </is>
      </c>
      <c r="G138" t="inlineStr">
        <is>
          <t>VÄSTERÅS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18465-2023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45042</v>
      </c>
      <c r="E139" s="1" t="n">
        <v>46256</v>
      </c>
      <c r="F139" t="inlineStr">
        <is>
          <t>VÄSTMANLANDS LÄN</t>
        </is>
      </c>
      <c r="G139" t="inlineStr">
        <is>
          <t>VÄSTERÅS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64202-2023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46256</v>
      </c>
      <c r="F140" t="inlineStr">
        <is>
          <t>VÄSTMANLANDS LÄN</t>
        </is>
      </c>
      <c r="G140" t="inlineStr">
        <is>
          <t>VÄSTERÅS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44961</v>
      </c>
      <c r="E141" s="1" t="n">
        <v>46256</v>
      </c>
      <c r="F141" t="inlineStr">
        <is>
          <t>VÄSTMANLANDS LÄN</t>
        </is>
      </c>
      <c r="G141" t="inlineStr">
        <is>
          <t>VÄSTERÅS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44662</v>
      </c>
      <c r="E142" s="1" t="n">
        <v>46256</v>
      </c>
      <c r="F142" t="inlineStr">
        <is>
          <t>VÄSTMANLANDS LÄN</t>
        </is>
      </c>
      <c r="G142" t="inlineStr">
        <is>
          <t>VÄSTERÅS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46256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Kyrkan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46256</v>
      </c>
      <c r="F144" t="inlineStr">
        <is>
          <t>VÄSTMANLANDS LÄN</t>
        </is>
      </c>
      <c r="G144" t="inlineStr">
        <is>
          <t>VÄSTERÅS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45160</v>
      </c>
      <c r="E145" s="1" t="n">
        <v>46256</v>
      </c>
      <c r="F145" t="inlineStr">
        <is>
          <t>VÄSTMANLANDS LÄN</t>
        </is>
      </c>
      <c r="G145" t="inlineStr">
        <is>
          <t>VÄSTERÅS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46256</v>
      </c>
      <c r="F146" t="inlineStr">
        <is>
          <t>VÄSTMANLANDS LÄN</t>
        </is>
      </c>
      <c r="G146" t="inlineStr">
        <is>
          <t>VÄSTERÅS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46256</v>
      </c>
      <c r="F147" t="inlineStr">
        <is>
          <t>VÄSTMANLANDS LÄN</t>
        </is>
      </c>
      <c r="G147" t="inlineStr">
        <is>
          <t>VÄSTERÅS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22832-2023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45072</v>
      </c>
      <c r="E148" s="1" t="n">
        <v>46256</v>
      </c>
      <c r="F148" t="inlineStr">
        <is>
          <t>VÄSTMANLANDS LÄN</t>
        </is>
      </c>
      <c r="G148" t="inlineStr">
        <is>
          <t>VÄSTERÅS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46256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44595</v>
      </c>
      <c r="E150" s="1" t="n">
        <v>46256</v>
      </c>
      <c r="F150" t="inlineStr">
        <is>
          <t>VÄSTMANLANDS LÄN</t>
        </is>
      </c>
      <c r="G150" t="inlineStr">
        <is>
          <t>VÄSTERÅS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45705</v>
      </c>
      <c r="E151" s="1" t="n">
        <v>46256</v>
      </c>
      <c r="F151" t="inlineStr">
        <is>
          <t>VÄSTMANLANDS LÄN</t>
        </is>
      </c>
      <c r="G151" t="inlineStr">
        <is>
          <t>VÄSTERÅS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46256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46256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46256</v>
      </c>
      <c r="F154" t="inlineStr">
        <is>
          <t>VÄSTMANLANDS LÄN</t>
        </is>
      </c>
      <c r="G154" t="inlineStr">
        <is>
          <t>VÄSTERÅS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46256</v>
      </c>
      <c r="F155" t="inlineStr">
        <is>
          <t>VÄSTMANLANDS LÄN</t>
        </is>
      </c>
      <c r="G155" t="inlineStr">
        <is>
          <t>VÄSTERÅS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45223</v>
      </c>
      <c r="E156" s="1" t="n">
        <v>46256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46256</v>
      </c>
      <c r="F157" t="inlineStr">
        <is>
          <t>VÄSTMANLANDS LÄN</t>
        </is>
      </c>
      <c r="G157" t="inlineStr">
        <is>
          <t>VÄSTERÅS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45638</v>
      </c>
      <c r="E158" s="1" t="n">
        <v>46256</v>
      </c>
      <c r="F158" t="inlineStr">
        <is>
          <t>VÄSTMANLANDS LÄN</t>
        </is>
      </c>
      <c r="G158" t="inlineStr">
        <is>
          <t>VÄSTERÅS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46256</v>
      </c>
      <c r="F159" t="inlineStr">
        <is>
          <t>VÄSTMANLANDS LÄN</t>
        </is>
      </c>
      <c r="G159" t="inlineStr">
        <is>
          <t>VÄSTERÅS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45516</v>
      </c>
      <c r="E160" s="1" t="n">
        <v>46256</v>
      </c>
      <c r="F160" t="inlineStr">
        <is>
          <t>VÄSTMANLANDS LÄN</t>
        </is>
      </c>
      <c r="G160" t="inlineStr">
        <is>
          <t>VÄSTERÅS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45506</v>
      </c>
      <c r="E161" s="1" t="n">
        <v>46256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Kommuner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46256</v>
      </c>
      <c r="F162" t="inlineStr">
        <is>
          <t>VÄSTMANLANDS LÄN</t>
        </is>
      </c>
      <c r="G162" t="inlineStr">
        <is>
          <t>VÄSTERÅS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44936</v>
      </c>
      <c r="E163" s="1" t="n">
        <v>46256</v>
      </c>
      <c r="F163" t="inlineStr">
        <is>
          <t>VÄSTMANLANDS LÄN</t>
        </is>
      </c>
      <c r="G163" t="inlineStr">
        <is>
          <t>VÄSTERÅS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46256</v>
      </c>
      <c r="F164" t="inlineStr">
        <is>
          <t>VÄSTMANLANDS LÄN</t>
        </is>
      </c>
      <c r="G164" t="inlineStr">
        <is>
          <t>VÄSTERÅS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46256</v>
      </c>
      <c r="F165" t="inlineStr">
        <is>
          <t>VÄSTMANLANDS LÄN</t>
        </is>
      </c>
      <c r="G165" t="inlineStr">
        <is>
          <t>VÄSTERÅS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46256</v>
      </c>
      <c r="F166" t="inlineStr">
        <is>
          <t>VÄSTMANLANDS LÄN</t>
        </is>
      </c>
      <c r="G166" t="inlineStr">
        <is>
          <t>VÄSTERÅS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63851-2021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44509</v>
      </c>
      <c r="E167" s="1" t="n">
        <v>46256</v>
      </c>
      <c r="F167" t="inlineStr">
        <is>
          <t>VÄSTMANLANDS LÄN</t>
        </is>
      </c>
      <c r="G167" t="inlineStr">
        <is>
          <t>VÄSTERÅS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45077</v>
      </c>
      <c r="E168" s="1" t="n">
        <v>46256</v>
      </c>
      <c r="F168" t="inlineStr">
        <is>
          <t>VÄSTMANLANDS LÄN</t>
        </is>
      </c>
      <c r="G168" t="inlineStr">
        <is>
          <t>VÄSTERÅS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46256</v>
      </c>
      <c r="F169" t="inlineStr">
        <is>
          <t>VÄSTMANLANDS LÄN</t>
        </is>
      </c>
      <c r="G169" t="inlineStr">
        <is>
          <t>VÄSTERÅS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11137-2023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44987</v>
      </c>
      <c r="E170" s="1" t="n">
        <v>46256</v>
      </c>
      <c r="F170" t="inlineStr">
        <is>
          <t>VÄSTMANLANDS LÄN</t>
        </is>
      </c>
      <c r="G170" t="inlineStr">
        <is>
          <t>VÄSTERÅS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46256</v>
      </c>
      <c r="F171" t="inlineStr">
        <is>
          <t>VÄSTMANLANDS LÄN</t>
        </is>
      </c>
      <c r="G171" t="inlineStr">
        <is>
          <t>VÄSTERÅS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46256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46256</v>
      </c>
      <c r="F173" t="inlineStr">
        <is>
          <t>VÄSTMANLANDS LÄN</t>
        </is>
      </c>
      <c r="G173" t="inlineStr">
        <is>
          <t>VÄSTERÅS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46256</v>
      </c>
      <c r="F174" t="inlineStr">
        <is>
          <t>VÄSTMANLANDS LÄN</t>
        </is>
      </c>
      <c r="G174" t="inlineStr">
        <is>
          <t>VÄSTERÅS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45833</v>
      </c>
      <c r="E175" s="1" t="n">
        <v>46256</v>
      </c>
      <c r="F175" t="inlineStr">
        <is>
          <t>VÄSTMANLANDS LÄN</t>
        </is>
      </c>
      <c r="G175" t="inlineStr">
        <is>
          <t>VÄSTERÅS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18457-2023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45042</v>
      </c>
      <c r="E176" s="1" t="n">
        <v>46256</v>
      </c>
      <c r="F176" t="inlineStr">
        <is>
          <t>VÄSTMANLANDS LÄN</t>
        </is>
      </c>
      <c r="G176" t="inlineStr">
        <is>
          <t>VÄSTERÅS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46256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Sveaskog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44717</v>
      </c>
      <c r="E178" s="1" t="n">
        <v>46256</v>
      </c>
      <c r="F178" t="inlineStr">
        <is>
          <t>VÄSTMANLANDS LÄN</t>
        </is>
      </c>
      <c r="G178" t="inlineStr">
        <is>
          <t>VÄSTERÅS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44999</v>
      </c>
      <c r="E179" s="1" t="n">
        <v>46256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45279</v>
      </c>
      <c r="E180" s="1" t="n">
        <v>46256</v>
      </c>
      <c r="F180" t="inlineStr">
        <is>
          <t>VÄSTMANLANDS LÄN</t>
        </is>
      </c>
      <c r="G180" t="inlineStr">
        <is>
          <t>VÄSTERÅS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46256</v>
      </c>
      <c r="F181" t="inlineStr">
        <is>
          <t>VÄSTMANLANDS LÄN</t>
        </is>
      </c>
      <c r="G181" t="inlineStr">
        <is>
          <t>VÄSTERÅS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45456</v>
      </c>
      <c r="E182" s="1" t="n">
        <v>46256</v>
      </c>
      <c r="F182" t="inlineStr">
        <is>
          <t>VÄSTMANLANDS LÄN</t>
        </is>
      </c>
      <c r="G182" t="inlineStr">
        <is>
          <t>VÄSTERÅS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44635</v>
      </c>
      <c r="E183" s="1" t="n">
        <v>46256</v>
      </c>
      <c r="F183" t="inlineStr">
        <is>
          <t>VÄSTMANLANDS LÄN</t>
        </is>
      </c>
      <c r="G183" t="inlineStr">
        <is>
          <t>VÄSTERÅS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46256</v>
      </c>
      <c r="F184" t="inlineStr">
        <is>
          <t>VÄSTMANLANDS LÄN</t>
        </is>
      </c>
      <c r="G184" t="inlineStr">
        <is>
          <t>VÄSTERÅS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46256</v>
      </c>
      <c r="F185" t="inlineStr">
        <is>
          <t>VÄSTMANLANDS LÄN</t>
        </is>
      </c>
      <c r="G185" t="inlineStr">
        <is>
          <t>VÄSTERÅS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44680</v>
      </c>
      <c r="E186" s="1" t="n">
        <v>46256</v>
      </c>
      <c r="F186" t="inlineStr">
        <is>
          <t>VÄSTMANLANDS LÄN</t>
        </is>
      </c>
      <c r="G186" t="inlineStr">
        <is>
          <t>VÄSTERÅS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46256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46256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45628</v>
      </c>
      <c r="E189" s="1" t="n">
        <v>46256</v>
      </c>
      <c r="F189" t="inlineStr">
        <is>
          <t>VÄSTMANLANDS LÄN</t>
        </is>
      </c>
      <c r="G189" t="inlineStr">
        <is>
          <t>VÄSTERÅS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45125</v>
      </c>
      <c r="E190" s="1" t="n">
        <v>46256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44743</v>
      </c>
      <c r="E191" s="1" t="n">
        <v>46256</v>
      </c>
      <c r="F191" t="inlineStr">
        <is>
          <t>VÄSTMANLANDS LÄN</t>
        </is>
      </c>
      <c r="G191" t="inlineStr">
        <is>
          <t>VÄSTERÅS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64208-2023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46256</v>
      </c>
      <c r="F192" t="inlineStr">
        <is>
          <t>VÄSTMANLANDS LÄN</t>
        </is>
      </c>
      <c r="G192" t="inlineStr">
        <is>
          <t>VÄSTERÅS</t>
        </is>
      </c>
      <c r="I192" t="n">
        <v>13.9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46256</v>
      </c>
      <c r="F193" t="inlineStr">
        <is>
          <t>VÄSTMANLANDS LÄN</t>
        </is>
      </c>
      <c r="G193" t="inlineStr">
        <is>
          <t>VÄSTERÅS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46256</v>
      </c>
      <c r="F194" t="inlineStr">
        <is>
          <t>VÄSTMANLANDS LÄN</t>
        </is>
      </c>
      <c r="G194" t="inlineStr">
        <is>
          <t>VÄSTERÅS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44899</v>
      </c>
      <c r="E195" s="1" t="n">
        <v>46256</v>
      </c>
      <c r="F195" t="inlineStr">
        <is>
          <t>VÄSTMANLANDS LÄN</t>
        </is>
      </c>
      <c r="G195" t="inlineStr">
        <is>
          <t>VÄSTERÅS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45019</v>
      </c>
      <c r="E196" s="1" t="n">
        <v>46256</v>
      </c>
      <c r="F196" t="inlineStr">
        <is>
          <t>VÄSTMANLANDS LÄN</t>
        </is>
      </c>
      <c r="G196" t="inlineStr">
        <is>
          <t>VÄSTERÅS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39127-2022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44816</v>
      </c>
      <c r="E197" s="1" t="n">
        <v>46256</v>
      </c>
      <c r="F197" t="inlineStr">
        <is>
          <t>VÄSTMANLANDS LÄN</t>
        </is>
      </c>
      <c r="G197" t="inlineStr">
        <is>
          <t>VÄSTERÅS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46256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Allmännings- och besparingsskogar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44636</v>
      </c>
      <c r="E199" s="1" t="n">
        <v>46256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Kommuner</t>
        </is>
      </c>
      <c r="I199" t="n">
        <v>12.9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12148-2022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44636</v>
      </c>
      <c r="E200" s="1" t="n">
        <v>46256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Kommuner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46256</v>
      </c>
      <c r="F201" t="inlineStr">
        <is>
          <t>VÄSTMANLANDS LÄN</t>
        </is>
      </c>
      <c r="G201" t="inlineStr">
        <is>
          <t>VÄSTERÅS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32053-2023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46256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46256</v>
      </c>
      <c r="F203" t="inlineStr">
        <is>
          <t>VÄSTMANLANDS LÄN</t>
        </is>
      </c>
      <c r="G203" t="inlineStr">
        <is>
          <t>VÄSTERÅS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56532-2022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46256</v>
      </c>
      <c r="F204" t="inlineStr">
        <is>
          <t>VÄSTMANLANDS LÄN</t>
        </is>
      </c>
      <c r="G204" t="inlineStr">
        <is>
          <t>VÄSTERÅS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46256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44664</v>
      </c>
      <c r="E206" s="1" t="n">
        <v>46256</v>
      </c>
      <c r="F206" t="inlineStr">
        <is>
          <t>VÄSTMANLANDS LÄN</t>
        </is>
      </c>
      <c r="G206" t="inlineStr">
        <is>
          <t>VÄSTERÅS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44648</v>
      </c>
      <c r="E207" s="1" t="n">
        <v>46256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46256</v>
      </c>
      <c r="F208" t="inlineStr">
        <is>
          <t>VÄSTMANLANDS LÄN</t>
        </is>
      </c>
      <c r="G208" t="inlineStr">
        <is>
          <t>VÄSTERÅS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46256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46256</v>
      </c>
      <c r="F210" t="inlineStr">
        <is>
          <t>VÄSTMANLANDS LÄN</t>
        </is>
      </c>
      <c r="G210" t="inlineStr">
        <is>
          <t>VÄSTERÅS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46256</v>
      </c>
      <c r="F211" t="inlineStr">
        <is>
          <t>VÄSTMANLANDS LÄN</t>
        </is>
      </c>
      <c r="G211" t="inlineStr">
        <is>
          <t>VÄSTERÅS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46256</v>
      </c>
      <c r="F212" t="inlineStr">
        <is>
          <t>VÄSTMANLANDS LÄN</t>
        </is>
      </c>
      <c r="G212" t="inlineStr">
        <is>
          <t>VÄSTERÅS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45019</v>
      </c>
      <c r="E213" s="1" t="n">
        <v>46256</v>
      </c>
      <c r="F213" t="inlineStr">
        <is>
          <t>VÄSTMANLANDS LÄN</t>
        </is>
      </c>
      <c r="G213" t="inlineStr">
        <is>
          <t>VÄSTERÅS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45019</v>
      </c>
      <c r="E214" s="1" t="n">
        <v>46256</v>
      </c>
      <c r="F214" t="inlineStr">
        <is>
          <t>VÄSTMANLANDS LÄN</t>
        </is>
      </c>
      <c r="G214" t="inlineStr">
        <is>
          <t>VÄSTERÅS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46256</v>
      </c>
      <c r="F215" t="inlineStr">
        <is>
          <t>VÄSTMANLANDS LÄN</t>
        </is>
      </c>
      <c r="G215" t="inlineStr">
        <is>
          <t>VÄSTERÅS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18482-2023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45042</v>
      </c>
      <c r="E216" s="1" t="n">
        <v>46256</v>
      </c>
      <c r="F216" t="inlineStr">
        <is>
          <t>VÄSTMANLANDS LÄN</t>
        </is>
      </c>
      <c r="G216" t="inlineStr">
        <is>
          <t>VÄSTERÅS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46256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46256</v>
      </c>
      <c r="F218" t="inlineStr">
        <is>
          <t>VÄSTMANLANDS LÄN</t>
        </is>
      </c>
      <c r="G218" t="inlineStr">
        <is>
          <t>VÄSTERÅS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46256</v>
      </c>
      <c r="F219" t="inlineStr">
        <is>
          <t>VÄSTMANLANDS LÄN</t>
        </is>
      </c>
      <c r="G219" t="inlineStr">
        <is>
          <t>VÄSTERÅS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58085-2022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46256</v>
      </c>
      <c r="F220" t="inlineStr">
        <is>
          <t>VÄSTMANLANDS LÄN</t>
        </is>
      </c>
      <c r="G220" t="inlineStr">
        <is>
          <t>VÄSTERÅS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46215</v>
      </c>
      <c r="E221" s="1" t="n">
        <v>46256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46215</v>
      </c>
      <c r="E222" s="1" t="n">
        <v>46256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46215</v>
      </c>
      <c r="E223" s="1" t="n">
        <v>46256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46256</v>
      </c>
      <c r="F224" t="inlineStr">
        <is>
          <t>VÄSTMANLANDS LÄN</t>
        </is>
      </c>
      <c r="G224" t="inlineStr">
        <is>
          <t>VÄSTERÅS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45832</v>
      </c>
      <c r="E225" s="1" t="n">
        <v>46256</v>
      </c>
      <c r="F225" t="inlineStr">
        <is>
          <t>VÄSTMANLANDS LÄN</t>
        </is>
      </c>
      <c r="G225" t="inlineStr">
        <is>
          <t>VÄSTERÅS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46215</v>
      </c>
      <c r="E226" s="1" t="n">
        <v>46256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46215</v>
      </c>
      <c r="E227" s="1" t="n">
        <v>46256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46256</v>
      </c>
      <c r="F228" t="inlineStr">
        <is>
          <t>VÄSTMANLANDS LÄN</t>
        </is>
      </c>
      <c r="G228" t="inlineStr">
        <is>
          <t>VÄSTERÅS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46215</v>
      </c>
      <c r="E229" s="1" t="n">
        <v>46256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45083</v>
      </c>
      <c r="E230" s="1" t="n">
        <v>46256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7797-2026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46062</v>
      </c>
      <c r="E231" s="1" t="n">
        <v>46256</v>
      </c>
      <c r="F231" t="inlineStr">
        <is>
          <t>VÄSTMANLANDS LÄN</t>
        </is>
      </c>
      <c r="G231" t="inlineStr">
        <is>
          <t>VÄSTERÅS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45400</v>
      </c>
      <c r="E232" s="1" t="n">
        <v>46256</v>
      </c>
      <c r="F232" t="inlineStr">
        <is>
          <t>VÄSTMANLANDS LÄN</t>
        </is>
      </c>
      <c r="G232" t="inlineStr">
        <is>
          <t>VÄSTERÅS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44606</v>
      </c>
      <c r="E233" s="1" t="n">
        <v>46256</v>
      </c>
      <c r="F233" t="inlineStr">
        <is>
          <t>VÄSTMANLANDS LÄN</t>
        </is>
      </c>
      <c r="G233" t="inlineStr">
        <is>
          <t>VÄSTERÅS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45735</v>
      </c>
      <c r="E234" s="1" t="n">
        <v>46256</v>
      </c>
      <c r="F234" t="inlineStr">
        <is>
          <t>VÄSTMANLANDS LÄN</t>
        </is>
      </c>
      <c r="G234" t="inlineStr">
        <is>
          <t>VÄSTERÅS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46256</v>
      </c>
      <c r="F235" t="inlineStr">
        <is>
          <t>VÄSTMANLANDS LÄN</t>
        </is>
      </c>
      <c r="G235" t="inlineStr">
        <is>
          <t>VÄSTERÅS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67352-2021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44523</v>
      </c>
      <c r="E236" s="1" t="n">
        <v>46256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Övriga Aktiebolag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46256</v>
      </c>
      <c r="F237" t="inlineStr">
        <is>
          <t>VÄSTMANLANDS LÄN</t>
        </is>
      </c>
      <c r="G237" t="inlineStr">
        <is>
          <t>VÄSTERÅS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45579</v>
      </c>
      <c r="E238" s="1" t="n">
        <v>46256</v>
      </c>
      <c r="F238" t="inlineStr">
        <is>
          <t>VÄSTMANLANDS LÄN</t>
        </is>
      </c>
      <c r="G238" t="inlineStr">
        <is>
          <t>VÄSTERÅS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46256</v>
      </c>
      <c r="F239" t="inlineStr">
        <is>
          <t>VÄSTMANLANDS LÄN</t>
        </is>
      </c>
      <c r="G239" t="inlineStr">
        <is>
          <t>VÄSTERÅS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52027-2025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45952</v>
      </c>
      <c r="E240" s="1" t="n">
        <v>46256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Övriga statliga verk och myndigheter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46256</v>
      </c>
      <c r="F241" t="inlineStr">
        <is>
          <t>VÄSTMANLANDS LÄN</t>
        </is>
      </c>
      <c r="G241" t="inlineStr">
        <is>
          <t>VÄSTERÅS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44901</v>
      </c>
      <c r="E242" s="1" t="n">
        <v>46256</v>
      </c>
      <c r="F242" t="inlineStr">
        <is>
          <t>VÄSTMANLANDS LÄN</t>
        </is>
      </c>
      <c r="G242" t="inlineStr">
        <is>
          <t>VÄSTERÅS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46256</v>
      </c>
      <c r="F243" t="inlineStr">
        <is>
          <t>VÄSTMANLANDS LÄN</t>
        </is>
      </c>
      <c r="G243" t="inlineStr">
        <is>
          <t>VÄSTERÅS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44594</v>
      </c>
      <c r="E244" s="1" t="n">
        <v>46256</v>
      </c>
      <c r="F244" t="inlineStr">
        <is>
          <t>VÄSTMANLANDS LÄN</t>
        </is>
      </c>
      <c r="G244" t="inlineStr">
        <is>
          <t>VÄSTERÅS</t>
        </is>
      </c>
      <c r="I244" t="n">
        <v>20.3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46256</v>
      </c>
      <c r="F245" t="inlineStr">
        <is>
          <t>VÄSTMANLANDS LÄN</t>
        </is>
      </c>
      <c r="G245" t="inlineStr">
        <is>
          <t>VÄSTERÅS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46078</v>
      </c>
      <c r="E246" s="1" t="n">
        <v>46256</v>
      </c>
      <c r="F246" t="inlineStr">
        <is>
          <t>VÄSTMANLANDS LÄN</t>
        </is>
      </c>
      <c r="G246" t="inlineStr">
        <is>
          <t>VÄSTERÅS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46256</v>
      </c>
      <c r="F247" t="inlineStr">
        <is>
          <t>VÄSTMANLANDS LÄN</t>
        </is>
      </c>
      <c r="G247" t="inlineStr">
        <is>
          <t>VÄSTERÅS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46256</v>
      </c>
      <c r="F248" t="inlineStr">
        <is>
          <t>VÄSTMANLANDS LÄN</t>
        </is>
      </c>
      <c r="G248" t="inlineStr">
        <is>
          <t>VÄSTERÅS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46256</v>
      </c>
      <c r="F249" t="inlineStr">
        <is>
          <t>VÄSTMANLANDS LÄN</t>
        </is>
      </c>
      <c r="G249" t="inlineStr">
        <is>
          <t>VÄSTERÅS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46256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Allmännings- och besparingsskogar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45264</v>
      </c>
      <c r="E251" s="1" t="n">
        <v>46256</v>
      </c>
      <c r="F251" t="inlineStr">
        <is>
          <t>VÄSTMANLANDS LÄN</t>
        </is>
      </c>
      <c r="G251" t="inlineStr">
        <is>
          <t>VÄSTERÅS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46256</v>
      </c>
      <c r="F252" t="inlineStr">
        <is>
          <t>VÄSTMANLANDS LÄN</t>
        </is>
      </c>
      <c r="G252" t="inlineStr">
        <is>
          <t>VÄSTERÅS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46256</v>
      </c>
      <c r="F253" t="inlineStr">
        <is>
          <t>VÄSTMANLANDS LÄN</t>
        </is>
      </c>
      <c r="G253" t="inlineStr">
        <is>
          <t>VÄSTERÅS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18467-2023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45042</v>
      </c>
      <c r="E254" s="1" t="n">
        <v>46256</v>
      </c>
      <c r="F254" t="inlineStr">
        <is>
          <t>VÄSTMANLANDS LÄN</t>
        </is>
      </c>
      <c r="G254" t="inlineStr">
        <is>
          <t>VÄSTERÅS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46256</v>
      </c>
      <c r="F255" t="inlineStr">
        <is>
          <t>VÄSTMANLANDS LÄN</t>
        </is>
      </c>
      <c r="G255" t="inlineStr">
        <is>
          <t>VÄSTERÅS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45457</v>
      </c>
      <c r="E256" s="1" t="n">
        <v>46256</v>
      </c>
      <c r="F256" t="inlineStr">
        <is>
          <t>VÄSTMANLANDS LÄN</t>
        </is>
      </c>
      <c r="G256" t="inlineStr">
        <is>
          <t>VÄSTERÅS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46256</v>
      </c>
      <c r="F257" t="inlineStr">
        <is>
          <t>VÄSTMANLANDS LÄN</t>
        </is>
      </c>
      <c r="G257" t="inlineStr">
        <is>
          <t>VÄSTERÅS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39817-2024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46256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Kyrkan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46256</v>
      </c>
      <c r="F259" t="inlineStr">
        <is>
          <t>VÄSTMANLANDS LÄN</t>
        </is>
      </c>
      <c r="G259" t="inlineStr">
        <is>
          <t>VÄSTERÅS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46256</v>
      </c>
      <c r="F260" t="inlineStr">
        <is>
          <t>VÄSTMANLANDS LÄN</t>
        </is>
      </c>
      <c r="G260" t="inlineStr">
        <is>
          <t>VÄSTERÅS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67350-2021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44523</v>
      </c>
      <c r="E261" s="1" t="n">
        <v>46256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44623</v>
      </c>
      <c r="E262" s="1" t="n">
        <v>46256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46256</v>
      </c>
      <c r="F263" t="inlineStr">
        <is>
          <t>VÄSTMANLANDS LÄN</t>
        </is>
      </c>
      <c r="G263" t="inlineStr">
        <is>
          <t>VÄSTERÅS</t>
        </is>
      </c>
      <c r="I263" t="n">
        <v>14.1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16685-2026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46112</v>
      </c>
      <c r="E264" s="1" t="n">
        <v>46256</v>
      </c>
      <c r="F264" t="inlineStr">
        <is>
          <t>VÄSTMANLANDS LÄN</t>
        </is>
      </c>
      <c r="G264" t="inlineStr">
        <is>
          <t>VÄSTERÅS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46112</v>
      </c>
      <c r="E265" s="1" t="n">
        <v>46256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46256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46112</v>
      </c>
      <c r="E267" s="1" t="n">
        <v>46256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Sveaskog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46256</v>
      </c>
      <c r="F268" t="inlineStr">
        <is>
          <t>VÄSTMANLANDS LÄN</t>
        </is>
      </c>
      <c r="G268" t="inlineStr">
        <is>
          <t>VÄSTERÅS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46256</v>
      </c>
      <c r="F269" t="inlineStr">
        <is>
          <t>VÄSTMANLANDS LÄN</t>
        </is>
      </c>
      <c r="G269" t="inlineStr">
        <is>
          <t>VÄSTERÅS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45033</v>
      </c>
      <c r="E270" s="1" t="n">
        <v>46256</v>
      </c>
      <c r="F270" t="inlineStr">
        <is>
          <t>VÄSTMANLANDS LÄN</t>
        </is>
      </c>
      <c r="G270" t="inlineStr">
        <is>
          <t>VÄSTERÅS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73994-2021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44556</v>
      </c>
      <c r="E271" s="1" t="n">
        <v>46256</v>
      </c>
      <c r="F271" t="inlineStr">
        <is>
          <t>VÄSTMANLANDS LÄN</t>
        </is>
      </c>
      <c r="G271" t="inlineStr">
        <is>
          <t>VÄSTERÅS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46120</v>
      </c>
      <c r="E272" s="1" t="n">
        <v>46256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Allmännings- och besparingsskogar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46256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Kommuner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46256</v>
      </c>
      <c r="F274" t="inlineStr">
        <is>
          <t>VÄSTMANLANDS LÄN</t>
        </is>
      </c>
      <c r="G274" t="inlineStr">
        <is>
          <t>VÄSTERÅS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50987-2024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46256</v>
      </c>
      <c r="F275" t="inlineStr">
        <is>
          <t>VÄSTMANLANDS LÄN</t>
        </is>
      </c>
      <c r="G275" t="inlineStr">
        <is>
          <t>VÄSTERÅS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34461-2022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44792</v>
      </c>
      <c r="E276" s="1" t="n">
        <v>46256</v>
      </c>
      <c r="F276" t="inlineStr">
        <is>
          <t>VÄSTMANLANDS LÄN</t>
        </is>
      </c>
      <c r="G276" t="inlineStr">
        <is>
          <t>VÄSTERÅS</t>
        </is>
      </c>
      <c r="I276" t="n">
        <v>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46256</v>
      </c>
      <c r="F277" t="inlineStr">
        <is>
          <t>VÄSTMANLANDS LÄN</t>
        </is>
      </c>
      <c r="G277" t="inlineStr">
        <is>
          <t>VÄSTERÅS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44874</v>
      </c>
      <c r="E278" s="1" t="n">
        <v>46256</v>
      </c>
      <c r="F278" t="inlineStr">
        <is>
          <t>VÄSTMANLANDS LÄN</t>
        </is>
      </c>
      <c r="G278" t="inlineStr">
        <is>
          <t>VÄSTERÅS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44708</v>
      </c>
      <c r="E279" s="1" t="n">
        <v>46256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Sveaskog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46135</v>
      </c>
      <c r="E280" s="1" t="n">
        <v>46256</v>
      </c>
      <c r="F280" t="inlineStr">
        <is>
          <t>VÄSTMANLANDS LÄN</t>
        </is>
      </c>
      <c r="G280" t="inlineStr">
        <is>
          <t>VÄSTERÅS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44755</v>
      </c>
      <c r="E281" s="1" t="n">
        <v>46256</v>
      </c>
      <c r="F281" t="inlineStr">
        <is>
          <t>VÄSTMANLANDS LÄN</t>
        </is>
      </c>
      <c r="G281" t="inlineStr">
        <is>
          <t>VÄSTERÅS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67353-2021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44523</v>
      </c>
      <c r="E282" s="1" t="n">
        <v>46256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Aktiebolag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46256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56980-2021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44482</v>
      </c>
      <c r="E284" s="1" t="n">
        <v>46256</v>
      </c>
      <c r="F284" t="inlineStr">
        <is>
          <t>VÄSTMANLANDS LÄN</t>
        </is>
      </c>
      <c r="G284" t="inlineStr">
        <is>
          <t>VÄSTERÅS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45705</v>
      </c>
      <c r="E285" s="1" t="n">
        <v>46256</v>
      </c>
      <c r="F285" t="inlineStr">
        <is>
          <t>VÄSTMANLANDS LÄN</t>
        </is>
      </c>
      <c r="G285" t="inlineStr">
        <is>
          <t>VÄSTERÅS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45713</v>
      </c>
      <c r="E286" s="1" t="n">
        <v>46256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15201-2022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44658</v>
      </c>
      <c r="E287" s="1" t="n">
        <v>46256</v>
      </c>
      <c r="F287" t="inlineStr">
        <is>
          <t>VÄSTMANLANDS LÄN</t>
        </is>
      </c>
      <c r="G287" t="inlineStr">
        <is>
          <t>VÄSTERÅS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58960-2022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44903</v>
      </c>
      <c r="E288" s="1" t="n">
        <v>46256</v>
      </c>
      <c r="F288" t="inlineStr">
        <is>
          <t>VÄSTMANLANDS LÄN</t>
        </is>
      </c>
      <c r="G288" t="inlineStr">
        <is>
          <t>VÄSTERÅS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46256</v>
      </c>
      <c r="F289" t="inlineStr">
        <is>
          <t>VÄSTMANLANDS LÄN</t>
        </is>
      </c>
      <c r="G289" t="inlineStr">
        <is>
          <t>VÄSTERÅS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46256</v>
      </c>
      <c r="F290" t="inlineStr">
        <is>
          <t>VÄSTMANLANDS LÄN</t>
        </is>
      </c>
      <c r="G290" t="inlineStr">
        <is>
          <t>VÄSTERÅS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46256</v>
      </c>
      <c r="F291" t="inlineStr">
        <is>
          <t>VÄSTMANLANDS LÄN</t>
        </is>
      </c>
      <c r="G291" t="inlineStr">
        <is>
          <t>VÄSTERÅS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46256</v>
      </c>
      <c r="F292" t="inlineStr">
        <is>
          <t>VÄSTMANLANDS LÄN</t>
        </is>
      </c>
      <c r="G292" t="inlineStr">
        <is>
          <t>VÄSTERÅS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46256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46256</v>
      </c>
      <c r="F294" t="inlineStr">
        <is>
          <t>VÄSTMANLANDS LÄN</t>
        </is>
      </c>
      <c r="G294" t="inlineStr">
        <is>
          <t>VÄSTERÅS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8727-2023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44978</v>
      </c>
      <c r="E295" s="1" t="n">
        <v>46256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Kyrkan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16214-2023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45028</v>
      </c>
      <c r="E296" s="1" t="n">
        <v>46256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46213</v>
      </c>
      <c r="E297" s="1" t="n">
        <v>46256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46217</v>
      </c>
      <c r="E298" s="1" t="n">
        <v>46256</v>
      </c>
      <c r="F298" t="inlineStr">
        <is>
          <t>VÄSTMANLANDS LÄN</t>
        </is>
      </c>
      <c r="G298" t="inlineStr">
        <is>
          <t>VÄSTERÅS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19927-2026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46136</v>
      </c>
      <c r="E299" s="1" t="n">
        <v>46256</v>
      </c>
      <c r="F299" t="inlineStr">
        <is>
          <t>VÄSTMANLANDS LÄN</t>
        </is>
      </c>
      <c r="G299" t="inlineStr">
        <is>
          <t>VÄSTERÅS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46256</v>
      </c>
      <c r="F300" t="inlineStr">
        <is>
          <t>VÄSTMANLANDS LÄN</t>
        </is>
      </c>
      <c r="G300" t="inlineStr">
        <is>
          <t>VÄSTERÅS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46256</v>
      </c>
      <c r="F301" t="inlineStr">
        <is>
          <t>VÄSTMANLANDS LÄN</t>
        </is>
      </c>
      <c r="G301" t="inlineStr">
        <is>
          <t>VÄSTERÅS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45366</v>
      </c>
      <c r="E302" s="1" t="n">
        <v>46256</v>
      </c>
      <c r="F302" t="inlineStr">
        <is>
          <t>VÄSTMANLANDS LÄN</t>
        </is>
      </c>
      <c r="G302" t="inlineStr">
        <is>
          <t>VÄSTERÅS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46256</v>
      </c>
      <c r="F303" t="inlineStr">
        <is>
          <t>VÄSTMANLANDS LÄN</t>
        </is>
      </c>
      <c r="G303" t="inlineStr">
        <is>
          <t>VÄSTERÅS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70642-2021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44537</v>
      </c>
      <c r="E304" s="1" t="n">
        <v>46256</v>
      </c>
      <c r="F304" t="inlineStr">
        <is>
          <t>VÄSTMANLANDS LÄN</t>
        </is>
      </c>
      <c r="G304" t="inlineStr">
        <is>
          <t>VÄSTERÅS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46256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64793-2023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45282</v>
      </c>
      <c r="E306" s="1" t="n">
        <v>46256</v>
      </c>
      <c r="F306" t="inlineStr">
        <is>
          <t>VÄSTMANLANDS LÄN</t>
        </is>
      </c>
      <c r="G306" t="inlineStr">
        <is>
          <t>VÄSTERÅS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45296</v>
      </c>
      <c r="E307" s="1" t="n">
        <v>46256</v>
      </c>
      <c r="F307" t="inlineStr">
        <is>
          <t>VÄSTMANLANDS LÄN</t>
        </is>
      </c>
      <c r="G307" t="inlineStr">
        <is>
          <t>VÄSTERÅS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17808-2023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45037</v>
      </c>
      <c r="E308" s="1" t="n">
        <v>46256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46256</v>
      </c>
      <c r="F309" t="inlineStr">
        <is>
          <t>VÄSTMANLANDS LÄN</t>
        </is>
      </c>
      <c r="G309" t="inlineStr">
        <is>
          <t>VÄSTERÅS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73597-2021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44552</v>
      </c>
      <c r="E310" s="1" t="n">
        <v>46256</v>
      </c>
      <c r="F310" t="inlineStr">
        <is>
          <t>VÄSTMANLANDS LÄN</t>
        </is>
      </c>
      <c r="G310" t="inlineStr">
        <is>
          <t>VÄSTERÅS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46256</v>
      </c>
      <c r="F311" t="inlineStr">
        <is>
          <t>VÄSTMANLANDS LÄN</t>
        </is>
      </c>
      <c r="G311" t="inlineStr">
        <is>
          <t>VÄSTERÅS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45448</v>
      </c>
      <c r="E312" s="1" t="n">
        <v>46256</v>
      </c>
      <c r="F312" t="inlineStr">
        <is>
          <t>VÄSTMANLANDS LÄN</t>
        </is>
      </c>
      <c r="G312" t="inlineStr">
        <is>
          <t>VÄSTERÅS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44657</v>
      </c>
      <c r="E313" s="1" t="n">
        <v>46256</v>
      </c>
      <c r="F313" t="inlineStr">
        <is>
          <t>VÄSTMANLANDS LÄN</t>
        </is>
      </c>
      <c r="G313" t="inlineStr">
        <is>
          <t>VÄSTERÅS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46154</v>
      </c>
      <c r="E314" s="1" t="n">
        <v>46256</v>
      </c>
      <c r="F314" t="inlineStr">
        <is>
          <t>VÄSTMANLANDS LÄN</t>
        </is>
      </c>
      <c r="G314" t="inlineStr">
        <is>
          <t>VÄSTERÅS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46154</v>
      </c>
      <c r="E315" s="1" t="n">
        <v>46256</v>
      </c>
      <c r="F315" t="inlineStr">
        <is>
          <t>VÄSTMANLANDS LÄN</t>
        </is>
      </c>
      <c r="G315" t="inlineStr">
        <is>
          <t>VÄSTERÅS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46154</v>
      </c>
      <c r="E316" s="1" t="n">
        <v>46256</v>
      </c>
      <c r="F316" t="inlineStr">
        <is>
          <t>VÄSTMANLANDS LÄN</t>
        </is>
      </c>
      <c r="G316" t="inlineStr">
        <is>
          <t>VÄSTERÅS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22294-2026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46256</v>
      </c>
      <c r="F317" t="inlineStr">
        <is>
          <t>VÄSTMANLANDS LÄN</t>
        </is>
      </c>
      <c r="G317" t="inlineStr">
        <is>
          <t>VÄSTERÅS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46154</v>
      </c>
      <c r="E318" s="1" t="n">
        <v>46256</v>
      </c>
      <c r="F318" t="inlineStr">
        <is>
          <t>VÄSTMANLANDS LÄN</t>
        </is>
      </c>
      <c r="G318" t="inlineStr">
        <is>
          <t>VÄSTERÅS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45378</v>
      </c>
      <c r="E319" s="1" t="n">
        <v>46256</v>
      </c>
      <c r="F319" t="inlineStr">
        <is>
          <t>VÄSTMANLANDS LÄN</t>
        </is>
      </c>
      <c r="G319" t="inlineStr">
        <is>
          <t>VÄSTERÅS</t>
        </is>
      </c>
      <c r="I319" t="n">
        <v>15.4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46256</v>
      </c>
      <c r="F320" t="inlineStr">
        <is>
          <t>VÄSTMANLANDS LÄN</t>
        </is>
      </c>
      <c r="G320" t="inlineStr">
        <is>
          <t>VÄSTERÅS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46162</v>
      </c>
      <c r="E321" s="1" t="n">
        <v>46256</v>
      </c>
      <c r="F321" t="inlineStr">
        <is>
          <t>VÄSTMANLANDS LÄN</t>
        </is>
      </c>
      <c r="G321" t="inlineStr">
        <is>
          <t>VÄSTERÅS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45506</v>
      </c>
      <c r="E322" s="1" t="n">
        <v>46256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45545</v>
      </c>
      <c r="E323" s="1" t="n">
        <v>46256</v>
      </c>
      <c r="F323" t="inlineStr">
        <is>
          <t>VÄSTMANLANDS LÄN</t>
        </is>
      </c>
      <c r="G323" t="inlineStr">
        <is>
          <t>VÄSTERÅS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951-2020</t>
        </is>
      </c>
      <c r="B324" t="inlineStr">
        <is>
          <t>samrådsanmälan</t>
        </is>
      </c>
      <c r="C324" t="inlineStr">
        <is>
          <t>Åtgärd i nyckelbiotop</t>
        </is>
      </c>
      <c r="D324" s="1" t="n">
        <v>43948</v>
      </c>
      <c r="E324" s="1" t="n">
        <v>46256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Kommuner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3639-2022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44740</v>
      </c>
      <c r="E325" s="1" t="n">
        <v>46256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953-2023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45005</v>
      </c>
      <c r="E326" s="1" t="n">
        <v>46256</v>
      </c>
      <c r="F326" t="inlineStr">
        <is>
          <t>VÄSTMANLANDS LÄN</t>
        </is>
      </c>
      <c r="G326" t="inlineStr">
        <is>
          <t>VÄSTERÅS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1415-2022</t>
        </is>
      </c>
      <c r="B327" t="inlineStr">
        <is>
          <t>samrådsanmälan</t>
        </is>
      </c>
      <c r="C327" t="inlineStr">
        <is>
          <t>Skogsbilväg</t>
        </is>
      </c>
      <c r="D327" s="1" t="n">
        <v>44634</v>
      </c>
      <c r="E327" s="1" t="n">
        <v>46256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Kyrkan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696-2026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46091</v>
      </c>
      <c r="E328" s="1" t="n">
        <v>46256</v>
      </c>
      <c r="F328" t="inlineStr">
        <is>
          <t>VÄSTMANLANDS LÄN</t>
        </is>
      </c>
      <c r="G328" t="inlineStr">
        <is>
          <t>VÄSTERÅS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949-2026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46113</v>
      </c>
      <c r="E329" s="1" t="n">
        <v>46256</v>
      </c>
      <c r="F329" t="inlineStr">
        <is>
          <t>VÄSTMANLANDS LÄN</t>
        </is>
      </c>
      <c r="G329" t="inlineStr">
        <is>
          <t>VÄSTERÅS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1468-2026</t>
        </is>
      </c>
      <c r="B330" t="inlineStr">
        <is>
          <t>samrådsanmälan</t>
        </is>
      </c>
      <c r="C330" t="inlineStr">
        <is>
          <t>Dikesrensning</t>
        </is>
      </c>
      <c r="D330" s="1" t="n">
        <v>46134</v>
      </c>
      <c r="E330" s="1" t="n">
        <v>46256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Sveaskog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2026-08-22T01:51:07Z</dcterms:created>
  <dcterms:modified xmlns:dcterms="http://purl.org/dc/terms/" xmlns:xsi="http://www.w3.org/2001/XMLSchema-instance" xsi:type="dcterms:W3CDTF">2026-08-22T01:51:07Z</dcterms:modified>
</cp:coreProperties>
</file>