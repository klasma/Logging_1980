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46274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46274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46274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46274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46274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46274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46274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46274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46274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46274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46274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46274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46274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46274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46274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46274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46274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46274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46274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46274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46274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46274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46274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46274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6249-2024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45337</v>
      </c>
      <c r="E26" s="1" t="n">
        <v>46274</v>
      </c>
      <c r="F26" t="inlineStr">
        <is>
          <t>VÄSTMANLANDS LÄN</t>
        </is>
      </c>
      <c r="G26" t="inlineStr">
        <is>
          <t>VÄSTERÅS</t>
        </is>
      </c>
      <c r="I26" t="n">
        <v>6.5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Blåsippa
Kungsfågel</t>
        </is>
      </c>
      <c r="W26">
        <f>HYPERLINK("https://klasma.github.io/Logging_1980/artfynd/A 6249-2024 artfynd.xlsx", "A 6249-2024")</f>
        <v/>
      </c>
      <c r="X26">
        <f>HYPERLINK("https://klasma.github.io/Logging_1980/kartor/A 6249-2024 karta.png", "A 6249-2024")</f>
        <v/>
      </c>
      <c r="Y26">
        <f>HYPERLINK("https://klasma.github.io/Logging_1980/kartor_geotiff/A 6249-2024 georefererad karta.tif", "A 6249-2024")</f>
        <v/>
      </c>
      <c r="AA26">
        <f>HYPERLINK("https://klasma.github.io/Logging_1980/klagomål/A 6249-2024 FSC-klagomål.docx", "A 6249-2024")</f>
        <v/>
      </c>
      <c r="AB26">
        <f>HYPERLINK("https://klasma.github.io/Logging_1980/klagomålsmail/A 6249-2024 FSC-klagomål mail.docx", "A 6249-2024")</f>
        <v/>
      </c>
      <c r="AC26">
        <f>HYPERLINK("https://klasma.github.io/Logging_1980/tillsyn/A 6249-2024 tillsynsbegäran.docx", "A 6249-2024")</f>
        <v/>
      </c>
      <c r="AD26">
        <f>HYPERLINK("https://klasma.github.io/Logging_1980/tillsynsmail/A 6249-2024 tillsynsbegäran mail.docx", "A 6249-2024")</f>
        <v/>
      </c>
      <c r="AE26">
        <f>HYPERLINK("https://klasma.github.io/Logging_1980/fåglar/A 6249-2024 prioriterade fågelarter.docx", "A 6249-2024")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46274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46274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46274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46274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46274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46274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46274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46274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46274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46274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59143-2025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46274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12.4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Fiskgjuse</t>
        </is>
      </c>
      <c r="W37">
        <f>HYPERLINK("https://klasma.github.io/Logging_1980/artfynd/A 59143-2025 artfynd.xlsx", "A 59143-2025")</f>
        <v/>
      </c>
      <c r="X37">
        <f>HYPERLINK("https://klasma.github.io/Logging_1980/kartor/A 59143-2025 karta.png", "A 59143-2025")</f>
        <v/>
      </c>
      <c r="Y37">
        <f>HYPERLINK("https://klasma.github.io/Logging_1980/kartor_geotiff/A 59143-2025 georefererad karta.tif", "A 59143-2025")</f>
        <v/>
      </c>
      <c r="AA37">
        <f>HYPERLINK("https://klasma.github.io/Logging_1980/klagomål/A 59143-2025 FSC-klagomål.docx", "A 59143-2025")</f>
        <v/>
      </c>
      <c r="AB37">
        <f>HYPERLINK("https://klasma.github.io/Logging_1980/klagomålsmail/A 59143-2025 FSC-klagomål mail.docx", "A 59143-2025")</f>
        <v/>
      </c>
      <c r="AC37">
        <f>HYPERLINK("https://klasma.github.io/Logging_1980/tillsyn/A 59143-2025 tillsynsbegäran.docx", "A 59143-2025")</f>
        <v/>
      </c>
      <c r="AD37">
        <f>HYPERLINK("https://klasma.github.io/Logging_1980/tillsynsmail/A 59143-2025 tillsynsbegäran mail.docx", "A 59143-2025")</f>
        <v/>
      </c>
      <c r="AE37">
        <f>HYPERLINK("https://klasma.github.io/Logging_1980/fåglar/A 59143-2025 prioriterade fågelarter.docx", "A 59143-2025")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46274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46274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46274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46274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46274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46274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46274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46274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46274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46274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46274</v>
      </c>
      <c r="F48" t="inlineStr">
        <is>
          <t>VÄSTMANLANDS LÄN</t>
        </is>
      </c>
      <c r="G48" t="inlineStr">
        <is>
          <t>VÄSTERÅS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Brunklöver</t>
        </is>
      </c>
      <c r="W48">
        <f>HYPERLINK("https://klasma.github.io/Logging_1980/artfynd/A 5363-2025 artfynd.xlsx", "A 5363-2025")</f>
        <v/>
      </c>
      <c r="X48">
        <f>HYPERLINK("https://klasma.github.io/Logging_1980/kartor/A 5363-2025 karta.png", "A 5363-2025")</f>
        <v/>
      </c>
      <c r="Y48">
        <f>HYPERLINK("https://klasma.github.io/Logging_1980/kartor_geotiff/A 5363-2025 georefererad karta.tif", "A 5363-2025")</f>
        <v/>
      </c>
      <c r="AA48">
        <f>HYPERLINK("https://klasma.github.io/Logging_1980/klagomål/A 5363-2025 FSC-klagomål.docx", "A 5363-2025")</f>
        <v/>
      </c>
      <c r="AB48">
        <f>HYPERLINK("https://klasma.github.io/Logging_1980/klagomålsmail/A 5363-2025 FSC-klagomål mail.docx", "A 5363-2025")</f>
        <v/>
      </c>
      <c r="AC48">
        <f>HYPERLINK("https://klasma.github.io/Logging_1980/tillsyn/A 5363-2025 tillsynsbegäran.docx", "A 5363-2025")</f>
        <v/>
      </c>
      <c r="AD48">
        <f>HYPERLINK("https://klasma.github.io/Logging_1980/tillsynsmail/A 5363-2025 tillsynsbegäran mail.docx", "A 5363-2025")</f>
        <v/>
      </c>
    </row>
    <row r="49" ht="15" customHeight="1">
      <c r="A49" t="inlineStr">
        <is>
          <t>A 1594-2023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46274</v>
      </c>
      <c r="F49" t="inlineStr">
        <is>
          <t>VÄSTMANLANDS LÄN</t>
        </is>
      </c>
      <c r="G49" t="inlineStr">
        <is>
          <t>VÄSTERÅS</t>
        </is>
      </c>
      <c r="I49" t="n">
        <v>10.9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Sparvuggla</t>
        </is>
      </c>
      <c r="W49">
        <f>HYPERLINK("https://klasma.github.io/Logging_1980/artfynd/A 1594-2023 artfynd.xlsx", "A 1594-2023")</f>
        <v/>
      </c>
      <c r="X49">
        <f>HYPERLINK("https://klasma.github.io/Logging_1980/kartor/A 1594-2023 karta.png", "A 1594-2023")</f>
        <v/>
      </c>
      <c r="Y49">
        <f>HYPERLINK("https://klasma.github.io/Logging_1980/kartor_geotiff/A 1594-2023 georefererad karta.tif", "A 1594-2023")</f>
        <v/>
      </c>
      <c r="AA49">
        <f>HYPERLINK("https://klasma.github.io/Logging_1980/klagomål/A 1594-2023 FSC-klagomål.docx", "A 1594-2023")</f>
        <v/>
      </c>
      <c r="AB49">
        <f>HYPERLINK("https://klasma.github.io/Logging_1980/klagomålsmail/A 1594-2023 FSC-klagomål mail.docx", "A 1594-2023")</f>
        <v/>
      </c>
      <c r="AC49">
        <f>HYPERLINK("https://klasma.github.io/Logging_1980/tillsyn/A 1594-2023 tillsynsbegäran.docx", "A 1594-2023")</f>
        <v/>
      </c>
      <c r="AD49">
        <f>HYPERLINK("https://klasma.github.io/Logging_1980/tillsynsmail/A 1594-2023 tillsynsbegäran mail.docx", "A 1594-2023")</f>
        <v/>
      </c>
      <c r="AE49">
        <f>HYPERLINK("https://klasma.github.io/Logging_1980/fåglar/A 1594-2023 prioriterade fågelarter.docx", "A 1594-2023")</f>
        <v/>
      </c>
    </row>
    <row r="50" ht="15" customHeight="1">
      <c r="A50" t="inlineStr">
        <is>
          <t>A 61059-2024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46274</v>
      </c>
      <c r="F50" t="inlineStr">
        <is>
          <t>VÄSTMANLANDS LÄN</t>
        </is>
      </c>
      <c r="G50" t="inlineStr">
        <is>
          <t>VÄSTERÅS</t>
        </is>
      </c>
      <c r="I50" t="n">
        <v>4.7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Bandad skulderbock</t>
        </is>
      </c>
      <c r="W50">
        <f>HYPERLINK("https://klasma.github.io/Logging_1980/artfynd/A 61059-2024 artfynd.xlsx", "A 61059-2024")</f>
        <v/>
      </c>
      <c r="X50">
        <f>HYPERLINK("https://klasma.github.io/Logging_1980/kartor/A 61059-2024 karta.png", "A 61059-2024")</f>
        <v/>
      </c>
      <c r="Y50">
        <f>HYPERLINK("https://klasma.github.io/Logging_1980/kartor_geotiff/A 61059-2024 georefererad karta.tif", "A 61059-2024")</f>
        <v/>
      </c>
      <c r="AA50">
        <f>HYPERLINK("https://klasma.github.io/Logging_1980/klagomål/A 61059-2024 FSC-klagomål.docx", "A 61059-2024")</f>
        <v/>
      </c>
      <c r="AB50">
        <f>HYPERLINK("https://klasma.github.io/Logging_1980/klagomålsmail/A 61059-2024 FSC-klagomål mail.docx", "A 61059-2024")</f>
        <v/>
      </c>
      <c r="AC50">
        <f>HYPERLINK("https://klasma.github.io/Logging_1980/tillsyn/A 61059-2024 tillsynsbegäran.docx", "A 61059-2024")</f>
        <v/>
      </c>
      <c r="AD50">
        <f>HYPERLINK("https://klasma.github.io/Logging_1980/tillsynsmail/A 61059-2024 tillsynsbegäran mail.docx", "A 61059-2024")</f>
        <v/>
      </c>
    </row>
    <row r="51" ht="15" customHeight="1">
      <c r="A51" t="inlineStr">
        <is>
          <t>A 40886-2025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46274</v>
      </c>
      <c r="F51" t="inlineStr">
        <is>
          <t>VÄSTMANLANDS LÄN</t>
        </is>
      </c>
      <c r="G51" t="inlineStr">
        <is>
          <t>VÄSTERÅS</t>
        </is>
      </c>
      <c r="I51" t="n">
        <v>1.5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HYPERLINK("https://klasma.github.io/Logging_1980/artfynd/A 40886-2025 artfynd.xlsx", "A 40886-2025")</f>
        <v/>
      </c>
      <c r="X51">
        <f>HYPERLINK("https://klasma.github.io/Logging_1980/kartor/A 40886-2025 karta.png", "A 40886-2025")</f>
        <v/>
      </c>
      <c r="Y51">
        <f>HYPERLINK("https://klasma.github.io/Logging_1980/kartor_geotiff/A 40886-2025 georefererad karta.tif", "A 40886-2025")</f>
        <v/>
      </c>
      <c r="AA51">
        <f>HYPERLINK("https://klasma.github.io/Logging_1980/klagomål/A 40886-2025 FSC-klagomål.docx", "A 40886-2025")</f>
        <v/>
      </c>
      <c r="AB51">
        <f>HYPERLINK("https://klasma.github.io/Logging_1980/klagomålsmail/A 40886-2025 FSC-klagomål mail.docx", "A 40886-2025")</f>
        <v/>
      </c>
      <c r="AC51">
        <f>HYPERLINK("https://klasma.github.io/Logging_1980/tillsyn/A 40886-2025 tillsynsbegäran.docx", "A 40886-2025")</f>
        <v/>
      </c>
      <c r="AD51">
        <f>HYPERLINK("https://klasma.github.io/Logging_1980/tillsynsmail/A 40886-2025 tillsynsbegäran mail.docx", "A 40886-2025")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46274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22378-2026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46274</v>
      </c>
      <c r="F53" t="inlineStr">
        <is>
          <t>VÄSTMANLANDS LÄN</t>
        </is>
      </c>
      <c r="G53" t="inlineStr">
        <is>
          <t>VÄSTERÅS</t>
        </is>
      </c>
      <c r="I53" t="n">
        <v>5.6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HYPERLINK("https://klasma.github.io/Logging_1980/artfynd/A 22378-2026 artfynd.xlsx", "A 22378-2026")</f>
        <v/>
      </c>
      <c r="X53">
        <f>HYPERLINK("https://klasma.github.io/Logging_1980/kartor/A 22378-2026 karta.png", "A 22378-2026")</f>
        <v/>
      </c>
      <c r="Y53">
        <f>HYPERLINK("https://klasma.github.io/Logging_1980/kartor_geotiff/A 22378-2026 georefererad karta.tif", "A 22378-2026")</f>
        <v/>
      </c>
      <c r="AA53">
        <f>HYPERLINK("https://klasma.github.io/Logging_1980/klagomål/A 22378-2026 FSC-klagomål.docx", "A 22378-2026")</f>
        <v/>
      </c>
      <c r="AB53">
        <f>HYPERLINK("https://klasma.github.io/Logging_1980/klagomålsmail/A 22378-2026 FSC-klagomål mail.docx", "A 22378-2026")</f>
        <v/>
      </c>
      <c r="AC53">
        <f>HYPERLINK("https://klasma.github.io/Logging_1980/tillsyn/A 22378-2026 tillsynsbegäran.docx", "A 22378-2026")</f>
        <v/>
      </c>
      <c r="AD53">
        <f>HYPERLINK("https://klasma.github.io/Logging_1980/tillsynsmail/A 22378-2026 tillsynsbegäran mail.docx", "A 22378-2026")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46274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59140-2025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46274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HYPERLINK("https://klasma.github.io/Logging_1980/artfynd/A 59140-2025 artfynd.xlsx", "A 59140-2025")</f>
        <v/>
      </c>
      <c r="X55">
        <f>HYPERLINK("https://klasma.github.io/Logging_1980/kartor/A 59140-2025 karta.png", "A 59140-2025")</f>
        <v/>
      </c>
      <c r="Y55">
        <f>HYPERLINK("https://klasma.github.io/Logging_1980/kartor_geotiff/A 59140-2025 georefererad karta.tif", "A 59140-2025")</f>
        <v/>
      </c>
      <c r="AA55">
        <f>HYPERLINK("https://klasma.github.io/Logging_1980/klagomål/A 59140-2025 FSC-klagomål.docx", "A 59140-2025")</f>
        <v/>
      </c>
      <c r="AB55">
        <f>HYPERLINK("https://klasma.github.io/Logging_1980/klagomålsmail/A 59140-2025 FSC-klagomål mail.docx", "A 59140-2025")</f>
        <v/>
      </c>
      <c r="AC55">
        <f>HYPERLINK("https://klasma.github.io/Logging_1980/tillsyn/A 59140-2025 tillsynsbegäran.docx", "A 59140-2025")</f>
        <v/>
      </c>
      <c r="AD55">
        <f>HYPERLINK("https://klasma.github.io/Logging_1980/tillsynsmail/A 59140-2025 tillsynsbegäran mail.docx", "A 59140-2025")</f>
        <v/>
      </c>
      <c r="AE55">
        <f>HYPERLINK("https://klasma.github.io/Logging_1980/fåglar/A 59140-2025 prioriterade fågelarter.docx", "A 59140-2025")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46274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58395-2022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46274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HYPERLINK("https://klasma.github.io/Logging_1980/artfynd/A 58395-2022 artfynd.xlsx", "A 58395-2022")</f>
        <v/>
      </c>
      <c r="X57">
        <f>HYPERLINK("https://klasma.github.io/Logging_1980/kartor/A 58395-2022 karta.png", "A 58395-2022")</f>
        <v/>
      </c>
      <c r="Y57">
        <f>HYPERLINK("https://klasma.github.io/Logging_1980/kartor_geotiff/A 58395-2022 georefererad karta.tif", "A 58395-2022")</f>
        <v/>
      </c>
      <c r="AA57">
        <f>HYPERLINK("https://klasma.github.io/Logging_1980/klagomål/A 58395-2022 FSC-klagomål.docx", "A 58395-2022")</f>
        <v/>
      </c>
      <c r="AB57">
        <f>HYPERLINK("https://klasma.github.io/Logging_1980/klagomålsmail/A 58395-2022 FSC-klagomål mail.docx", "A 58395-2022")</f>
        <v/>
      </c>
      <c r="AC57">
        <f>HYPERLINK("https://klasma.github.io/Logging_1980/tillsyn/A 58395-2022 tillsynsbegäran.docx", "A 58395-2022")</f>
        <v/>
      </c>
      <c r="AD57">
        <f>HYPERLINK("https://klasma.github.io/Logging_1980/tillsynsmail/A 58395-2022 tillsynsbegäran mail.docx", "A 58395-2022")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46274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46274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46274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46274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46274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46274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46274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46274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46274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46274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46274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46274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46274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46274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46274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46274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46274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46274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46274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46274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46274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46274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46274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46274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46274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46274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46274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46274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46274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46274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46274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46274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46274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46274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46274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46274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46274</v>
      </c>
      <c r="F94" t="inlineStr">
        <is>
          <t>VÄSTMANLANDS LÄN</t>
        </is>
      </c>
      <c r="G94" t="inlineStr">
        <is>
          <t>VÄSTERÅS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55684-2023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45232</v>
      </c>
      <c r="E95" s="1" t="n">
        <v>46274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29.4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45232</v>
      </c>
      <c r="E96" s="1" t="n">
        <v>46274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37.9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46274</v>
      </c>
      <c r="F97" t="inlineStr">
        <is>
          <t>VÄSTMANLANDS LÄN</t>
        </is>
      </c>
      <c r="G97" t="inlineStr">
        <is>
          <t>VÄSTERÅS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46274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46274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46274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73601-2021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44552</v>
      </c>
      <c r="E101" s="1" t="n">
        <v>46274</v>
      </c>
      <c r="F101" t="inlineStr">
        <is>
          <t>VÄSTMANLANDS LÄN</t>
        </is>
      </c>
      <c r="G101" t="inlineStr">
        <is>
          <t>VÄSTERÅS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45110</v>
      </c>
      <c r="E102" s="1" t="n">
        <v>46274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74314-2021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44559</v>
      </c>
      <c r="E103" s="1" t="n">
        <v>46274</v>
      </c>
      <c r="F103" t="inlineStr">
        <is>
          <t>VÄSTMANLANDS LÄN</t>
        </is>
      </c>
      <c r="G103" t="inlineStr">
        <is>
          <t>VÄSTERÅS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46274</v>
      </c>
      <c r="F104" t="inlineStr">
        <is>
          <t>VÄSTMANLANDS LÄN</t>
        </is>
      </c>
      <c r="G104" t="inlineStr">
        <is>
          <t>VÄSTERÅS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46274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46274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45019</v>
      </c>
      <c r="E107" s="1" t="n">
        <v>46274</v>
      </c>
      <c r="F107" t="inlineStr">
        <is>
          <t>VÄSTMANLANDS LÄN</t>
        </is>
      </c>
      <c r="G107" t="inlineStr">
        <is>
          <t>VÄSTERÅS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46274</v>
      </c>
      <c r="F108" t="inlineStr">
        <is>
          <t>VÄSTMANLANDS LÄN</t>
        </is>
      </c>
      <c r="G108" t="inlineStr">
        <is>
          <t>VÄSTERÅS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44961</v>
      </c>
      <c r="E109" s="1" t="n">
        <v>46274</v>
      </c>
      <c r="F109" t="inlineStr">
        <is>
          <t>VÄSTMANLANDS LÄN</t>
        </is>
      </c>
      <c r="G109" t="inlineStr">
        <is>
          <t>VÄSTERÅS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46274</v>
      </c>
      <c r="F110" t="inlineStr">
        <is>
          <t>VÄSTMANLANDS LÄN</t>
        </is>
      </c>
      <c r="G110" t="inlineStr">
        <is>
          <t>VÄSTERÅS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46274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45072</v>
      </c>
      <c r="E112" s="1" t="n">
        <v>46274</v>
      </c>
      <c r="F112" t="inlineStr">
        <is>
          <t>VÄSTMANLANDS LÄN</t>
        </is>
      </c>
      <c r="G112" t="inlineStr">
        <is>
          <t>VÄSTERÅS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46274</v>
      </c>
      <c r="F113" t="inlineStr">
        <is>
          <t>VÄSTMANLANDS LÄN</t>
        </is>
      </c>
      <c r="G113" t="inlineStr">
        <is>
          <t>VÄSTERÅS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45223</v>
      </c>
      <c r="E114" s="1" t="n">
        <v>46274</v>
      </c>
      <c r="F114" t="inlineStr">
        <is>
          <t>VÄSTMANLANDS LÄN</t>
        </is>
      </c>
      <c r="G114" t="inlineStr">
        <is>
          <t>VÄSTERÅS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45628</v>
      </c>
      <c r="E115" s="1" t="n">
        <v>46274</v>
      </c>
      <c r="F115" t="inlineStr">
        <is>
          <t>VÄSTMANLANDS LÄN</t>
        </is>
      </c>
      <c r="G115" t="inlineStr">
        <is>
          <t>VÄSTERÅS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46274</v>
      </c>
      <c r="F116" t="inlineStr">
        <is>
          <t>VÄSTMANLANDS LÄN</t>
        </is>
      </c>
      <c r="G116" t="inlineStr">
        <is>
          <t>VÄSTERÅS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46274</v>
      </c>
      <c r="F117" t="inlineStr">
        <is>
          <t>VÄSTMANLANDS LÄN</t>
        </is>
      </c>
      <c r="G117" t="inlineStr">
        <is>
          <t>VÄSTERÅS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44875</v>
      </c>
      <c r="E118" s="1" t="n">
        <v>46274</v>
      </c>
      <c r="F118" t="inlineStr">
        <is>
          <t>VÄSTMANLANDS LÄN</t>
        </is>
      </c>
      <c r="G118" t="inlineStr">
        <is>
          <t>VÄSTERÅS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46274</v>
      </c>
      <c r="F119" t="inlineStr">
        <is>
          <t>VÄSTMANLANDS LÄN</t>
        </is>
      </c>
      <c r="G119" t="inlineStr">
        <is>
          <t>VÄSTERÅS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46274</v>
      </c>
      <c r="F120" t="inlineStr">
        <is>
          <t>VÄSTMANLANDS LÄN</t>
        </is>
      </c>
      <c r="G120" t="inlineStr">
        <is>
          <t>VÄSTERÅS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46274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Kommuner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46274</v>
      </c>
      <c r="F122" t="inlineStr">
        <is>
          <t>VÄSTMANLANDS LÄN</t>
        </is>
      </c>
      <c r="G122" t="inlineStr">
        <is>
          <t>VÄSTERÅS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11137-2023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44987</v>
      </c>
      <c r="E123" s="1" t="n">
        <v>46274</v>
      </c>
      <c r="F123" t="inlineStr">
        <is>
          <t>VÄSTMANLANDS LÄN</t>
        </is>
      </c>
      <c r="G123" t="inlineStr">
        <is>
          <t>VÄSTERÅS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44999</v>
      </c>
      <c r="E124" s="1" t="n">
        <v>46274</v>
      </c>
      <c r="F124" t="inlineStr">
        <is>
          <t>VÄSTMANLANDS LÄN</t>
        </is>
      </c>
      <c r="G124" t="inlineStr">
        <is>
          <t>VÄSTERÅS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64207-2023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46274</v>
      </c>
      <c r="F125" t="inlineStr">
        <is>
          <t>VÄSTMANLANDS LÄN</t>
        </is>
      </c>
      <c r="G125" t="inlineStr">
        <is>
          <t>VÄSTERÅS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45456</v>
      </c>
      <c r="E126" s="1" t="n">
        <v>46274</v>
      </c>
      <c r="F126" t="inlineStr">
        <is>
          <t>VÄSTMANLANDS LÄN</t>
        </is>
      </c>
      <c r="G126" t="inlineStr">
        <is>
          <t>VÄSTERÅS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11950-2022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46274</v>
      </c>
      <c r="F127" t="inlineStr">
        <is>
          <t>VÄSTMANLANDS LÄN</t>
        </is>
      </c>
      <c r="G127" t="inlineStr">
        <is>
          <t>VÄSTERÅS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58577-2023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46274</v>
      </c>
      <c r="F128" t="inlineStr">
        <is>
          <t>VÄSTMANLANDS LÄN</t>
        </is>
      </c>
      <c r="G128" t="inlineStr">
        <is>
          <t>VÄSTERÅS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46274</v>
      </c>
      <c r="F129" t="inlineStr">
        <is>
          <t>VÄSTMANLANDS LÄN</t>
        </is>
      </c>
      <c r="G129" t="inlineStr">
        <is>
          <t>VÄSTERÅS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46274</v>
      </c>
      <c r="F130" t="inlineStr">
        <is>
          <t>VÄSTMANLANDS LÄN</t>
        </is>
      </c>
      <c r="G130" t="inlineStr">
        <is>
          <t>VÄSTERÅS</t>
        </is>
      </c>
      <c r="I130" t="n">
        <v>13.9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45125</v>
      </c>
      <c r="E131" s="1" t="n">
        <v>46274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46274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39127-2022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44816</v>
      </c>
      <c r="E133" s="1" t="n">
        <v>46274</v>
      </c>
      <c r="F133" t="inlineStr">
        <is>
          <t>VÄSTMANLANDS LÄN</t>
        </is>
      </c>
      <c r="G133" t="inlineStr">
        <is>
          <t>VÄSTERÅS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46274</v>
      </c>
      <c r="F134" t="inlineStr">
        <is>
          <t>VÄSTMANLANDS LÄN</t>
        </is>
      </c>
      <c r="G134" t="inlineStr">
        <is>
          <t>VÄSTERÅS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45595</v>
      </c>
      <c r="E135" s="1" t="n">
        <v>46274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Övriga Aktiebolag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46274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46274</v>
      </c>
      <c r="F137" t="inlineStr">
        <is>
          <t>VÄSTMANLANDS LÄN</t>
        </is>
      </c>
      <c r="G137" t="inlineStr">
        <is>
          <t>VÄSTERÅS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46274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46274</v>
      </c>
      <c r="F139" t="inlineStr">
        <is>
          <t>VÄSTMANLANDS LÄN</t>
        </is>
      </c>
      <c r="G139" t="inlineStr">
        <is>
          <t>VÄSTERÅS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45832</v>
      </c>
      <c r="E140" s="1" t="n">
        <v>46274</v>
      </c>
      <c r="F140" t="inlineStr">
        <is>
          <t>VÄSTMANLANDS LÄN</t>
        </is>
      </c>
      <c r="G140" t="inlineStr">
        <is>
          <t>VÄSTERÅS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46274</v>
      </c>
      <c r="F141" t="inlineStr">
        <is>
          <t>VÄSTMANLANDS LÄN</t>
        </is>
      </c>
      <c r="G141" t="inlineStr">
        <is>
          <t>VÄSTERÅS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46274</v>
      </c>
      <c r="F142" t="inlineStr">
        <is>
          <t>VÄSTMANLANDS LÄN</t>
        </is>
      </c>
      <c r="G142" t="inlineStr">
        <is>
          <t>VÄSTERÅS</t>
        </is>
      </c>
      <c r="I142" t="n">
        <v>12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47101-2025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46274</v>
      </c>
      <c r="F143" t="inlineStr">
        <is>
          <t>VÄSTMANLANDS LÄN</t>
        </is>
      </c>
      <c r="G143" t="inlineStr">
        <is>
          <t>VÄSTERÅS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46274</v>
      </c>
      <c r="F144" t="inlineStr">
        <is>
          <t>VÄSTMANLANDS LÄN</t>
        </is>
      </c>
      <c r="G144" t="inlineStr">
        <is>
          <t>VÄSTERÅS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46274</v>
      </c>
      <c r="F145" t="inlineStr">
        <is>
          <t>VÄSTMANLANDS LÄN</t>
        </is>
      </c>
      <c r="G145" t="inlineStr">
        <is>
          <t>VÄSTERÅS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45908</v>
      </c>
      <c r="E146" s="1" t="n">
        <v>46274</v>
      </c>
      <c r="F146" t="inlineStr">
        <is>
          <t>VÄSTMANLANDS LÄN</t>
        </is>
      </c>
      <c r="G146" t="inlineStr">
        <is>
          <t>VÄSTERÅS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19927-2026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46136</v>
      </c>
      <c r="E147" s="1" t="n">
        <v>46274</v>
      </c>
      <c r="F147" t="inlineStr">
        <is>
          <t>VÄSTMANLANDS LÄN</t>
        </is>
      </c>
      <c r="G147" t="inlineStr">
        <is>
          <t>VÄSTERÅS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46274</v>
      </c>
      <c r="F148" t="inlineStr">
        <is>
          <t>VÄSTMANLANDS LÄN</t>
        </is>
      </c>
      <c r="G148" t="inlineStr">
        <is>
          <t>VÄSTERÅS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44908</v>
      </c>
      <c r="E149" s="1" t="n">
        <v>46274</v>
      </c>
      <c r="F149" t="inlineStr">
        <is>
          <t>VÄSTMANLANDS LÄN</t>
        </is>
      </c>
      <c r="G149" t="inlineStr">
        <is>
          <t>VÄSTERÅS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46274</v>
      </c>
      <c r="F150" t="inlineStr">
        <is>
          <t>VÄSTMANLANDS LÄN</t>
        </is>
      </c>
      <c r="G150" t="inlineStr">
        <is>
          <t>VÄSTERÅS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46274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Övriga statliga verk och myndigheter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16035-2023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45027</v>
      </c>
      <c r="E152" s="1" t="n">
        <v>46274</v>
      </c>
      <c r="F152" t="inlineStr">
        <is>
          <t>VÄSTMANLANDS LÄN</t>
        </is>
      </c>
      <c r="G152" t="inlineStr">
        <is>
          <t>VÄSTERÅS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45027</v>
      </c>
      <c r="E153" s="1" t="n">
        <v>46274</v>
      </c>
      <c r="F153" t="inlineStr">
        <is>
          <t>VÄSTMANLANDS LÄN</t>
        </is>
      </c>
      <c r="G153" t="inlineStr">
        <is>
          <t>VÄSTERÅS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44825</v>
      </c>
      <c r="E154" s="1" t="n">
        <v>46274</v>
      </c>
      <c r="F154" t="inlineStr">
        <is>
          <t>VÄSTMANLANDS LÄN</t>
        </is>
      </c>
      <c r="G154" t="inlineStr">
        <is>
          <t>VÄSTERÅS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52015-2024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45607</v>
      </c>
      <c r="E155" s="1" t="n">
        <v>46274</v>
      </c>
      <c r="F155" t="inlineStr">
        <is>
          <t>VÄSTMANLANDS LÄN</t>
        </is>
      </c>
      <c r="G155" t="inlineStr">
        <is>
          <t>VÄSTERÅS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44999</v>
      </c>
      <c r="E156" s="1" t="n">
        <v>46274</v>
      </c>
      <c r="F156" t="inlineStr">
        <is>
          <t>VÄSTMANLANDS LÄN</t>
        </is>
      </c>
      <c r="G156" t="inlineStr">
        <is>
          <t>VÄSTERÅS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46274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46274</v>
      </c>
      <c r="F158" t="inlineStr">
        <is>
          <t>VÄSTMANLANDS LÄN</t>
        </is>
      </c>
      <c r="G158" t="inlineStr">
        <is>
          <t>VÄSTERÅS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46154</v>
      </c>
      <c r="E159" s="1" t="n">
        <v>46274</v>
      </c>
      <c r="F159" t="inlineStr">
        <is>
          <t>VÄSTMANLANDS LÄN</t>
        </is>
      </c>
      <c r="G159" t="inlineStr">
        <is>
          <t>VÄSTERÅS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46274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Övriga statliga verk och myndigheter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46274</v>
      </c>
      <c r="F161" t="inlineStr">
        <is>
          <t>VÄSTMANLANDS LÄN</t>
        </is>
      </c>
      <c r="G161" t="inlineStr">
        <is>
          <t>VÄSTERÅS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22293-2026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46274</v>
      </c>
      <c r="F162" t="inlineStr">
        <is>
          <t>VÄSTMANLANDS LÄN</t>
        </is>
      </c>
      <c r="G162" t="inlineStr">
        <is>
          <t>VÄSTERÅS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46274</v>
      </c>
      <c r="F163" t="inlineStr">
        <is>
          <t>VÄSTMANLANDS LÄN</t>
        </is>
      </c>
      <c r="G163" t="inlineStr">
        <is>
          <t>VÄSTERÅS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46274</v>
      </c>
      <c r="F164" t="inlineStr">
        <is>
          <t>VÄSTMANLANDS LÄN</t>
        </is>
      </c>
      <c r="G164" t="inlineStr">
        <is>
          <t>VÄSTERÅS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46274</v>
      </c>
      <c r="F165" t="inlineStr">
        <is>
          <t>VÄSTMANLANDS LÄN</t>
        </is>
      </c>
      <c r="G165" t="inlineStr">
        <is>
          <t>VÄSTERÅS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46274</v>
      </c>
      <c r="F166" t="inlineStr">
        <is>
          <t>VÄSTMANLANDS LÄN</t>
        </is>
      </c>
      <c r="G166" t="inlineStr">
        <is>
          <t>VÄSTERÅS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46274</v>
      </c>
      <c r="F167" t="inlineStr">
        <is>
          <t>VÄSTMANLANDS LÄN</t>
        </is>
      </c>
      <c r="G167" t="inlineStr">
        <is>
          <t>VÄSTERÅS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44582</v>
      </c>
      <c r="E168" s="1" t="n">
        <v>46274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Aktiebolag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44812</v>
      </c>
      <c r="E169" s="1" t="n">
        <v>46274</v>
      </c>
      <c r="F169" t="inlineStr">
        <is>
          <t>VÄSTMANLANDS LÄN</t>
        </is>
      </c>
      <c r="G169" t="inlineStr">
        <is>
          <t>VÄSTERÅS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46274</v>
      </c>
      <c r="F170" t="inlineStr">
        <is>
          <t>VÄSTMANLANDS LÄN</t>
        </is>
      </c>
      <c r="G170" t="inlineStr">
        <is>
          <t>VÄSTERÅS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44600</v>
      </c>
      <c r="E171" s="1" t="n">
        <v>46274</v>
      </c>
      <c r="F171" t="inlineStr">
        <is>
          <t>VÄSTMANLANDS LÄN</t>
        </is>
      </c>
      <c r="G171" t="inlineStr">
        <is>
          <t>VÄSTERÅS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46274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46169</v>
      </c>
      <c r="E173" s="1" t="n">
        <v>46274</v>
      </c>
      <c r="F173" t="inlineStr">
        <is>
          <t>VÄSTMANLANDS LÄN</t>
        </is>
      </c>
      <c r="G173" t="inlineStr">
        <is>
          <t>VÄSTERÅS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46274</v>
      </c>
      <c r="F174" t="inlineStr">
        <is>
          <t>VÄSTMANLANDS LÄN</t>
        </is>
      </c>
      <c r="G174" t="inlineStr">
        <is>
          <t>VÄSTERÅS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46274</v>
      </c>
      <c r="F175" t="inlineStr">
        <is>
          <t>VÄSTMANLANDS LÄN</t>
        </is>
      </c>
      <c r="G175" t="inlineStr">
        <is>
          <t>VÄSTERÅS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45274</v>
      </c>
      <c r="E176" s="1" t="n">
        <v>46274</v>
      </c>
      <c r="F176" t="inlineStr">
        <is>
          <t>VÄSTMANLANDS LÄN</t>
        </is>
      </c>
      <c r="G176" t="inlineStr">
        <is>
          <t>VÄSTERÅS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46274</v>
      </c>
      <c r="F177" t="inlineStr">
        <is>
          <t>VÄSTMANLANDS LÄN</t>
        </is>
      </c>
      <c r="G177" t="inlineStr">
        <is>
          <t>VÄSTERÅS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46170</v>
      </c>
      <c r="E178" s="1" t="n">
        <v>46274</v>
      </c>
      <c r="F178" t="inlineStr">
        <is>
          <t>VÄSTMANLANDS LÄN</t>
        </is>
      </c>
      <c r="G178" t="inlineStr">
        <is>
          <t>VÄSTERÅS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46274</v>
      </c>
      <c r="F179" t="inlineStr">
        <is>
          <t>VÄSTMANLANDS LÄN</t>
        </is>
      </c>
      <c r="G179" t="inlineStr">
        <is>
          <t>VÄSTERÅS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46274</v>
      </c>
      <c r="F180" t="inlineStr">
        <is>
          <t>VÄSTMANLANDS LÄN</t>
        </is>
      </c>
      <c r="G180" t="inlineStr">
        <is>
          <t>VÄSTERÅS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45414</v>
      </c>
      <c r="E181" s="1" t="n">
        <v>46274</v>
      </c>
      <c r="F181" t="inlineStr">
        <is>
          <t>VÄSTMANLANDS LÄN</t>
        </is>
      </c>
      <c r="G181" t="inlineStr">
        <is>
          <t>VÄSTERÅS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18465-2023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45042</v>
      </c>
      <c r="E182" s="1" t="n">
        <v>46274</v>
      </c>
      <c r="F182" t="inlineStr">
        <is>
          <t>VÄSTMANLANDS LÄN</t>
        </is>
      </c>
      <c r="G182" t="inlineStr">
        <is>
          <t>VÄSTERÅS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64202-2023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45279</v>
      </c>
      <c r="E183" s="1" t="n">
        <v>46274</v>
      </c>
      <c r="F183" t="inlineStr">
        <is>
          <t>VÄSTMANLANDS LÄN</t>
        </is>
      </c>
      <c r="G183" t="inlineStr">
        <is>
          <t>VÄSTERÅS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46274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46274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Kyrkan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46274</v>
      </c>
      <c r="F186" t="inlineStr">
        <is>
          <t>VÄSTMANLANDS LÄN</t>
        </is>
      </c>
      <c r="G186" t="inlineStr">
        <is>
          <t>VÄSTERÅS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15316-2022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44659</v>
      </c>
      <c r="E187" s="1" t="n">
        <v>46274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26751-2026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46184</v>
      </c>
      <c r="E188" s="1" t="n">
        <v>46274</v>
      </c>
      <c r="F188" t="inlineStr">
        <is>
          <t>VÄSTMANLANDS LÄN</t>
        </is>
      </c>
      <c r="G188" t="inlineStr">
        <is>
          <t>VÄSTERÅS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46274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Allmännings- och besparingsskogar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46188</v>
      </c>
      <c r="E190" s="1" t="n">
        <v>46274</v>
      </c>
      <c r="F190" t="inlineStr">
        <is>
          <t>VÄSTMANLANDS LÄN</t>
        </is>
      </c>
      <c r="G190" t="inlineStr">
        <is>
          <t>VÄSTERÅS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46274</v>
      </c>
      <c r="F191" t="inlineStr">
        <is>
          <t>VÄSTMANLANDS LÄN</t>
        </is>
      </c>
      <c r="G191" t="inlineStr">
        <is>
          <t>VÄSTERÅS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46190</v>
      </c>
      <c r="E192" s="1" t="n">
        <v>46274</v>
      </c>
      <c r="F192" t="inlineStr">
        <is>
          <t>VÄSTMANLANDS LÄN</t>
        </is>
      </c>
      <c r="G192" t="inlineStr">
        <is>
          <t>VÄSTERÅS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46274</v>
      </c>
      <c r="F193" t="inlineStr">
        <is>
          <t>VÄSTMANLANDS LÄN</t>
        </is>
      </c>
      <c r="G193" t="inlineStr">
        <is>
          <t>VÄSTERÅS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28341-2026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46274</v>
      </c>
      <c r="F194" t="inlineStr">
        <is>
          <t>VÄSTMANLANDS LÄN</t>
        </is>
      </c>
      <c r="G194" t="inlineStr">
        <is>
          <t>VÄSTERÅS</t>
        </is>
      </c>
      <c r="I194" t="n">
        <v>14.1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46195</v>
      </c>
      <c r="E195" s="1" t="n">
        <v>46274</v>
      </c>
      <c r="F195" t="inlineStr">
        <is>
          <t>VÄSTMANLANDS LÄN</t>
        </is>
      </c>
      <c r="G195" t="inlineStr">
        <is>
          <t>VÄSTERÅS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46030</v>
      </c>
      <c r="E196" s="1" t="n">
        <v>46274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Allmännings- och besparingsskogar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63851-2021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44509</v>
      </c>
      <c r="E197" s="1" t="n">
        <v>46274</v>
      </c>
      <c r="F197" t="inlineStr">
        <is>
          <t>VÄSTMANLANDS LÄN</t>
        </is>
      </c>
      <c r="G197" t="inlineStr">
        <is>
          <t>VÄSTERÅS</t>
        </is>
      </c>
      <c r="I197" t="n">
        <v>11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46059</v>
      </c>
      <c r="E198" s="1" t="n">
        <v>46274</v>
      </c>
      <c r="F198" t="inlineStr">
        <is>
          <t>VÄSTMANLANDS LÄN</t>
        </is>
      </c>
      <c r="G198" t="inlineStr">
        <is>
          <t>VÄSTERÅS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45077</v>
      </c>
      <c r="E199" s="1" t="n">
        <v>46274</v>
      </c>
      <c r="F199" t="inlineStr">
        <is>
          <t>VÄSTMANLANDS LÄN</t>
        </is>
      </c>
      <c r="G199" t="inlineStr">
        <is>
          <t>VÄSTERÅS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7797-2026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46062</v>
      </c>
      <c r="E200" s="1" t="n">
        <v>46274</v>
      </c>
      <c r="F200" t="inlineStr">
        <is>
          <t>VÄSTMANLANDS LÄN</t>
        </is>
      </c>
      <c r="G200" t="inlineStr">
        <is>
          <t>VÄSTERÅS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46274</v>
      </c>
      <c r="F201" t="inlineStr">
        <is>
          <t>VÄSTMANLANDS LÄN</t>
        </is>
      </c>
      <c r="G201" t="inlineStr">
        <is>
          <t>VÄSTERÅS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46274</v>
      </c>
      <c r="F202" t="inlineStr">
        <is>
          <t>VÄSTMANLANDS LÄN</t>
        </is>
      </c>
      <c r="G202" t="inlineStr">
        <is>
          <t>VÄSTERÅS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46274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45042</v>
      </c>
      <c r="E204" s="1" t="n">
        <v>46274</v>
      </c>
      <c r="F204" t="inlineStr">
        <is>
          <t>VÄSTMANLANDS LÄN</t>
        </is>
      </c>
      <c r="G204" t="inlineStr">
        <is>
          <t>VÄSTERÅS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46213</v>
      </c>
      <c r="E205" s="1" t="n">
        <v>46274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Sveaskog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46215</v>
      </c>
      <c r="E206" s="1" t="n">
        <v>46274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46215</v>
      </c>
      <c r="E207" s="1" t="n">
        <v>46274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Sveaskog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46215</v>
      </c>
      <c r="E208" s="1" t="n">
        <v>46274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52027-2025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45952</v>
      </c>
      <c r="E209" s="1" t="n">
        <v>46274</v>
      </c>
      <c r="F209" t="inlineStr">
        <is>
          <t>VÄSTMANLANDS LÄN</t>
        </is>
      </c>
      <c r="G209" t="inlineStr">
        <is>
          <t>VÄSTERÅS</t>
        </is>
      </c>
      <c r="H209" t="inlineStr">
        <is>
          <t>Övriga statliga verk och myndigheter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46274</v>
      </c>
      <c r="F210" t="inlineStr">
        <is>
          <t>VÄSTMANLANDS LÄN</t>
        </is>
      </c>
      <c r="G210" t="inlineStr">
        <is>
          <t>VÄSTERÅS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46215</v>
      </c>
      <c r="E211" s="1" t="n">
        <v>46274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46274</v>
      </c>
      <c r="F212" t="inlineStr">
        <is>
          <t>VÄSTMANLANDS LÄN</t>
        </is>
      </c>
      <c r="G212" t="inlineStr">
        <is>
          <t>VÄSTERÅS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44594</v>
      </c>
      <c r="E213" s="1" t="n">
        <v>46274</v>
      </c>
      <c r="F213" t="inlineStr">
        <is>
          <t>VÄSTMANLANDS LÄN</t>
        </is>
      </c>
      <c r="G213" t="inlineStr">
        <is>
          <t>VÄSTERÅS</t>
        </is>
      </c>
      <c r="I213" t="n">
        <v>20.3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11739-2026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46274</v>
      </c>
      <c r="F214" t="inlineStr">
        <is>
          <t>VÄSTMANLANDS LÄN</t>
        </is>
      </c>
      <c r="G214" t="inlineStr">
        <is>
          <t>VÄSTERÅS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10870-2026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46274</v>
      </c>
      <c r="F215" t="inlineStr">
        <is>
          <t>VÄSTMANLANDS LÄN</t>
        </is>
      </c>
      <c r="G215" t="inlineStr">
        <is>
          <t>VÄSTERÅS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22978-2022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44717</v>
      </c>
      <c r="E216" s="1" t="n">
        <v>46274</v>
      </c>
      <c r="F216" t="inlineStr">
        <is>
          <t>VÄSTMANLANDS LÄN</t>
        </is>
      </c>
      <c r="G216" t="inlineStr">
        <is>
          <t>VÄSTERÅS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46274</v>
      </c>
      <c r="F217" t="inlineStr">
        <is>
          <t>VÄSTMANLANDS LÄN</t>
        </is>
      </c>
      <c r="G217" t="inlineStr">
        <is>
          <t>VÄSTERÅS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46215</v>
      </c>
      <c r="E218" s="1" t="n">
        <v>46274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Sveaskog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46215</v>
      </c>
      <c r="E219" s="1" t="n">
        <v>46274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26743-2026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46274</v>
      </c>
      <c r="F220" t="inlineStr">
        <is>
          <t>VÄSTMANLANDS LÄN</t>
        </is>
      </c>
      <c r="G220" t="inlineStr">
        <is>
          <t>VÄSTERÅS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46217</v>
      </c>
      <c r="E221" s="1" t="n">
        <v>46274</v>
      </c>
      <c r="F221" t="inlineStr">
        <is>
          <t>VÄSTMANLANDS LÄN</t>
        </is>
      </c>
      <c r="G221" t="inlineStr">
        <is>
          <t>VÄSTERÅS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51219-2023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45219</v>
      </c>
      <c r="E222" s="1" t="n">
        <v>46274</v>
      </c>
      <c r="F222" t="inlineStr">
        <is>
          <t>VÄSTMANLANDS LÄN</t>
        </is>
      </c>
      <c r="G222" t="inlineStr">
        <is>
          <t>VÄSTERÅS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46265</v>
      </c>
      <c r="E223" s="1" t="n">
        <v>46274</v>
      </c>
      <c r="F223" t="inlineStr">
        <is>
          <t>VÄSTMANLANDS LÄN</t>
        </is>
      </c>
      <c r="G223" t="inlineStr">
        <is>
          <t>VÄSTERÅS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46265</v>
      </c>
      <c r="E224" s="1" t="n">
        <v>46274</v>
      </c>
      <c r="F224" t="inlineStr">
        <is>
          <t>VÄSTMANLANDS LÄN</t>
        </is>
      </c>
      <c r="G224" t="inlineStr">
        <is>
          <t>VÄSTERÅS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46274</v>
      </c>
      <c r="F225" t="inlineStr">
        <is>
          <t>VÄSTMANLANDS LÄN</t>
        </is>
      </c>
      <c r="G225" t="inlineStr">
        <is>
          <t>VÄSTERÅS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46104</v>
      </c>
      <c r="E226" s="1" t="n">
        <v>46274</v>
      </c>
      <c r="F226" t="inlineStr">
        <is>
          <t>VÄSTMANLANDS LÄN</t>
        </is>
      </c>
      <c r="G226" t="inlineStr">
        <is>
          <t>VÄSTERÅS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44680</v>
      </c>
      <c r="E227" s="1" t="n">
        <v>46274</v>
      </c>
      <c r="F227" t="inlineStr">
        <is>
          <t>VÄSTMANLANDS LÄN</t>
        </is>
      </c>
      <c r="G227" t="inlineStr">
        <is>
          <t>VÄSTERÅS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45110</v>
      </c>
      <c r="E228" s="1" t="n">
        <v>46274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46112</v>
      </c>
      <c r="E229" s="1" t="n">
        <v>46274</v>
      </c>
      <c r="F229" t="inlineStr">
        <is>
          <t>VÄSTMANLANDS LÄN</t>
        </is>
      </c>
      <c r="G229" t="inlineStr">
        <is>
          <t>VÄSTERÅS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46112</v>
      </c>
      <c r="E230" s="1" t="n">
        <v>46274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46112</v>
      </c>
      <c r="E231" s="1" t="n">
        <v>46274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46112</v>
      </c>
      <c r="E232" s="1" t="n">
        <v>46274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16671-2026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46112</v>
      </c>
      <c r="E233" s="1" t="n">
        <v>46274</v>
      </c>
      <c r="F233" t="inlineStr">
        <is>
          <t>VÄSTMANLANDS LÄN</t>
        </is>
      </c>
      <c r="G233" t="inlineStr">
        <is>
          <t>VÄSTERÅS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46274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46274</v>
      </c>
      <c r="F235" t="inlineStr">
        <is>
          <t>VÄSTMANLANDS LÄN</t>
        </is>
      </c>
      <c r="G235" t="inlineStr">
        <is>
          <t>VÄSTERÅS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45628</v>
      </c>
      <c r="E236" s="1" t="n">
        <v>46274</v>
      </c>
      <c r="F236" t="inlineStr">
        <is>
          <t>VÄSTMANLANDS LÄN</t>
        </is>
      </c>
      <c r="G236" t="inlineStr">
        <is>
          <t>VÄSTERÅS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8870-2026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46274</v>
      </c>
      <c r="F237" t="inlineStr">
        <is>
          <t>VÄSTMANLANDS LÄN</t>
        </is>
      </c>
      <c r="G237" t="inlineStr">
        <is>
          <t>VÄSTERÅS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36650-2026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46272</v>
      </c>
      <c r="E238" s="1" t="n">
        <v>46274</v>
      </c>
      <c r="F238" t="inlineStr">
        <is>
          <t>VÄSTMANLANDS LÄN</t>
        </is>
      </c>
      <c r="G238" t="inlineStr">
        <is>
          <t>VÄSTERÅS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46120</v>
      </c>
      <c r="E239" s="1" t="n">
        <v>46274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Allmännings- och besparingsskogar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45443</v>
      </c>
      <c r="E240" s="1" t="n">
        <v>46274</v>
      </c>
      <c r="F240" t="inlineStr">
        <is>
          <t>VÄSTMANLANDS LÄN</t>
        </is>
      </c>
      <c r="G240" t="inlineStr">
        <is>
          <t>VÄSTERÅS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44986</v>
      </c>
      <c r="E241" s="1" t="n">
        <v>46274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44899</v>
      </c>
      <c r="E242" s="1" t="n">
        <v>46274</v>
      </c>
      <c r="F242" t="inlineStr">
        <is>
          <t>VÄSTMANLANDS LÄN</t>
        </is>
      </c>
      <c r="G242" t="inlineStr">
        <is>
          <t>VÄSTERÅS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46274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Kommuner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45019</v>
      </c>
      <c r="E244" s="1" t="n">
        <v>46274</v>
      </c>
      <c r="F244" t="inlineStr">
        <is>
          <t>VÄSTMANLANDS LÄN</t>
        </is>
      </c>
      <c r="G244" t="inlineStr">
        <is>
          <t>VÄSTERÅS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44636</v>
      </c>
      <c r="E245" s="1" t="n">
        <v>46274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Kommuner</t>
        </is>
      </c>
      <c r="I245" t="n">
        <v>12.9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44636</v>
      </c>
      <c r="E246" s="1" t="n">
        <v>46274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Kommuner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46135</v>
      </c>
      <c r="E247" s="1" t="n">
        <v>46274</v>
      </c>
      <c r="F247" t="inlineStr">
        <is>
          <t>VÄSTMANLANDS LÄN</t>
        </is>
      </c>
      <c r="G247" t="inlineStr">
        <is>
          <t>VÄSTERÅS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44695-2022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44840</v>
      </c>
      <c r="E248" s="1" t="n">
        <v>46274</v>
      </c>
      <c r="F248" t="inlineStr">
        <is>
          <t>VÄSTMANLANDS LÄN</t>
        </is>
      </c>
      <c r="G248" t="inlineStr">
        <is>
          <t>VÄSTERÅS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44574</v>
      </c>
      <c r="E249" s="1" t="n">
        <v>46274</v>
      </c>
      <c r="F249" t="inlineStr">
        <is>
          <t>VÄSTMANLANDS LÄN</t>
        </is>
      </c>
      <c r="G249" t="inlineStr">
        <is>
          <t>VÄSTERÅS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56532-2022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44893</v>
      </c>
      <c r="E250" s="1" t="n">
        <v>46274</v>
      </c>
      <c r="F250" t="inlineStr">
        <is>
          <t>VÄSTMANLANDS LÄN</t>
        </is>
      </c>
      <c r="G250" t="inlineStr">
        <is>
          <t>VÄSTERÅS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44664</v>
      </c>
      <c r="E251" s="1" t="n">
        <v>46274</v>
      </c>
      <c r="F251" t="inlineStr">
        <is>
          <t>VÄSTMANLANDS LÄN</t>
        </is>
      </c>
      <c r="G251" t="inlineStr">
        <is>
          <t>VÄSTERÅS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46274</v>
      </c>
      <c r="F252" t="inlineStr">
        <is>
          <t>VÄSTMANLANDS LÄN</t>
        </is>
      </c>
      <c r="G252" t="inlineStr">
        <is>
          <t>VÄSTERÅS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45019</v>
      </c>
      <c r="E253" s="1" t="n">
        <v>46274</v>
      </c>
      <c r="F253" t="inlineStr">
        <is>
          <t>VÄSTMANLANDS LÄN</t>
        </is>
      </c>
      <c r="G253" t="inlineStr">
        <is>
          <t>VÄSTERÅS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45019</v>
      </c>
      <c r="E254" s="1" t="n">
        <v>46274</v>
      </c>
      <c r="F254" t="inlineStr">
        <is>
          <t>VÄSTMANLANDS LÄN</t>
        </is>
      </c>
      <c r="G254" t="inlineStr">
        <is>
          <t>VÄSTERÅS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18482-2023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45042</v>
      </c>
      <c r="E255" s="1" t="n">
        <v>46274</v>
      </c>
      <c r="F255" t="inlineStr">
        <is>
          <t>VÄSTMANLANDS LÄN</t>
        </is>
      </c>
      <c r="G255" t="inlineStr">
        <is>
          <t>VÄSTERÅS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46274</v>
      </c>
      <c r="F256" t="inlineStr">
        <is>
          <t>VÄSTMANLANDS LÄN</t>
        </is>
      </c>
      <c r="G256" t="inlineStr">
        <is>
          <t>VÄSTERÅS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45761</v>
      </c>
      <c r="E257" s="1" t="n">
        <v>46274</v>
      </c>
      <c r="F257" t="inlineStr">
        <is>
          <t>VÄSTMANLANDS LÄN</t>
        </is>
      </c>
      <c r="G257" t="inlineStr">
        <is>
          <t>VÄSTERÅS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45083</v>
      </c>
      <c r="E258" s="1" t="n">
        <v>46274</v>
      </c>
      <c r="F258" t="inlineStr">
        <is>
          <t>VÄSTMANLANDS LÄN</t>
        </is>
      </c>
      <c r="G258" t="inlineStr">
        <is>
          <t>VÄSTERÅS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15273-2024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45400</v>
      </c>
      <c r="E259" s="1" t="n">
        <v>46274</v>
      </c>
      <c r="F259" t="inlineStr">
        <is>
          <t>VÄSTMANLANDS LÄN</t>
        </is>
      </c>
      <c r="G259" t="inlineStr">
        <is>
          <t>VÄSTERÅS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7378-2022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44606</v>
      </c>
      <c r="E260" s="1" t="n">
        <v>46274</v>
      </c>
      <c r="F260" t="inlineStr">
        <is>
          <t>VÄSTMANLANDS LÄN</t>
        </is>
      </c>
      <c r="G260" t="inlineStr">
        <is>
          <t>VÄSTERÅS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46274</v>
      </c>
      <c r="F261" t="inlineStr">
        <is>
          <t>VÄSTMANLANDS LÄN</t>
        </is>
      </c>
      <c r="G261" t="inlineStr">
        <is>
          <t>VÄSTERÅS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44978</v>
      </c>
      <c r="E262" s="1" t="n">
        <v>46274</v>
      </c>
      <c r="F262" t="inlineStr">
        <is>
          <t>VÄSTMANLANDS LÄN</t>
        </is>
      </c>
      <c r="G262" t="inlineStr">
        <is>
          <t>VÄSTERÅS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67352-2021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44523</v>
      </c>
      <c r="E263" s="1" t="n">
        <v>46274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Aktiebolag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35700-2024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46274</v>
      </c>
      <c r="F264" t="inlineStr">
        <is>
          <t>VÄSTMANLANDS LÄN</t>
        </is>
      </c>
      <c r="G264" t="inlineStr">
        <is>
          <t>VÄSTERÅS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45579</v>
      </c>
      <c r="E265" s="1" t="n">
        <v>46274</v>
      </c>
      <c r="F265" t="inlineStr">
        <is>
          <t>VÄSTMANLANDS LÄN</t>
        </is>
      </c>
      <c r="G265" t="inlineStr">
        <is>
          <t>VÄSTERÅS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44874</v>
      </c>
      <c r="E266" s="1" t="n">
        <v>46274</v>
      </c>
      <c r="F266" t="inlineStr">
        <is>
          <t>VÄSTMANLANDS LÄN</t>
        </is>
      </c>
      <c r="G266" t="inlineStr">
        <is>
          <t>VÄSTERÅS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44901</v>
      </c>
      <c r="E267" s="1" t="n">
        <v>46274</v>
      </c>
      <c r="F267" t="inlineStr">
        <is>
          <t>VÄSTMANLANDS LÄN</t>
        </is>
      </c>
      <c r="G267" t="inlineStr">
        <is>
          <t>VÄSTERÅS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46274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46274</v>
      </c>
      <c r="F269" t="inlineStr">
        <is>
          <t>VÄSTMANLANDS LÄN</t>
        </is>
      </c>
      <c r="G269" t="inlineStr">
        <is>
          <t>VÄSTERÅS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45042</v>
      </c>
      <c r="E270" s="1" t="n">
        <v>46274</v>
      </c>
      <c r="F270" t="inlineStr">
        <is>
          <t>VÄSTMANLANDS LÄN</t>
        </is>
      </c>
      <c r="G270" t="inlineStr">
        <is>
          <t>VÄSTERÅS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45457</v>
      </c>
      <c r="E271" s="1" t="n">
        <v>46274</v>
      </c>
      <c r="F271" t="inlineStr">
        <is>
          <t>VÄSTMANLANDS LÄN</t>
        </is>
      </c>
      <c r="G271" t="inlineStr">
        <is>
          <t>VÄSTERÅS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46274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Kyrkan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67350-2021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44523</v>
      </c>
      <c r="E273" s="1" t="n">
        <v>46274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Övriga Aktiebolag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10496-2022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44623</v>
      </c>
      <c r="E274" s="1" t="n">
        <v>46274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Sveaskog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45033</v>
      </c>
      <c r="E275" s="1" t="n">
        <v>46274</v>
      </c>
      <c r="F275" t="inlineStr">
        <is>
          <t>VÄSTMANLANDS LÄN</t>
        </is>
      </c>
      <c r="G275" t="inlineStr">
        <is>
          <t>VÄSTERÅS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73994-2021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44556</v>
      </c>
      <c r="E276" s="1" t="n">
        <v>46274</v>
      </c>
      <c r="F276" t="inlineStr">
        <is>
          <t>VÄSTMANLANDS LÄN</t>
        </is>
      </c>
      <c r="G276" t="inlineStr">
        <is>
          <t>VÄSTERÅS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61249-2021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44498</v>
      </c>
      <c r="E277" s="1" t="n">
        <v>46274</v>
      </c>
      <c r="F277" t="inlineStr">
        <is>
          <t>VÄSTMANLANDS LÄN</t>
        </is>
      </c>
      <c r="G277" t="inlineStr">
        <is>
          <t>VÄSTERÅS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46274</v>
      </c>
      <c r="F278" t="inlineStr">
        <is>
          <t>VÄSTMANLANDS LÄN</t>
        </is>
      </c>
      <c r="G278" t="inlineStr">
        <is>
          <t>VÄSTERÅS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44792</v>
      </c>
      <c r="E279" s="1" t="n">
        <v>46274</v>
      </c>
      <c r="F279" t="inlineStr">
        <is>
          <t>VÄSTMANLANDS LÄN</t>
        </is>
      </c>
      <c r="G279" t="inlineStr">
        <is>
          <t>VÄSTERÅS</t>
        </is>
      </c>
      <c r="I279" t="n">
        <v>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46274</v>
      </c>
      <c r="F280" t="inlineStr">
        <is>
          <t>VÄSTMANLANDS LÄN</t>
        </is>
      </c>
      <c r="G280" t="inlineStr">
        <is>
          <t>VÄSTERÅS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52569-2022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44874</v>
      </c>
      <c r="E281" s="1" t="n">
        <v>46274</v>
      </c>
      <c r="F281" t="inlineStr">
        <is>
          <t>VÄSTMANLANDS LÄN</t>
        </is>
      </c>
      <c r="G281" t="inlineStr">
        <is>
          <t>VÄSTERÅS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21761-2022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44708</v>
      </c>
      <c r="E282" s="1" t="n">
        <v>46274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29746-2022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44755</v>
      </c>
      <c r="E283" s="1" t="n">
        <v>46274</v>
      </c>
      <c r="F283" t="inlineStr">
        <is>
          <t>VÄSTMANLANDS LÄN</t>
        </is>
      </c>
      <c r="G283" t="inlineStr">
        <is>
          <t>VÄSTERÅS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67353-2021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44523</v>
      </c>
      <c r="E284" s="1" t="n">
        <v>46274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Övriga Aktiebolag</t>
        </is>
      </c>
      <c r="I284" t="n">
        <v>7.6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46274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56980-2021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44482</v>
      </c>
      <c r="E286" s="1" t="n">
        <v>46274</v>
      </c>
      <c r="F286" t="inlineStr">
        <is>
          <t>VÄSTMANLANDS LÄN</t>
        </is>
      </c>
      <c r="G286" t="inlineStr">
        <is>
          <t>VÄSTERÅS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45705</v>
      </c>
      <c r="E287" s="1" t="n">
        <v>46274</v>
      </c>
      <c r="F287" t="inlineStr">
        <is>
          <t>VÄSTMANLANDS LÄN</t>
        </is>
      </c>
      <c r="G287" t="inlineStr">
        <is>
          <t>VÄSTERÅS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45713</v>
      </c>
      <c r="E288" s="1" t="n">
        <v>46274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15201-2022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44658</v>
      </c>
      <c r="E289" s="1" t="n">
        <v>46274</v>
      </c>
      <c r="F289" t="inlineStr">
        <is>
          <t>VÄSTMANLANDS LÄN</t>
        </is>
      </c>
      <c r="G289" t="inlineStr">
        <is>
          <t>VÄSTERÅS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58960-2022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44903</v>
      </c>
      <c r="E290" s="1" t="n">
        <v>46274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46274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8727-2023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44978</v>
      </c>
      <c r="E292" s="1" t="n">
        <v>46274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Kyrkan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16214-2023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45028</v>
      </c>
      <c r="E293" s="1" t="n">
        <v>46274</v>
      </c>
      <c r="F293" t="inlineStr">
        <is>
          <t>VÄSTMANLANDS LÄN</t>
        </is>
      </c>
      <c r="G293" t="inlineStr">
        <is>
          <t>VÄSTERÅS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46274</v>
      </c>
      <c r="F294" t="inlineStr">
        <is>
          <t>VÄSTMANLANDS LÄN</t>
        </is>
      </c>
      <c r="G294" t="inlineStr">
        <is>
          <t>VÄSTERÅS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51004-2024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46274</v>
      </c>
      <c r="F295" t="inlineStr">
        <is>
          <t>VÄSTMANLANDS LÄN</t>
        </is>
      </c>
      <c r="G295" t="inlineStr">
        <is>
          <t>VÄSTERÅS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45366</v>
      </c>
      <c r="E296" s="1" t="n">
        <v>46274</v>
      </c>
      <c r="F296" t="inlineStr">
        <is>
          <t>VÄSTMANLANDS LÄN</t>
        </is>
      </c>
      <c r="G296" t="inlineStr">
        <is>
          <t>VÄSTERÅS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46274</v>
      </c>
      <c r="F297" t="inlineStr">
        <is>
          <t>VÄSTMANLANDS LÄN</t>
        </is>
      </c>
      <c r="G297" t="inlineStr">
        <is>
          <t>VÄSTERÅS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70642-2021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46274</v>
      </c>
      <c r="F298" t="inlineStr">
        <is>
          <t>VÄSTMANLANDS LÄN</t>
        </is>
      </c>
      <c r="G298" t="inlineStr">
        <is>
          <t>VÄSTERÅS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23765-2022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46274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64793-2023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45282</v>
      </c>
      <c r="E300" s="1" t="n">
        <v>46274</v>
      </c>
      <c r="F300" t="inlineStr">
        <is>
          <t>VÄSTMANLANDS LÄN</t>
        </is>
      </c>
      <c r="G300" t="inlineStr">
        <is>
          <t>VÄSTERÅS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45296</v>
      </c>
      <c r="E301" s="1" t="n">
        <v>46274</v>
      </c>
      <c r="F301" t="inlineStr">
        <is>
          <t>VÄSTMANLANDS LÄN</t>
        </is>
      </c>
      <c r="G301" t="inlineStr">
        <is>
          <t>VÄSTERÅS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17808-2023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45037</v>
      </c>
      <c r="E302" s="1" t="n">
        <v>46274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46274</v>
      </c>
      <c r="F303" t="inlineStr">
        <is>
          <t>VÄSTMANLANDS LÄN</t>
        </is>
      </c>
      <c r="G303" t="inlineStr">
        <is>
          <t>VÄSTERÅS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73597-2021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44552</v>
      </c>
      <c r="E304" s="1" t="n">
        <v>46274</v>
      </c>
      <c r="F304" t="inlineStr">
        <is>
          <t>VÄSTMANLANDS LÄN</t>
        </is>
      </c>
      <c r="G304" t="inlineStr">
        <is>
          <t>VÄSTERÅS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45153</v>
      </c>
      <c r="E305" s="1" t="n">
        <v>46274</v>
      </c>
      <c r="F305" t="inlineStr">
        <is>
          <t>VÄSTMANLANDS LÄN</t>
        </is>
      </c>
      <c r="G305" t="inlineStr">
        <is>
          <t>VÄSTERÅS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46274</v>
      </c>
      <c r="F306" t="inlineStr">
        <is>
          <t>VÄSTMANLANDS LÄN</t>
        </is>
      </c>
      <c r="G306" t="inlineStr">
        <is>
          <t>VÄSTERÅS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14926-2022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44657</v>
      </c>
      <c r="E307" s="1" t="n">
        <v>46274</v>
      </c>
      <c r="F307" t="inlineStr">
        <is>
          <t>VÄSTMANLANDS LÄN</t>
        </is>
      </c>
      <c r="G307" t="inlineStr">
        <is>
          <t>VÄSTERÅS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46274</v>
      </c>
      <c r="F308" t="inlineStr">
        <is>
          <t>VÄSTMANLANDS LÄN</t>
        </is>
      </c>
      <c r="G308" t="inlineStr">
        <is>
          <t>VÄSTERÅS</t>
        </is>
      </c>
      <c r="I308" t="n">
        <v>15.4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45506</v>
      </c>
      <c r="E309" s="1" t="n">
        <v>46274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Kommuner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46274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46274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56076-2023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45235</v>
      </c>
      <c r="E312" s="1" t="n">
        <v>46274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Övriga Aktiebolag</t>
        </is>
      </c>
      <c r="I312" t="n">
        <v>37.8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46274</v>
      </c>
      <c r="F313" t="inlineStr">
        <is>
          <t>VÄSTMANLANDS LÄN</t>
        </is>
      </c>
      <c r="G313" t="inlineStr">
        <is>
          <t>VÄSTERÅS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46274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46274</v>
      </c>
      <c r="F315" t="inlineStr">
        <is>
          <t>VÄSTMANLANDS LÄN</t>
        </is>
      </c>
      <c r="G315" t="inlineStr">
        <is>
          <t>VÄSTERÅS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45516</v>
      </c>
      <c r="E316" s="1" t="n">
        <v>46274</v>
      </c>
      <c r="F316" t="inlineStr">
        <is>
          <t>VÄSTMANLANDS LÄN</t>
        </is>
      </c>
      <c r="G316" t="inlineStr">
        <is>
          <t>VÄSTERÅS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53836-2022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44880</v>
      </c>
      <c r="E317" s="1" t="n">
        <v>46274</v>
      </c>
      <c r="F317" t="inlineStr">
        <is>
          <t>VÄSTMANLANDS LÄN</t>
        </is>
      </c>
      <c r="G317" t="inlineStr">
        <is>
          <t>VÄSTERÅS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44880</v>
      </c>
      <c r="E318" s="1" t="n">
        <v>46274</v>
      </c>
      <c r="F318" t="inlineStr">
        <is>
          <t>VÄSTMANLANDS LÄN</t>
        </is>
      </c>
      <c r="G318" t="inlineStr">
        <is>
          <t>VÄSTERÅS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46274</v>
      </c>
      <c r="F319" t="inlineStr">
        <is>
          <t>VÄSTMANLANDS LÄN</t>
        </is>
      </c>
      <c r="G319" t="inlineStr">
        <is>
          <t>VÄSTERÅS</t>
        </is>
      </c>
      <c r="I319" t="n">
        <v>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31578-2025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46274</v>
      </c>
      <c r="F320" t="inlineStr">
        <is>
          <t>VÄSTMANLANDS LÄN</t>
        </is>
      </c>
      <c r="G320" t="inlineStr">
        <is>
          <t>VÄSTERÅS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951-2020</t>
        </is>
      </c>
      <c r="B321" t="inlineStr">
        <is>
          <t>samrådsanmälan</t>
        </is>
      </c>
      <c r="C321" t="inlineStr">
        <is>
          <t>Åtgärd i nyckelbiotop</t>
        </is>
      </c>
      <c r="D321" s="1" t="n">
        <v>43948</v>
      </c>
      <c r="E321" s="1" t="n">
        <v>46274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Kommuner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3639-2022</t>
        </is>
      </c>
      <c r="B322" t="inlineStr">
        <is>
          <t>samrådsanmälan</t>
        </is>
      </c>
      <c r="C322" t="inlineStr">
        <is>
          <t>Skogsbilväg</t>
        </is>
      </c>
      <c r="D322" s="1" t="n">
        <v>44740</v>
      </c>
      <c r="E322" s="1" t="n">
        <v>46274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953-2023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45005</v>
      </c>
      <c r="E323" s="1" t="n">
        <v>46274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46274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696-2026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46091</v>
      </c>
      <c r="E325" s="1" t="n">
        <v>46274</v>
      </c>
      <c r="F325" t="inlineStr">
        <is>
          <t>VÄSTMANLANDS LÄN</t>
        </is>
      </c>
      <c r="G325" t="inlineStr">
        <is>
          <t>VÄSTERÅS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949-2026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46113</v>
      </c>
      <c r="E326" s="1" t="n">
        <v>46274</v>
      </c>
      <c r="F326" t="inlineStr">
        <is>
          <t>VÄSTMANLANDS LÄN</t>
        </is>
      </c>
      <c r="G326" t="inlineStr">
        <is>
          <t>VÄSTERÅS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1468-2026</t>
        </is>
      </c>
      <c r="B327" t="inlineStr">
        <is>
          <t>samrådsanmälan</t>
        </is>
      </c>
      <c r="C327" t="inlineStr">
        <is>
          <t>Dikesrensning</t>
        </is>
      </c>
      <c r="D327" s="1" t="n">
        <v>46134</v>
      </c>
      <c r="E327" s="1" t="n">
        <v>46274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2026-09-09T02:11:43Z</dcterms:created>
  <dcterms:modified xmlns:dcterms="http://purl.org/dc/terms/" xmlns:xsi="http://www.w3.org/2001/XMLSchema-instance" xsi:type="dcterms:W3CDTF">2026-09-09T02:11:43Z</dcterms:modified>
</cp:coreProperties>
</file>