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45875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45875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45875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45875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45875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45875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45875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45875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45875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Ortolansparv
Björktrast
Buskskvätta
Gulsparv
Vaktel
Göktyta
Röd glada
Sångsvan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22765-2019</t>
        </is>
      </c>
      <c r="B11" s="1" t="n">
        <v>43588</v>
      </c>
      <c r="C11" s="1" t="n">
        <v>45875</v>
      </c>
      <c r="D11" t="inlineStr">
        <is>
          <t>VÄSTMANLANDS LÄN</t>
        </is>
      </c>
      <c r="E11" t="inlineStr">
        <is>
          <t>VÄSTERÅS</t>
        </is>
      </c>
      <c r="G11" t="n">
        <v>14.2</v>
      </c>
      <c r="H11" t="n">
        <v>0</v>
      </c>
      <c r="I11" t="n">
        <v>2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Skogsalm
Ask
Aspstumpbagge
Björkstumpbagge
Tallticka
Blomkålssvamp
Blåmossa</t>
        </is>
      </c>
      <c r="S11">
        <f>HYPERLINK("https://klasma.github.io/Logging_1980/artfynd/A 22765-2019 artfynd.xlsx", "A 22765-2019")</f>
        <v/>
      </c>
      <c r="T11">
        <f>HYPERLINK("https://klasma.github.io/Logging_1980/kartor/A 22765-2019 karta.png", "A 22765-2019")</f>
        <v/>
      </c>
      <c r="V11">
        <f>HYPERLINK("https://klasma.github.io/Logging_1980/klagomål/A 22765-2019 FSC-klagomål.docx", "A 22765-2019")</f>
        <v/>
      </c>
      <c r="W11">
        <f>HYPERLINK("https://klasma.github.io/Logging_1980/klagomålsmail/A 22765-2019 FSC-klagomål mail.docx", "A 22765-2019")</f>
        <v/>
      </c>
      <c r="X11">
        <f>HYPERLINK("https://klasma.github.io/Logging_1980/tillsyn/A 22765-2019 tillsynsbegäran.docx", "A 22765-2019")</f>
        <v/>
      </c>
      <c r="Y11">
        <f>HYPERLINK("https://klasma.github.io/Logging_1980/tillsynsmail/A 22765-2019 tillsynsbegäran mail.docx", "A 22765-2019")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45875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45875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45875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45875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45875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45875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45875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45875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45875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45875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45875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45875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45875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45875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45875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45875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45875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45875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45875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45875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45875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45875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45875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45875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45875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45875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45875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45875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45875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45875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45875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45875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45875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45875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45875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45875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45875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45875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45875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45875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45875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45875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45875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45875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45875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45875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45875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45875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45875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45875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45875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45875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45875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45875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45875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45875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45875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45875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45875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45875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45875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45875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45875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45875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45875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45875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45875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45875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45875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45875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45875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45875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45875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45875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45875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45875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45875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45875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45875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45875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45875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45875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45875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45875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45875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45875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45875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45875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45875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45875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45875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45875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45875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45875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45875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45875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45875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45875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45875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45875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45875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45875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45875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45875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45875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45875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45875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45875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45875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45875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45875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45875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45875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45875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45875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45875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45875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45875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45875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45875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45875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45875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45875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45875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45875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45875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45875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45875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45875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45875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45875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45875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45875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45875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45875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45875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45875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45875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45875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45875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45875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45875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45875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45875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45875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45875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45875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45875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45875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45875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45875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45875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45875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45875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45875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45875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45875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45875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45875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45875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45875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45875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45875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45875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45875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45875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45875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45875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45875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45875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45875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45875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45875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45875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45875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45875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45875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45875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45875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45875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45875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45875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45875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45875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45875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45875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45875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45875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45875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45875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45875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45875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45875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45875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45875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45875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45875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45875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45875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45875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45875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45875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45875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45875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45875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45875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45875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45875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45875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45875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45875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45875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45875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45875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45875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45875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45875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45875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45875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45875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45875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45875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45875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45875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45875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45875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45875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45875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45875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45875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45875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45875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45875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45875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45875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45875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45875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45875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45875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45875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45875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45875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45875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45875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45875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45875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45875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45875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45875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45875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45875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45875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45875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45875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45875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45875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45875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45875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45875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45875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45875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45875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45875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45875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45875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45875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45875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45875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45875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45875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45875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45875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45875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45875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45875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45875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45875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45875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45875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45875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45875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45875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45875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45875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45875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45875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45875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45875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45875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45875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45875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45875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45875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45875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45875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45875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45875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45875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45875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45875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45875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45875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45875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45875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45875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45875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45875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45875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45875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45875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45875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45875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45875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45875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45875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45875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45875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45875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45875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45875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45875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45875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45875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45875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45875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45875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45875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45875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45875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45875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45875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45875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45875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45875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45875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45875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45875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45875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45875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45875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45875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45875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45875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45875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45875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45875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45875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45875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45875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45875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45875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45875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45875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45875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45875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45875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45875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45875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45875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45875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45875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45875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45875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45875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45875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45875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45875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45875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45875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45875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45875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45875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45875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45875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45875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45875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45875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45875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45875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45875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45875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45875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45875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45875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45875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45875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45875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45875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45875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45875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45875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45875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45875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45875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45875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45875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45875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45875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45875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45875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45875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45875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45875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45875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45875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45875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45875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45875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45875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45875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45875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45875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45875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45875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45875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45875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45875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45875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45875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45875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45875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45875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45875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45875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45875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45875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45875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45875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45875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45875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45875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45875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45875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45875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45875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45875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45875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45875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45875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45875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45875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45875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45875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45875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45875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45875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45875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45875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45875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45875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45875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45875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45875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45875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45875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45875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45875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45875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45875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45875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45875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45875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45875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45875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45875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45875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45875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45875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45875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45875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45875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45875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45875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45875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45875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45875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45875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45875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45875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45875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45875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45875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45875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45875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45875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45875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45875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45875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45875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45875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45875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45875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45875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45875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45875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45875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45875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45875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45875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45875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45875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45875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45875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45875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45875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45875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45875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45875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45875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45875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45875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45875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45875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45875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45875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45875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45875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45875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45875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45875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45875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45875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45875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45875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45875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45875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45875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45875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45875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45875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45875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45875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45875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45875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45875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45875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45875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45875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45875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45875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45875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45875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45875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45875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45875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45875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45875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45875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45875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45875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45875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45875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45875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45875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45875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45875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45875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45875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45875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45875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45875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45875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45875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45875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45875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45875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45875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45875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45875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45875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45875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45875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45875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45875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45875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45875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45875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45875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45875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45875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45875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45875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45875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45875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45875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45875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45875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45875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45875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45875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45875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45875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45875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45875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45875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45875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45875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45875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45875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45875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45875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45875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45875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45875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45875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45875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45875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45875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45875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45875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45875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45875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45875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45875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45875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45875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45875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45875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45875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45875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45875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45875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45875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45875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45875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45875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45875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45875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45875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45875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45875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45875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45875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45875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45875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45875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45875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45875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45875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45875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45875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45875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45875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45875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45875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45875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45875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45875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45875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45875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45875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45875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45875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45875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45875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45875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45875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45875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45875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45875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45875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45875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45875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45875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45875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45875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45875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45875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45875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45875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45875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45875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45875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45875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45875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45875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45875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45875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45875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45875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45875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45875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45875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45875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45875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45875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45875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45875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45875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45875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45875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45875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45875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45875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45875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45875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45875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45875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45875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45875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45875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45875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45875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45875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45875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45875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45875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45875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45875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45875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45875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45875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45875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45875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45875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45875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45875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45875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45875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45875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45875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45875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45875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45875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45875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45875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45875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45875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45875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45875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45875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45875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45875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45875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45875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45875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45875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45875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45875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45875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45875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45875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45875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45875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45875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45875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45875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45875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45875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45875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45875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45875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45875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45875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45875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45875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45875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45875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45875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45875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45875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45875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45875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45875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45875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45875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45875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45875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45875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45875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45875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45875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45875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45875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45875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45875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45875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45875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45875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45875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45875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45875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45875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45875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45875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45875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45875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45875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45875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45875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45875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45875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45875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45875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45875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45875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45875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45875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45875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45875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31361-2025</t>
        </is>
      </c>
      <c r="B814" s="1" t="n">
        <v>45833</v>
      </c>
      <c r="C814" s="1" t="n">
        <v>45875</v>
      </c>
      <c r="D814" t="inlineStr">
        <is>
          <t>VÄSTMANLANDS LÄN</t>
        </is>
      </c>
      <c r="E814" t="inlineStr">
        <is>
          <t>VÄSTERÅS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45875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32834-2025</t>
        </is>
      </c>
      <c r="B816" s="1" t="n">
        <v>45839</v>
      </c>
      <c r="C816" s="1" t="n">
        <v>45875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37022-2025</t>
        </is>
      </c>
      <c r="B817" s="1" t="n">
        <v>45874</v>
      </c>
      <c r="C817" s="1" t="n">
        <v>45875</v>
      </c>
      <c r="D817" t="inlineStr">
        <is>
          <t>VÄSTMANLANDS LÄN</t>
        </is>
      </c>
      <c r="E817" t="inlineStr">
        <is>
          <t>VÄSTERÅS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2025-08-06T19:57:29Z</dcterms:created>
  <dcterms:modified xmlns:dcterms="http://purl.org/dc/terms/" xmlns:xsi="http://www.w3.org/2001/XMLSchema-instance" xsi:type="dcterms:W3CDTF">2025-08-06T19:57:30Z</dcterms:modified>
</cp:coreProperties>
</file>