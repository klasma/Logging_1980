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45741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45741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45741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45741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45741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45741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45741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45741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45741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45741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45741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45741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45741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45741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45741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45741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45741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45741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45741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45741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45741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HYPERLINK("https://klasma.github.io/Logging_1980/artfynd/A 14265-2025 artfynd.xlsx", "A 14265-2025")</f>
        <v/>
      </c>
      <c r="T22">
        <f>HYPERLINK("https://klasma.github.io/Logging_1980/kartor/A 14265-2025 karta.png", "A 14265-2025")</f>
        <v/>
      </c>
      <c r="U22">
        <f>HYPERLINK("https://klasma.github.io/Logging_1980/knärot/A 14265-2025 karta knärot.png", "A 14265-2025")</f>
        <v/>
      </c>
      <c r="V22">
        <f>HYPERLINK("https://klasma.github.io/Logging_1980/klagomål/A 14265-2025 FSC-klagomål.docx", "A 14265-2025")</f>
        <v/>
      </c>
      <c r="W22">
        <f>HYPERLINK("https://klasma.github.io/Logging_1980/klagomålsmail/A 14265-2025 FSC-klagomål mail.docx", "A 14265-2025")</f>
        <v/>
      </c>
      <c r="X22">
        <f>HYPERLINK("https://klasma.github.io/Logging_1980/tillsyn/A 14265-2025 tillsynsbegäran.docx", "A 14265-2025")</f>
        <v/>
      </c>
      <c r="Y22">
        <f>HYPERLINK("https://klasma.github.io/Logging_1980/tillsynsmail/A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45741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45741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45741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45741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45741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45741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45741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45741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45741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45741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45741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45741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45741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21817-2020</t>
        </is>
      </c>
      <c r="B36" s="1" t="n">
        <v>43958</v>
      </c>
      <c r="C36" s="1" t="n">
        <v>45741</v>
      </c>
      <c r="D36" t="inlineStr">
        <is>
          <t>VÄSTMANLANDS LÄN</t>
        </is>
      </c>
      <c r="E36" t="inlineStr">
        <is>
          <t>VÄSTERÅS</t>
        </is>
      </c>
      <c r="F36" t="inlineStr">
        <is>
          <t>Kyrkan</t>
        </is>
      </c>
      <c r="G36" t="n">
        <v>9.5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Trubbfjädermossa</t>
        </is>
      </c>
      <c r="S36">
        <f>HYPERLINK("https://klasma.github.io/Logging_1980/artfynd/A 21817-2020 artfynd.xlsx", "A 21817-2020")</f>
        <v/>
      </c>
      <c r="T36">
        <f>HYPERLINK("https://klasma.github.io/Logging_1980/kartor/A 21817-2020 karta.png", "A 21817-2020")</f>
        <v/>
      </c>
      <c r="V36">
        <f>HYPERLINK("https://klasma.github.io/Logging_1980/klagomål/A 21817-2020 FSC-klagomål.docx", "A 21817-2020")</f>
        <v/>
      </c>
      <c r="W36">
        <f>HYPERLINK("https://klasma.github.io/Logging_1980/klagomålsmail/A 21817-2020 FSC-klagomål mail.docx", "A 21817-2020")</f>
        <v/>
      </c>
      <c r="X36">
        <f>HYPERLINK("https://klasma.github.io/Logging_1980/tillsyn/A 21817-2020 tillsynsbegäran.docx", "A 21817-2020")</f>
        <v/>
      </c>
      <c r="Y36">
        <f>HYPERLINK("https://klasma.github.io/Logging_1980/tillsynsmail/A 21817-2020 tillsynsbegäran mail.docx", "A 21817-2020")</f>
        <v/>
      </c>
    </row>
    <row r="37" ht="15" customHeight="1">
      <c r="A37" t="inlineStr">
        <is>
          <t>A 35708-2020</t>
        </is>
      </c>
      <c r="B37" s="1" t="n">
        <v>44032</v>
      </c>
      <c r="C37" s="1" t="n">
        <v>45741</v>
      </c>
      <c r="D37" t="inlineStr">
        <is>
          <t>VÄSTMANLANDS LÄN</t>
        </is>
      </c>
      <c r="E37" t="inlineStr">
        <is>
          <t>VÄSTERÅS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HYPERLINK("https://klasma.github.io/Logging_1980/artfynd/A 35708-2020 artfynd.xlsx", "A 35708-2020")</f>
        <v/>
      </c>
      <c r="T37">
        <f>HYPERLINK("https://klasma.github.io/Logging_1980/kartor/A 35708-2020 karta.png", "A 35708-2020")</f>
        <v/>
      </c>
      <c r="V37">
        <f>HYPERLINK("https://klasma.github.io/Logging_1980/klagomål/A 35708-2020 FSC-klagomål.docx", "A 35708-2020")</f>
        <v/>
      </c>
      <c r="W37">
        <f>HYPERLINK("https://klasma.github.io/Logging_1980/klagomålsmail/A 35708-2020 FSC-klagomål mail.docx", "A 35708-2020")</f>
        <v/>
      </c>
      <c r="X37">
        <f>HYPERLINK("https://klasma.github.io/Logging_1980/tillsyn/A 35708-2020 tillsynsbegäran.docx", "A 35708-2020")</f>
        <v/>
      </c>
      <c r="Y37">
        <f>HYPERLINK("https://klasma.github.io/Logging_1980/tillsynsmail/A 35708-2020 tillsynsbegäran mail.docx", "A 35708-2020")</f>
        <v/>
      </c>
    </row>
    <row r="38" ht="15" customHeight="1">
      <c r="A38" t="inlineStr">
        <is>
          <t>A 69308-2020</t>
        </is>
      </c>
      <c r="B38" s="1" t="n">
        <v>44188</v>
      </c>
      <c r="C38" s="1" t="n">
        <v>45741</v>
      </c>
      <c r="D38" t="inlineStr">
        <is>
          <t>VÄSTMANLANDS LÄN</t>
        </is>
      </c>
      <c r="E38" t="inlineStr">
        <is>
          <t>VÄSTERÅS</t>
        </is>
      </c>
      <c r="F38" t="inlineStr">
        <is>
          <t>Övriga Aktiebolag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HYPERLINK("https://klasma.github.io/Logging_1980/artfynd/A 69308-2020 artfynd.xlsx", "A 69308-2020")</f>
        <v/>
      </c>
      <c r="T38">
        <f>HYPERLINK("https://klasma.github.io/Logging_1980/kartor/A 69308-2020 karta.png", "A 69308-2020")</f>
        <v/>
      </c>
      <c r="V38">
        <f>HYPERLINK("https://klasma.github.io/Logging_1980/klagomål/A 69308-2020 FSC-klagomål.docx", "A 69308-2020")</f>
        <v/>
      </c>
      <c r="W38">
        <f>HYPERLINK("https://klasma.github.io/Logging_1980/klagomålsmail/A 69308-2020 FSC-klagomål mail.docx", "A 69308-2020")</f>
        <v/>
      </c>
      <c r="X38">
        <f>HYPERLINK("https://klasma.github.io/Logging_1980/tillsyn/A 69308-2020 tillsynsbegäran.docx", "A 69308-2020")</f>
        <v/>
      </c>
      <c r="Y38">
        <f>HYPERLINK("https://klasma.github.io/Logging_1980/tillsynsmail/A 69308-2020 tillsynsbegäran mail.docx", "A 69308-2020")</f>
        <v/>
      </c>
    </row>
    <row r="39" ht="15" customHeight="1">
      <c r="A39" t="inlineStr">
        <is>
          <t>A 32862-2021</t>
        </is>
      </c>
      <c r="B39" s="1" t="n">
        <v>44375</v>
      </c>
      <c r="C39" s="1" t="n">
        <v>45741</v>
      </c>
      <c r="D39" t="inlineStr">
        <is>
          <t>VÄSTMANLANDS LÄN</t>
        </is>
      </c>
      <c r="E39" t="inlineStr">
        <is>
          <t>VÄSTERÅS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32862-2021 artfynd.xlsx", "A 32862-2021")</f>
        <v/>
      </c>
      <c r="T39">
        <f>HYPERLINK("https://klasma.github.io/Logging_1980/kartor/A 32862-2021 karta.png", "A 32862-2021")</f>
        <v/>
      </c>
      <c r="V39">
        <f>HYPERLINK("https://klasma.github.io/Logging_1980/klagomål/A 32862-2021 FSC-klagomål.docx", "A 32862-2021")</f>
        <v/>
      </c>
      <c r="W39">
        <f>HYPERLINK("https://klasma.github.io/Logging_1980/klagomålsmail/A 32862-2021 FSC-klagomål mail.docx", "A 32862-2021")</f>
        <v/>
      </c>
      <c r="X39">
        <f>HYPERLINK("https://klasma.github.io/Logging_1980/tillsyn/A 32862-2021 tillsynsbegäran.docx", "A 32862-2021")</f>
        <v/>
      </c>
      <c r="Y39">
        <f>HYPERLINK("https://klasma.github.io/Logging_1980/tillsynsmail/A 32862-2021 tillsynsbegäran mail.docx", "A 32862-2021")</f>
        <v/>
      </c>
    </row>
    <row r="40" ht="15" customHeight="1">
      <c r="A40" t="inlineStr">
        <is>
          <t>A 37464-2021</t>
        </is>
      </c>
      <c r="B40" s="1" t="n">
        <v>44398</v>
      </c>
      <c r="C40" s="1" t="n">
        <v>45741</v>
      </c>
      <c r="D40" t="inlineStr">
        <is>
          <t>VÄSTMANLANDS LÄN</t>
        </is>
      </c>
      <c r="E40" t="inlineStr">
        <is>
          <t>VÄSTERÅS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37464-2021 artfynd.xlsx", "A 37464-2021")</f>
        <v/>
      </c>
      <c r="T40">
        <f>HYPERLINK("https://klasma.github.io/Logging_1980/kartor/A 37464-2021 karta.png", "A 37464-2021")</f>
        <v/>
      </c>
      <c r="V40">
        <f>HYPERLINK("https://klasma.github.io/Logging_1980/klagomål/A 37464-2021 FSC-klagomål.docx", "A 37464-2021")</f>
        <v/>
      </c>
      <c r="W40">
        <f>HYPERLINK("https://klasma.github.io/Logging_1980/klagomålsmail/A 37464-2021 FSC-klagomål mail.docx", "A 37464-2021")</f>
        <v/>
      </c>
      <c r="X40">
        <f>HYPERLINK("https://klasma.github.io/Logging_1980/tillsyn/A 37464-2021 tillsynsbegäran.docx", "A 37464-2021")</f>
        <v/>
      </c>
      <c r="Y40">
        <f>HYPERLINK("https://klasma.github.io/Logging_1980/tillsynsmail/A 37464-2021 tillsynsbegäran mail.docx", "A 37464-2021")</f>
        <v/>
      </c>
    </row>
    <row r="41" ht="15" customHeight="1">
      <c r="A41" t="inlineStr">
        <is>
          <t>A 39147-2021</t>
        </is>
      </c>
      <c r="B41" s="1" t="n">
        <v>44412</v>
      </c>
      <c r="C41" s="1" t="n">
        <v>45741</v>
      </c>
      <c r="D41" t="inlineStr">
        <is>
          <t>VÄSTMANLANDS LÄN</t>
        </is>
      </c>
      <c r="E41" t="inlineStr">
        <is>
          <t>VÄSTERÅS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Kornknutmossa</t>
        </is>
      </c>
      <c r="S41">
        <f>HYPERLINK("https://klasma.github.io/Logging_1980/artfynd/A 39147-2021 artfynd.xlsx", "A 39147-2021")</f>
        <v/>
      </c>
      <c r="T41">
        <f>HYPERLINK("https://klasma.github.io/Logging_1980/kartor/A 39147-2021 karta.png", "A 39147-2021")</f>
        <v/>
      </c>
      <c r="V41">
        <f>HYPERLINK("https://klasma.github.io/Logging_1980/klagomål/A 39147-2021 FSC-klagomål.docx", "A 39147-2021")</f>
        <v/>
      </c>
      <c r="W41">
        <f>HYPERLINK("https://klasma.github.io/Logging_1980/klagomålsmail/A 39147-2021 FSC-klagomål mail.docx", "A 39147-2021")</f>
        <v/>
      </c>
      <c r="X41">
        <f>HYPERLINK("https://klasma.github.io/Logging_1980/tillsyn/A 39147-2021 tillsynsbegäran.docx", "A 39147-2021")</f>
        <v/>
      </c>
      <c r="Y41">
        <f>HYPERLINK("https://klasma.github.io/Logging_1980/tillsynsmail/A 39147-2021 tillsynsbegäran mail.docx", "A 39147-2021")</f>
        <v/>
      </c>
    </row>
    <row r="42" ht="15" customHeight="1">
      <c r="A42" t="inlineStr">
        <is>
          <t>A 59566-2021</t>
        </is>
      </c>
      <c r="B42" s="1" t="n">
        <v>44491</v>
      </c>
      <c r="C42" s="1" t="n">
        <v>45741</v>
      </c>
      <c r="D42" t="inlineStr">
        <is>
          <t>VÄSTMANLANDS LÄN</t>
        </is>
      </c>
      <c r="E42" t="inlineStr">
        <is>
          <t>VÄSTERÅS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HYPERLINK("https://klasma.github.io/Logging_1980/artfynd/A 59566-2021 artfynd.xlsx", "A 59566-2021")</f>
        <v/>
      </c>
      <c r="T42">
        <f>HYPERLINK("https://klasma.github.io/Logging_1980/kartor/A 59566-2021 karta.png", "A 59566-2021")</f>
        <v/>
      </c>
      <c r="V42">
        <f>HYPERLINK("https://klasma.github.io/Logging_1980/klagomål/A 59566-2021 FSC-klagomål.docx", "A 59566-2021")</f>
        <v/>
      </c>
      <c r="W42">
        <f>HYPERLINK("https://klasma.github.io/Logging_1980/klagomålsmail/A 59566-2021 FSC-klagomål mail.docx", "A 59566-2021")</f>
        <v/>
      </c>
      <c r="X42">
        <f>HYPERLINK("https://klasma.github.io/Logging_1980/tillsyn/A 59566-2021 tillsynsbegäran.docx", "A 59566-2021")</f>
        <v/>
      </c>
      <c r="Y42">
        <f>HYPERLINK("https://klasma.github.io/Logging_1980/tillsynsmail/A 59566-2021 tillsynsbegäran mail.docx", "A 59566-2021")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45741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18282-2022</t>
        </is>
      </c>
      <c r="B44" s="1" t="n">
        <v>44685</v>
      </c>
      <c r="C44" s="1" t="n">
        <v>45741</v>
      </c>
      <c r="D44" t="inlineStr">
        <is>
          <t>VÄSTMANLANDS LÄN</t>
        </is>
      </c>
      <c r="E44" t="inlineStr">
        <is>
          <t>VÄSTERÅS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HYPERLINK("https://klasma.github.io/Logging_1980/artfynd/A 18282-2022 artfynd.xlsx", "A 18282-2022")</f>
        <v/>
      </c>
      <c r="T44">
        <f>HYPERLINK("https://klasma.github.io/Logging_1980/kartor/A 18282-2022 karta.png", "A 18282-2022")</f>
        <v/>
      </c>
      <c r="V44">
        <f>HYPERLINK("https://klasma.github.io/Logging_1980/klagomål/A 18282-2022 FSC-klagomål.docx", "A 18282-2022")</f>
        <v/>
      </c>
      <c r="W44">
        <f>HYPERLINK("https://klasma.github.io/Logging_1980/klagomålsmail/A 18282-2022 FSC-klagomål mail.docx", "A 18282-2022")</f>
        <v/>
      </c>
      <c r="X44">
        <f>HYPERLINK("https://klasma.github.io/Logging_1980/tillsyn/A 18282-2022 tillsynsbegäran.docx", "A 18282-2022")</f>
        <v/>
      </c>
      <c r="Y44">
        <f>HYPERLINK("https://klasma.github.io/Logging_1980/tillsynsmail/A 18282-2022 tillsynsbegäran mail.docx", "A 18282-2022")</f>
        <v/>
      </c>
      <c r="Z44">
        <f>HYPERLINK("https://klasma.github.io/Logging_1980/fåglar/A 18282-2022 prioriterade fågelarter.docx", "A 18282-2022")</f>
        <v/>
      </c>
    </row>
    <row r="45" ht="15" customHeight="1">
      <c r="A45" t="inlineStr">
        <is>
          <t>A 30319-2022</t>
        </is>
      </c>
      <c r="B45" s="1" t="n">
        <v>44760</v>
      </c>
      <c r="C45" s="1" t="n">
        <v>45741</v>
      </c>
      <c r="D45" t="inlineStr">
        <is>
          <t>VÄSTMANLANDS LÄN</t>
        </is>
      </c>
      <c r="E45" t="inlineStr">
        <is>
          <t>VÄSTERÅS</t>
        </is>
      </c>
      <c r="G45" t="n">
        <v>4.3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HYPERLINK("https://klasma.github.io/Logging_1980/artfynd/A 30319-2022 artfynd.xlsx", "A 30319-2022")</f>
        <v/>
      </c>
      <c r="T45">
        <f>HYPERLINK("https://klasma.github.io/Logging_1980/kartor/A 30319-2022 karta.png", "A 30319-2022")</f>
        <v/>
      </c>
      <c r="V45">
        <f>HYPERLINK("https://klasma.github.io/Logging_1980/klagomål/A 30319-2022 FSC-klagomål.docx", "A 30319-2022")</f>
        <v/>
      </c>
      <c r="W45">
        <f>HYPERLINK("https://klasma.github.io/Logging_1980/klagomålsmail/A 30319-2022 FSC-klagomål mail.docx", "A 30319-2022")</f>
        <v/>
      </c>
      <c r="X45">
        <f>HYPERLINK("https://klasma.github.io/Logging_1980/tillsyn/A 30319-2022 tillsynsbegäran.docx", "A 30319-2022")</f>
        <v/>
      </c>
      <c r="Y45">
        <f>HYPERLINK("https://klasma.github.io/Logging_1980/tillsynsmail/A 30319-2022 tillsynsbegäran mail.docx", "A 30319-2022")</f>
        <v/>
      </c>
    </row>
    <row r="46" ht="15" customHeight="1">
      <c r="A46" t="inlineStr">
        <is>
          <t>A 30759-2022</t>
        </is>
      </c>
      <c r="B46" s="1" t="n">
        <v>44764</v>
      </c>
      <c r="C46" s="1" t="n">
        <v>45741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HYPERLINK("https://klasma.github.io/Logging_1980/artfynd/A 30759-2022 artfynd.xlsx", "A 30759-2022")</f>
        <v/>
      </c>
      <c r="T46">
        <f>HYPERLINK("https://klasma.github.io/Logging_1980/kartor/A 30759-2022 karta.png", "A 30759-2022")</f>
        <v/>
      </c>
      <c r="V46">
        <f>HYPERLINK("https://klasma.github.io/Logging_1980/klagomål/A 30759-2022 FSC-klagomål.docx", "A 30759-2022")</f>
        <v/>
      </c>
      <c r="W46">
        <f>HYPERLINK("https://klasma.github.io/Logging_1980/klagomålsmail/A 30759-2022 FSC-klagomål mail.docx", "A 30759-2022")</f>
        <v/>
      </c>
      <c r="X46">
        <f>HYPERLINK("https://klasma.github.io/Logging_1980/tillsyn/A 30759-2022 tillsynsbegäran.docx", "A 30759-2022")</f>
        <v/>
      </c>
      <c r="Y46">
        <f>HYPERLINK("https://klasma.github.io/Logging_1980/tillsynsmail/A 30759-2022 tillsynsbegäran mail.docx", "A 30759-2022")</f>
        <v/>
      </c>
    </row>
    <row r="47" ht="15" customHeight="1">
      <c r="A47" t="inlineStr">
        <is>
          <t>A 31568-2022</t>
        </is>
      </c>
      <c r="B47" s="1" t="n">
        <v>44775</v>
      </c>
      <c r="C47" s="1" t="n">
        <v>45741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HYPERLINK("https://klasma.github.io/Logging_1980/artfynd/A 31568-2022 artfynd.xlsx", "A 31568-2022")</f>
        <v/>
      </c>
      <c r="T47">
        <f>HYPERLINK("https://klasma.github.io/Logging_1980/kartor/A 31568-2022 karta.png", "A 31568-2022")</f>
        <v/>
      </c>
      <c r="V47">
        <f>HYPERLINK("https://klasma.github.io/Logging_1980/klagomål/A 31568-2022 FSC-klagomål.docx", "A 31568-2022")</f>
        <v/>
      </c>
      <c r="W47">
        <f>HYPERLINK("https://klasma.github.io/Logging_1980/klagomålsmail/A 31568-2022 FSC-klagomål mail.docx", "A 31568-2022")</f>
        <v/>
      </c>
      <c r="X47">
        <f>HYPERLINK("https://klasma.github.io/Logging_1980/tillsyn/A 31568-2022 tillsynsbegäran.docx", "A 31568-2022")</f>
        <v/>
      </c>
      <c r="Y47">
        <f>HYPERLINK("https://klasma.github.io/Logging_1980/tillsynsmail/A 31568-2022 tillsynsbegäran mail.docx", "A 31568-2022")</f>
        <v/>
      </c>
    </row>
    <row r="48" ht="15" customHeight="1">
      <c r="A48" t="inlineStr">
        <is>
          <t>A 46098-2022</t>
        </is>
      </c>
      <c r="B48" s="1" t="n">
        <v>44847</v>
      </c>
      <c r="C48" s="1" t="n">
        <v>45741</v>
      </c>
      <c r="D48" t="inlineStr">
        <is>
          <t>VÄSTMANLANDS LÄN</t>
        </is>
      </c>
      <c r="E48" t="inlineStr">
        <is>
          <t>VÄSTERÅS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Flattoppad klubbsvamp</t>
        </is>
      </c>
      <c r="S48">
        <f>HYPERLINK("https://klasma.github.io/Logging_1980/artfynd/A 46098-2022 artfynd.xlsx", "A 46098-2022")</f>
        <v/>
      </c>
      <c r="T48">
        <f>HYPERLINK("https://klasma.github.io/Logging_1980/kartor/A 46098-2022 karta.png", "A 46098-2022")</f>
        <v/>
      </c>
      <c r="V48">
        <f>HYPERLINK("https://klasma.github.io/Logging_1980/klagomål/A 46098-2022 FSC-klagomål.docx", "A 46098-2022")</f>
        <v/>
      </c>
      <c r="W48">
        <f>HYPERLINK("https://klasma.github.io/Logging_1980/klagomålsmail/A 46098-2022 FSC-klagomål mail.docx", "A 46098-2022")</f>
        <v/>
      </c>
      <c r="X48">
        <f>HYPERLINK("https://klasma.github.io/Logging_1980/tillsyn/A 46098-2022 tillsynsbegäran.docx", "A 46098-2022")</f>
        <v/>
      </c>
      <c r="Y48">
        <f>HYPERLINK("https://klasma.github.io/Logging_1980/tillsynsmail/A 46098-2022 tillsynsbegäran mail.docx", "A 46098-2022")</f>
        <v/>
      </c>
    </row>
    <row r="49" ht="15" customHeight="1">
      <c r="A49" t="inlineStr">
        <is>
          <t>A 7832-2023</t>
        </is>
      </c>
      <c r="B49" s="1" t="n">
        <v>44973</v>
      </c>
      <c r="C49" s="1" t="n">
        <v>45741</v>
      </c>
      <c r="D49" t="inlineStr">
        <is>
          <t>VÄSTMANLANDS LÄN</t>
        </is>
      </c>
      <c r="E49" t="inlineStr">
        <is>
          <t>VÄSTERÅS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7832-2023 artfynd.xlsx", "A 7832-2023")</f>
        <v/>
      </c>
      <c r="T49">
        <f>HYPERLINK("https://klasma.github.io/Logging_1980/kartor/A 7832-2023 karta.png", "A 7832-2023")</f>
        <v/>
      </c>
      <c r="V49">
        <f>HYPERLINK("https://klasma.github.io/Logging_1980/klagomål/A 7832-2023 FSC-klagomål.docx", "A 7832-2023")</f>
        <v/>
      </c>
      <c r="W49">
        <f>HYPERLINK("https://klasma.github.io/Logging_1980/klagomålsmail/A 7832-2023 FSC-klagomål mail.docx", "A 7832-2023")</f>
        <v/>
      </c>
      <c r="X49">
        <f>HYPERLINK("https://klasma.github.io/Logging_1980/tillsyn/A 7832-2023 tillsynsbegäran.docx", "A 7832-2023")</f>
        <v/>
      </c>
      <c r="Y49">
        <f>HYPERLINK("https://klasma.github.io/Logging_1980/tillsynsmail/A 7832-2023 tillsynsbegäran mail.docx", "A 7832-2023")</f>
        <v/>
      </c>
      <c r="Z49">
        <f>HYPERLINK("https://klasma.github.io/Logging_1980/fåglar/A 7832-2023 prioriterade fågelarter.docx", "A 7832-2023")</f>
        <v/>
      </c>
    </row>
    <row r="50" ht="15" customHeight="1">
      <c r="A50" t="inlineStr">
        <is>
          <t>A 24486-2023</t>
        </is>
      </c>
      <c r="B50" s="1" t="n">
        <v>45082</v>
      </c>
      <c r="C50" s="1" t="n">
        <v>45741</v>
      </c>
      <c r="D50" t="inlineStr">
        <is>
          <t>VÄSTMANLANDS LÄN</t>
        </is>
      </c>
      <c r="E50" t="inlineStr">
        <is>
          <t>VÄSTERÅS</t>
        </is>
      </c>
      <c r="G50" t="n">
        <v>12.8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24486-2023 artfynd.xlsx", "A 24486-2023")</f>
        <v/>
      </c>
      <c r="T50">
        <f>HYPERLINK("https://klasma.github.io/Logging_1980/kartor/A 24486-2023 karta.png", "A 24486-2023")</f>
        <v/>
      </c>
      <c r="V50">
        <f>HYPERLINK("https://klasma.github.io/Logging_1980/klagomål/A 24486-2023 FSC-klagomål.docx", "A 24486-2023")</f>
        <v/>
      </c>
      <c r="W50">
        <f>HYPERLINK("https://klasma.github.io/Logging_1980/klagomålsmail/A 24486-2023 FSC-klagomål mail.docx", "A 24486-2023")</f>
        <v/>
      </c>
      <c r="X50">
        <f>HYPERLINK("https://klasma.github.io/Logging_1980/tillsyn/A 24486-2023 tillsynsbegäran.docx", "A 24486-2023")</f>
        <v/>
      </c>
      <c r="Y50">
        <f>HYPERLINK("https://klasma.github.io/Logging_1980/tillsynsmail/A 24486-2023 tillsynsbegäran mail.docx", "A 24486-2023")</f>
        <v/>
      </c>
    </row>
    <row r="51" ht="15" customHeight="1">
      <c r="A51" t="inlineStr">
        <is>
          <t>A 29787-2023</t>
        </is>
      </c>
      <c r="B51" s="1" t="n">
        <v>45107</v>
      </c>
      <c r="C51" s="1" t="n">
        <v>45741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HYPERLINK("https://klasma.github.io/Logging_1980/artfynd/A 29787-2023 artfynd.xlsx", "A 29787-2023")</f>
        <v/>
      </c>
      <c r="T51">
        <f>HYPERLINK("https://klasma.github.io/Logging_1980/kartor/A 29787-2023 karta.png", "A 29787-2023")</f>
        <v/>
      </c>
      <c r="V51">
        <f>HYPERLINK("https://klasma.github.io/Logging_1980/klagomål/A 29787-2023 FSC-klagomål.docx", "A 29787-2023")</f>
        <v/>
      </c>
      <c r="W51">
        <f>HYPERLINK("https://klasma.github.io/Logging_1980/klagomålsmail/A 29787-2023 FSC-klagomål mail.docx", "A 29787-2023")</f>
        <v/>
      </c>
      <c r="X51">
        <f>HYPERLINK("https://klasma.github.io/Logging_1980/tillsyn/A 29787-2023 tillsynsbegäran.docx", "A 29787-2023")</f>
        <v/>
      </c>
      <c r="Y51">
        <f>HYPERLINK("https://klasma.github.io/Logging_1980/tillsynsmail/A 29787-2023 tillsynsbegäran mail.docx", "A 29787-2023")</f>
        <v/>
      </c>
    </row>
    <row r="52" ht="15" customHeight="1">
      <c r="A52" t="inlineStr">
        <is>
          <t>A 30084-2023</t>
        </is>
      </c>
      <c r="B52" s="1" t="n">
        <v>45110</v>
      </c>
      <c r="C52" s="1" t="n">
        <v>45741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HYPERLINK("https://klasma.github.io/Logging_1980/artfynd/A 30084-2023 artfynd.xlsx", "A 30084-2023")</f>
        <v/>
      </c>
      <c r="T52">
        <f>HYPERLINK("https://klasma.github.io/Logging_1980/kartor/A 30084-2023 karta.png", "A 30084-2023")</f>
        <v/>
      </c>
      <c r="V52">
        <f>HYPERLINK("https://klasma.github.io/Logging_1980/klagomål/A 30084-2023 FSC-klagomål.docx", "A 30084-2023")</f>
        <v/>
      </c>
      <c r="W52">
        <f>HYPERLINK("https://klasma.github.io/Logging_1980/klagomålsmail/A 30084-2023 FSC-klagomål mail.docx", "A 30084-2023")</f>
        <v/>
      </c>
      <c r="X52">
        <f>HYPERLINK("https://klasma.github.io/Logging_1980/tillsyn/A 30084-2023 tillsynsbegäran.docx", "A 30084-2023")</f>
        <v/>
      </c>
      <c r="Y52">
        <f>HYPERLINK("https://klasma.github.io/Logging_1980/tillsynsmail/A 30084-2023 tillsynsbegäran mail.docx", "A 30084-2023")</f>
        <v/>
      </c>
    </row>
    <row r="53" ht="15" customHeight="1">
      <c r="A53" t="inlineStr">
        <is>
          <t>A 31354-2023</t>
        </is>
      </c>
      <c r="B53" s="1" t="n">
        <v>45114</v>
      </c>
      <c r="C53" s="1" t="n">
        <v>45741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HYPERLINK("https://klasma.github.io/Logging_1980/artfynd/A 31354-2023 artfynd.xlsx", "A 31354-2023")</f>
        <v/>
      </c>
      <c r="T53">
        <f>HYPERLINK("https://klasma.github.io/Logging_1980/kartor/A 31354-2023 karta.png", "A 31354-2023")</f>
        <v/>
      </c>
      <c r="V53">
        <f>HYPERLINK("https://klasma.github.io/Logging_1980/klagomål/A 31354-2023 FSC-klagomål.docx", "A 31354-2023")</f>
        <v/>
      </c>
      <c r="W53">
        <f>HYPERLINK("https://klasma.github.io/Logging_1980/klagomålsmail/A 31354-2023 FSC-klagomål mail.docx", "A 31354-2023")</f>
        <v/>
      </c>
      <c r="X53">
        <f>HYPERLINK("https://klasma.github.io/Logging_1980/tillsyn/A 31354-2023 tillsynsbegäran.docx", "A 31354-2023")</f>
        <v/>
      </c>
      <c r="Y53">
        <f>HYPERLINK("https://klasma.github.io/Logging_1980/tillsynsmail/A 31354-2023 tillsynsbegäran mail.docx", "A 31354-2023")</f>
        <v/>
      </c>
      <c r="Z53">
        <f>HYPERLINK("https://klasma.github.io/Logging_1980/fåglar/A 31354-2023 prioriterade fågelarter.docx", "A 31354-2023")</f>
        <v/>
      </c>
    </row>
    <row r="54" ht="15" customHeight="1">
      <c r="A54" t="inlineStr">
        <is>
          <t>A 38849-2023</t>
        </is>
      </c>
      <c r="B54" s="1" t="n">
        <v>45163</v>
      </c>
      <c r="C54" s="1" t="n">
        <v>45741</v>
      </c>
      <c r="D54" t="inlineStr">
        <is>
          <t>VÄSTMANLANDS LÄN</t>
        </is>
      </c>
      <c r="E54" t="inlineStr">
        <is>
          <t>VÄSTERÅS</t>
        </is>
      </c>
      <c r="G54" t="n">
        <v>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HYPERLINK("https://klasma.github.io/Logging_1980/artfynd/A 38849-2023 artfynd.xlsx", "A 38849-2023")</f>
        <v/>
      </c>
      <c r="T54">
        <f>HYPERLINK("https://klasma.github.io/Logging_1980/kartor/A 38849-2023 karta.png", "A 38849-2023")</f>
        <v/>
      </c>
      <c r="V54">
        <f>HYPERLINK("https://klasma.github.io/Logging_1980/klagomål/A 38849-2023 FSC-klagomål.docx", "A 38849-2023")</f>
        <v/>
      </c>
      <c r="W54">
        <f>HYPERLINK("https://klasma.github.io/Logging_1980/klagomålsmail/A 38849-2023 FSC-klagomål mail.docx", "A 38849-2023")</f>
        <v/>
      </c>
      <c r="X54">
        <f>HYPERLINK("https://klasma.github.io/Logging_1980/tillsyn/A 38849-2023 tillsynsbegäran.docx", "A 38849-2023")</f>
        <v/>
      </c>
      <c r="Y54">
        <f>HYPERLINK("https://klasma.github.io/Logging_1980/tillsynsmail/A 38849-2023 tillsynsbegäran mail.docx", "A 38849-2023")</f>
        <v/>
      </c>
      <c r="Z54">
        <f>HYPERLINK("https://klasma.github.io/Logging_1980/fåglar/A 38849-2023 prioriterade fågelarter.docx", "A 38849-2023")</f>
        <v/>
      </c>
    </row>
    <row r="55" ht="15" customHeight="1">
      <c r="A55" t="inlineStr">
        <is>
          <t>A 40302-2023</t>
        </is>
      </c>
      <c r="B55" s="1" t="n">
        <v>45169</v>
      </c>
      <c r="C55" s="1" t="n">
        <v>45741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HYPERLINK("https://klasma.github.io/Logging_1980/artfynd/A 40302-2023 artfynd.xlsx", "A 40302-2023")</f>
        <v/>
      </c>
      <c r="T55">
        <f>HYPERLINK("https://klasma.github.io/Logging_1980/kartor/A 40302-2023 karta.png", "A 40302-2023")</f>
        <v/>
      </c>
      <c r="V55">
        <f>HYPERLINK("https://klasma.github.io/Logging_1980/klagomål/A 40302-2023 FSC-klagomål.docx", "A 40302-2023")</f>
        <v/>
      </c>
      <c r="W55">
        <f>HYPERLINK("https://klasma.github.io/Logging_1980/klagomålsmail/A 40302-2023 FSC-klagomål mail.docx", "A 40302-2023")</f>
        <v/>
      </c>
      <c r="X55">
        <f>HYPERLINK("https://klasma.github.io/Logging_1980/tillsyn/A 40302-2023 tillsynsbegäran.docx", "A 40302-2023")</f>
        <v/>
      </c>
      <c r="Y55">
        <f>HYPERLINK("https://klasma.github.io/Logging_1980/tillsynsmail/A 40302-2023 tillsynsbegäran mail.docx", "A 40302-2023")</f>
        <v/>
      </c>
    </row>
    <row r="56" ht="15" customHeight="1">
      <c r="A56" t="inlineStr">
        <is>
          <t>A 47695-2023</t>
        </is>
      </c>
      <c r="B56" s="1" t="n">
        <v>45203</v>
      </c>
      <c r="C56" s="1" t="n">
        <v>45741</v>
      </c>
      <c r="D56" t="inlineStr">
        <is>
          <t>VÄSTMANLANDS LÄN</t>
        </is>
      </c>
      <c r="E56" t="inlineStr">
        <is>
          <t>VÄSTERÅS</t>
        </is>
      </c>
      <c r="G56" t="n">
        <v>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HYPERLINK("https://klasma.github.io/Logging_1980/artfynd/A 47695-2023 artfynd.xlsx", "A 47695-2023")</f>
        <v/>
      </c>
      <c r="T56">
        <f>HYPERLINK("https://klasma.github.io/Logging_1980/kartor/A 47695-2023 karta.png", "A 47695-2023")</f>
        <v/>
      </c>
      <c r="V56">
        <f>HYPERLINK("https://klasma.github.io/Logging_1980/klagomål/A 47695-2023 FSC-klagomål.docx", "A 47695-2023")</f>
        <v/>
      </c>
      <c r="W56">
        <f>HYPERLINK("https://klasma.github.io/Logging_1980/klagomålsmail/A 47695-2023 FSC-klagomål mail.docx", "A 47695-2023")</f>
        <v/>
      </c>
      <c r="X56">
        <f>HYPERLINK("https://klasma.github.io/Logging_1980/tillsyn/A 47695-2023 tillsynsbegäran.docx", "A 47695-2023")</f>
        <v/>
      </c>
      <c r="Y56">
        <f>HYPERLINK("https://klasma.github.io/Logging_1980/tillsynsmail/A 47695-2023 tillsynsbegäran mail.docx", "A 47695-2023")</f>
        <v/>
      </c>
    </row>
    <row r="57" ht="15" customHeight="1">
      <c r="A57" t="inlineStr">
        <is>
          <t>A 55684-2023</t>
        </is>
      </c>
      <c r="B57" s="1" t="n">
        <v>45232</v>
      </c>
      <c r="C57" s="1" t="n">
        <v>45741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HYPERLINK("https://klasma.github.io/Logging_1980/artfynd/A 55684-2023 artfynd.xlsx", "A 55684-2023")</f>
        <v/>
      </c>
      <c r="T57">
        <f>HYPERLINK("https://klasma.github.io/Logging_1980/kartor/A 55684-2023 karta.png", "A 55684-2023")</f>
        <v/>
      </c>
      <c r="V57">
        <f>HYPERLINK("https://klasma.github.io/Logging_1980/klagomål/A 55684-2023 FSC-klagomål.docx", "A 55684-2023")</f>
        <v/>
      </c>
      <c r="W57">
        <f>HYPERLINK("https://klasma.github.io/Logging_1980/klagomålsmail/A 55684-2023 FSC-klagomål mail.docx", "A 55684-2023")</f>
        <v/>
      </c>
      <c r="X57">
        <f>HYPERLINK("https://klasma.github.io/Logging_1980/tillsyn/A 55684-2023 tillsynsbegäran.docx", "A 55684-2023")</f>
        <v/>
      </c>
      <c r="Y57">
        <f>HYPERLINK("https://klasma.github.io/Logging_1980/tillsynsmail/A 55684-2023 tillsynsbegäran mail.docx", "A 55684-2023")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45741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6249-2024</t>
        </is>
      </c>
      <c r="B59" s="1" t="n">
        <v>45337</v>
      </c>
      <c r="C59" s="1" t="n">
        <v>45741</v>
      </c>
      <c r="D59" t="inlineStr">
        <is>
          <t>VÄSTMANLANDS LÄN</t>
        </is>
      </c>
      <c r="E59" t="inlineStr">
        <is>
          <t>VÄSTERÅS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Grönfink</t>
        </is>
      </c>
      <c r="S59">
        <f>HYPERLINK("https://klasma.github.io/Logging_1980/artfynd/A 6249-2024 artfynd.xlsx", "A 6249-2024")</f>
        <v/>
      </c>
      <c r="T59">
        <f>HYPERLINK("https://klasma.github.io/Logging_1980/kartor/A 6249-2024 karta.png", "A 6249-2024")</f>
        <v/>
      </c>
      <c r="V59">
        <f>HYPERLINK("https://klasma.github.io/Logging_1980/klagomål/A 6249-2024 FSC-klagomål.docx", "A 6249-2024")</f>
        <v/>
      </c>
      <c r="W59">
        <f>HYPERLINK("https://klasma.github.io/Logging_1980/klagomålsmail/A 6249-2024 FSC-klagomål mail.docx", "A 6249-2024")</f>
        <v/>
      </c>
      <c r="X59">
        <f>HYPERLINK("https://klasma.github.io/Logging_1980/tillsyn/A 6249-2024 tillsynsbegäran.docx", "A 6249-2024")</f>
        <v/>
      </c>
      <c r="Y59">
        <f>HYPERLINK("https://klasma.github.io/Logging_1980/tillsynsmail/A 6249-2024 tillsynsbegäran mail.docx", "A 6249-2024")</f>
        <v/>
      </c>
      <c r="Z59">
        <f>HYPERLINK("https://klasma.github.io/Logging_1980/fåglar/A 6249-2024 prioriterade fågelarter.docx", "A 6249-2024")</f>
        <v/>
      </c>
    </row>
    <row r="60" ht="15" customHeight="1">
      <c r="A60" t="inlineStr">
        <is>
          <t>A 16015-2024</t>
        </is>
      </c>
      <c r="B60" s="1" t="n">
        <v>45405</v>
      </c>
      <c r="C60" s="1" t="n">
        <v>45741</v>
      </c>
      <c r="D60" t="inlineStr">
        <is>
          <t>VÄSTMANLANDS LÄN</t>
        </is>
      </c>
      <c r="E60" t="inlineStr">
        <is>
          <t>VÄSTERÅS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HYPERLINK("https://klasma.github.io/Logging_1980/artfynd/A 16015-2024 artfynd.xlsx", "A 16015-2024")</f>
        <v/>
      </c>
      <c r="T60">
        <f>HYPERLINK("https://klasma.github.io/Logging_1980/kartor/A 16015-2024 karta.png", "A 16015-2024")</f>
        <v/>
      </c>
      <c r="V60">
        <f>HYPERLINK("https://klasma.github.io/Logging_1980/klagomål/A 16015-2024 FSC-klagomål.docx", "A 16015-2024")</f>
        <v/>
      </c>
      <c r="W60">
        <f>HYPERLINK("https://klasma.github.io/Logging_1980/klagomålsmail/A 16015-2024 FSC-klagomål mail.docx", "A 16015-2024")</f>
        <v/>
      </c>
      <c r="X60">
        <f>HYPERLINK("https://klasma.github.io/Logging_1980/tillsyn/A 16015-2024 tillsynsbegäran.docx", "A 16015-2024")</f>
        <v/>
      </c>
      <c r="Y60">
        <f>HYPERLINK("https://klasma.github.io/Logging_1980/tillsynsmail/A 16015-2024 tillsynsbegäran mail.docx", "A 16015-2024")</f>
        <v/>
      </c>
    </row>
    <row r="61" ht="15" customHeight="1">
      <c r="A61" t="inlineStr">
        <is>
          <t>A 18148-2024</t>
        </is>
      </c>
      <c r="B61" s="1" t="n">
        <v>45420</v>
      </c>
      <c r="C61" s="1" t="n">
        <v>45741</v>
      </c>
      <c r="D61" t="inlineStr">
        <is>
          <t>VÄSTMANLANDS LÄN</t>
        </is>
      </c>
      <c r="E61" t="inlineStr">
        <is>
          <t>VÄSTERÅS</t>
        </is>
      </c>
      <c r="G61" t="n">
        <v>11.2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HYPERLINK("https://klasma.github.io/Logging_1980/artfynd/A 18148-2024 artfynd.xlsx", "A 18148-2024")</f>
        <v/>
      </c>
      <c r="T61">
        <f>HYPERLINK("https://klasma.github.io/Logging_1980/kartor/A 18148-2024 karta.png", "A 18148-2024")</f>
        <v/>
      </c>
      <c r="V61">
        <f>HYPERLINK("https://klasma.github.io/Logging_1980/klagomål/A 18148-2024 FSC-klagomål.docx", "A 18148-2024")</f>
        <v/>
      </c>
      <c r="W61">
        <f>HYPERLINK("https://klasma.github.io/Logging_1980/klagomålsmail/A 18148-2024 FSC-klagomål mail.docx", "A 18148-2024")</f>
        <v/>
      </c>
      <c r="X61">
        <f>HYPERLINK("https://klasma.github.io/Logging_1980/tillsyn/A 18148-2024 tillsynsbegäran.docx", "A 18148-2024")</f>
        <v/>
      </c>
      <c r="Y61">
        <f>HYPERLINK("https://klasma.github.io/Logging_1980/tillsynsmail/A 18148-2024 tillsynsbegäran mail.docx", "A 18148-2024")</f>
        <v/>
      </c>
    </row>
    <row r="62" ht="15" customHeight="1">
      <c r="A62" t="inlineStr">
        <is>
          <t>A 23444-2024</t>
        </is>
      </c>
      <c r="B62" s="1" t="n">
        <v>45453</v>
      </c>
      <c r="C62" s="1" t="n">
        <v>45741</v>
      </c>
      <c r="D62" t="inlineStr">
        <is>
          <t>VÄSTMANLANDS LÄN</t>
        </is>
      </c>
      <c r="E62" t="inlineStr">
        <is>
          <t>VÄSTERÅS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HYPERLINK("https://klasma.github.io/Logging_1980/artfynd/A 23444-2024 artfynd.xlsx", "A 23444-2024")</f>
        <v/>
      </c>
      <c r="T62">
        <f>HYPERLINK("https://klasma.github.io/Logging_1980/kartor/A 23444-2024 karta.png", "A 23444-2024")</f>
        <v/>
      </c>
      <c r="V62">
        <f>HYPERLINK("https://klasma.github.io/Logging_1980/klagomål/A 23444-2024 FSC-klagomål.docx", "A 23444-2024")</f>
        <v/>
      </c>
      <c r="W62">
        <f>HYPERLINK("https://klasma.github.io/Logging_1980/klagomålsmail/A 23444-2024 FSC-klagomål mail.docx", "A 23444-2024")</f>
        <v/>
      </c>
      <c r="X62">
        <f>HYPERLINK("https://klasma.github.io/Logging_1980/tillsyn/A 23444-2024 tillsynsbegäran.docx", "A 23444-2024")</f>
        <v/>
      </c>
      <c r="Y62">
        <f>HYPERLINK("https://klasma.github.io/Logging_1980/tillsynsmail/A 23444-2024 tillsynsbegäran mail.docx", "A 23444-2024")</f>
        <v/>
      </c>
    </row>
    <row r="63" ht="15" customHeight="1">
      <c r="A63" t="inlineStr">
        <is>
          <t>A 51912-2024</t>
        </is>
      </c>
      <c r="B63" s="1" t="n">
        <v>45607</v>
      </c>
      <c r="C63" s="1" t="n">
        <v>45741</v>
      </c>
      <c r="D63" t="inlineStr">
        <is>
          <t>VÄSTMANLANDS LÄN</t>
        </is>
      </c>
      <c r="E63" t="inlineStr">
        <is>
          <t>VÄSTERÅS</t>
        </is>
      </c>
      <c r="G63" t="n">
        <v>13.2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HYPERLINK("https://klasma.github.io/Logging_1980/artfynd/A 51912-2024 artfynd.xlsx", "A 51912-2024")</f>
        <v/>
      </c>
      <c r="T63">
        <f>HYPERLINK("https://klasma.github.io/Logging_1980/kartor/A 51912-2024 karta.png", "A 51912-2024")</f>
        <v/>
      </c>
      <c r="V63">
        <f>HYPERLINK("https://klasma.github.io/Logging_1980/klagomål/A 51912-2024 FSC-klagomål.docx", "A 51912-2024")</f>
        <v/>
      </c>
      <c r="W63">
        <f>HYPERLINK("https://klasma.github.io/Logging_1980/klagomålsmail/A 51912-2024 FSC-klagomål mail.docx", "A 51912-2024")</f>
        <v/>
      </c>
      <c r="X63">
        <f>HYPERLINK("https://klasma.github.io/Logging_1980/tillsyn/A 51912-2024 tillsynsbegäran.docx", "A 51912-2024")</f>
        <v/>
      </c>
      <c r="Y63">
        <f>HYPERLINK("https://klasma.github.io/Logging_1980/tillsynsmail/A 51912-2024 tillsynsbegäran mail.docx", "A 51912-2024")</f>
        <v/>
      </c>
    </row>
    <row r="64" ht="15" customHeight="1">
      <c r="A64" t="inlineStr">
        <is>
          <t>A 60218-2024</t>
        </is>
      </c>
      <c r="B64" s="1" t="n">
        <v>45642</v>
      </c>
      <c r="C64" s="1" t="n">
        <v>45741</v>
      </c>
      <c r="D64" t="inlineStr">
        <is>
          <t>VÄSTMANLANDS LÄN</t>
        </is>
      </c>
      <c r="E64" t="inlineStr">
        <is>
          <t>VÄSTERÅS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HYPERLINK("https://klasma.github.io/Logging_1980/artfynd/A 60218-2024 artfynd.xlsx", "A 60218-2024")</f>
        <v/>
      </c>
      <c r="T64">
        <f>HYPERLINK("https://klasma.github.io/Logging_1980/kartor/A 60218-2024 karta.png", "A 60218-2024")</f>
        <v/>
      </c>
      <c r="V64">
        <f>HYPERLINK("https://klasma.github.io/Logging_1980/klagomål/A 60218-2024 FSC-klagomål.docx", "A 60218-2024")</f>
        <v/>
      </c>
      <c r="W64">
        <f>HYPERLINK("https://klasma.github.io/Logging_1980/klagomålsmail/A 60218-2024 FSC-klagomål mail.docx", "A 60218-2024")</f>
        <v/>
      </c>
      <c r="X64">
        <f>HYPERLINK("https://klasma.github.io/Logging_1980/tillsyn/A 60218-2024 tillsynsbegäran.docx", "A 60218-2024")</f>
        <v/>
      </c>
      <c r="Y64">
        <f>HYPERLINK("https://klasma.github.io/Logging_1980/tillsynsmail/A 60218-2024 tillsynsbegäran mail.docx", "A 60218-2024")</f>
        <v/>
      </c>
    </row>
    <row r="65" ht="15" customHeight="1">
      <c r="A65" t="inlineStr">
        <is>
          <t>A 61036-2024</t>
        </is>
      </c>
      <c r="B65" s="1" t="n">
        <v>45645</v>
      </c>
      <c r="C65" s="1" t="n">
        <v>45741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HYPERLINK("https://klasma.github.io/Logging_1980/artfynd/A 61036-2024 artfynd.xlsx", "A 61036-2024")</f>
        <v/>
      </c>
      <c r="T65">
        <f>HYPERLINK("https://klasma.github.io/Logging_1980/kartor/A 61036-2024 karta.png", "A 61036-2024")</f>
        <v/>
      </c>
      <c r="V65">
        <f>HYPERLINK("https://klasma.github.io/Logging_1980/klagomål/A 61036-2024 FSC-klagomål.docx", "A 61036-2024")</f>
        <v/>
      </c>
      <c r="W65">
        <f>HYPERLINK("https://klasma.github.io/Logging_1980/klagomålsmail/A 61036-2024 FSC-klagomål mail.docx", "A 61036-2024")</f>
        <v/>
      </c>
      <c r="X65">
        <f>HYPERLINK("https://klasma.github.io/Logging_1980/tillsyn/A 61036-2024 tillsynsbegäran.docx", "A 61036-2024")</f>
        <v/>
      </c>
      <c r="Y65">
        <f>HYPERLINK("https://klasma.github.io/Logging_1980/tillsynsmail/A 61036-2024 tillsynsbegäran mail.docx", "A 61036-2024")</f>
        <v/>
      </c>
    </row>
    <row r="66" ht="15" customHeight="1">
      <c r="A66" t="inlineStr">
        <is>
          <t>A 18641-2019</t>
        </is>
      </c>
      <c r="B66" s="1" t="n">
        <v>43560</v>
      </c>
      <c r="C66" s="1" t="n">
        <v>45741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18765-2019</t>
        </is>
      </c>
      <c r="B67" s="1" t="n">
        <v>43560</v>
      </c>
      <c r="C67" s="1" t="n">
        <v>45741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19312-2019</t>
        </is>
      </c>
      <c r="B68" s="1" t="n">
        <v>43565</v>
      </c>
      <c r="C68" s="1" t="n">
        <v>45741</v>
      </c>
      <c r="D68" t="inlineStr">
        <is>
          <t>VÄSTMANLANDS LÄN</t>
        </is>
      </c>
      <c r="E68" t="inlineStr">
        <is>
          <t>VÄSTERÅS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19318-2019</t>
        </is>
      </c>
      <c r="B69" s="1" t="n">
        <v>43565</v>
      </c>
      <c r="C69" s="1" t="n">
        <v>45741</v>
      </c>
      <c r="D69" t="inlineStr">
        <is>
          <t>VÄSTMANLANDS LÄN</t>
        </is>
      </c>
      <c r="E69" t="inlineStr">
        <is>
          <t>VÄSTERÅS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21397-2019</t>
        </is>
      </c>
      <c r="B70" s="1" t="n">
        <v>43580</v>
      </c>
      <c r="C70" s="1" t="n">
        <v>45741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21768-2019</t>
        </is>
      </c>
      <c r="B71" s="1" t="n">
        <v>43581</v>
      </c>
      <c r="C71" s="1" t="n">
        <v>45741</v>
      </c>
      <c r="D71" t="inlineStr">
        <is>
          <t>VÄSTMANLANDS LÄN</t>
        </is>
      </c>
      <c r="E71" t="inlineStr">
        <is>
          <t>VÄSTERÅS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22221-2019</t>
        </is>
      </c>
      <c r="B72" s="1" t="n">
        <v>43585</v>
      </c>
      <c r="C72" s="1" t="n">
        <v>45741</v>
      </c>
      <c r="D72" t="inlineStr">
        <is>
          <t>VÄSTMANLANDS LÄN</t>
        </is>
      </c>
      <c r="E72" t="inlineStr">
        <is>
          <t>VÄSTERÅS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26614-2019</t>
        </is>
      </c>
      <c r="B73" s="1" t="n">
        <v>43612</v>
      </c>
      <c r="C73" s="1" t="n">
        <v>45741</v>
      </c>
      <c r="D73" t="inlineStr">
        <is>
          <t>VÄSTMANLANDS LÄN</t>
        </is>
      </c>
      <c r="E73" t="inlineStr">
        <is>
          <t>VÄSTERÅS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27181-2019</t>
        </is>
      </c>
      <c r="B74" s="1" t="n">
        <v>43614</v>
      </c>
      <c r="C74" s="1" t="n">
        <v>45741</v>
      </c>
      <c r="D74" t="inlineStr">
        <is>
          <t>VÄSTMANLANDS LÄN</t>
        </is>
      </c>
      <c r="E74" t="inlineStr">
        <is>
          <t>VÄSTERÅS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30745-2019</t>
        </is>
      </c>
      <c r="B75" s="1" t="n">
        <v>43636</v>
      </c>
      <c r="C75" s="1" t="n">
        <v>45741</v>
      </c>
      <c r="D75" t="inlineStr">
        <is>
          <t>VÄSTMANLANDS LÄN</t>
        </is>
      </c>
      <c r="E75" t="inlineStr">
        <is>
          <t>VÄSTERÅS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30826-2019</t>
        </is>
      </c>
      <c r="B76" s="1" t="n">
        <v>43636</v>
      </c>
      <c r="C76" s="1" t="n">
        <v>45741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35801-2019</t>
        </is>
      </c>
      <c r="B77" s="1" t="n">
        <v>43665</v>
      </c>
      <c r="C77" s="1" t="n">
        <v>45741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36437-2019</t>
        </is>
      </c>
      <c r="B78" s="1" t="n">
        <v>43670</v>
      </c>
      <c r="C78" s="1" t="n">
        <v>45741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36695-2019</t>
        </is>
      </c>
      <c r="B79" s="1" t="n">
        <v>43671</v>
      </c>
      <c r="C79" s="1" t="n">
        <v>45741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36802-2019</t>
        </is>
      </c>
      <c r="B80" s="1" t="n">
        <v>43672</v>
      </c>
      <c r="C80" s="1" t="n">
        <v>45741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38084-2019</t>
        </is>
      </c>
      <c r="B81" s="1" t="n">
        <v>43683</v>
      </c>
      <c r="C81" s="1" t="n">
        <v>45741</v>
      </c>
      <c r="D81" t="inlineStr">
        <is>
          <t>VÄSTMANLANDS LÄN</t>
        </is>
      </c>
      <c r="E81" t="inlineStr">
        <is>
          <t>VÄSTERÅS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39177-2019</t>
        </is>
      </c>
      <c r="B82" s="1" t="n">
        <v>43685</v>
      </c>
      <c r="C82" s="1" t="n">
        <v>45741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39178-2019</t>
        </is>
      </c>
      <c r="B83" s="1" t="n">
        <v>43685</v>
      </c>
      <c r="C83" s="1" t="n">
        <v>45741</v>
      </c>
      <c r="D83" t="inlineStr">
        <is>
          <t>VÄSTMANLANDS LÄN</t>
        </is>
      </c>
      <c r="E83" t="inlineStr">
        <is>
          <t>VÄSTERÅS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38922-2019</t>
        </is>
      </c>
      <c r="B84" s="1" t="n">
        <v>43689</v>
      </c>
      <c r="C84" s="1" t="n">
        <v>45741</v>
      </c>
      <c r="D84" t="inlineStr">
        <is>
          <t>VÄSTMANLANDS LÄN</t>
        </is>
      </c>
      <c r="E84" t="inlineStr">
        <is>
          <t>VÄSTERÅS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38986-2019</t>
        </is>
      </c>
      <c r="B85" s="1" t="n">
        <v>43689</v>
      </c>
      <c r="C85" s="1" t="n">
        <v>45741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38981-2019</t>
        </is>
      </c>
      <c r="B86" s="1" t="n">
        <v>43689</v>
      </c>
      <c r="C86" s="1" t="n">
        <v>45741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38848-2019</t>
        </is>
      </c>
      <c r="B87" s="1" t="n">
        <v>43689</v>
      </c>
      <c r="C87" s="1" t="n">
        <v>45741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39497-2019</t>
        </is>
      </c>
      <c r="B88" s="1" t="n">
        <v>43691</v>
      </c>
      <c r="C88" s="1" t="n">
        <v>45741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39756-2019</t>
        </is>
      </c>
      <c r="B89" s="1" t="n">
        <v>43692</v>
      </c>
      <c r="C89" s="1" t="n">
        <v>45741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41762-2019</t>
        </is>
      </c>
      <c r="B90" s="1" t="n">
        <v>43699</v>
      </c>
      <c r="C90" s="1" t="n">
        <v>45741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42061-2019</t>
        </is>
      </c>
      <c r="B91" s="1" t="n">
        <v>43700</v>
      </c>
      <c r="C91" s="1" t="n">
        <v>45741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42058-2019</t>
        </is>
      </c>
      <c r="B92" s="1" t="n">
        <v>43700</v>
      </c>
      <c r="C92" s="1" t="n">
        <v>45741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42158-2019</t>
        </is>
      </c>
      <c r="B93" s="1" t="n">
        <v>43703</v>
      </c>
      <c r="C93" s="1" t="n">
        <v>45741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42385-2019</t>
        </is>
      </c>
      <c r="B94" s="1" t="n">
        <v>43703</v>
      </c>
      <c r="C94" s="1" t="n">
        <v>45741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43235-2019</t>
        </is>
      </c>
      <c r="B95" s="1" t="n">
        <v>43706</v>
      </c>
      <c r="C95" s="1" t="n">
        <v>45741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43508-2019</t>
        </is>
      </c>
      <c r="B96" s="1" t="n">
        <v>43706</v>
      </c>
      <c r="C96" s="1" t="n">
        <v>45741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44140-2019</t>
        </is>
      </c>
      <c r="B97" s="1" t="n">
        <v>43709</v>
      </c>
      <c r="C97" s="1" t="n">
        <v>45741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44131-2019</t>
        </is>
      </c>
      <c r="B98" s="1" t="n">
        <v>43709</v>
      </c>
      <c r="C98" s="1" t="n">
        <v>45741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44694-2019</t>
        </is>
      </c>
      <c r="B99" s="1" t="n">
        <v>43712</v>
      </c>
      <c r="C99" s="1" t="n">
        <v>45741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44715-2019</t>
        </is>
      </c>
      <c r="B100" s="1" t="n">
        <v>43712</v>
      </c>
      <c r="C100" s="1" t="n">
        <v>45741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44730-2019</t>
        </is>
      </c>
      <c r="B101" s="1" t="n">
        <v>43712</v>
      </c>
      <c r="C101" s="1" t="n">
        <v>45741</v>
      </c>
      <c r="D101" t="inlineStr">
        <is>
          <t>VÄSTMANLANDS LÄN</t>
        </is>
      </c>
      <c r="E101" t="inlineStr">
        <is>
          <t>VÄSTERÅS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44813-2019</t>
        </is>
      </c>
      <c r="B102" s="1" t="n">
        <v>43712</v>
      </c>
      <c r="C102" s="1" t="n">
        <v>45741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44959-2019</t>
        </is>
      </c>
      <c r="B103" s="1" t="n">
        <v>43713</v>
      </c>
      <c r="C103" s="1" t="n">
        <v>45741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45251-2019</t>
        </is>
      </c>
      <c r="B104" s="1" t="n">
        <v>43713</v>
      </c>
      <c r="C104" s="1" t="n">
        <v>45741</v>
      </c>
      <c r="D104" t="inlineStr">
        <is>
          <t>VÄSTMANLANDS LÄN</t>
        </is>
      </c>
      <c r="E104" t="inlineStr">
        <is>
          <t>VÄSTERÅS</t>
        </is>
      </c>
      <c r="G104" t="n">
        <v>34.2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47016-2019</t>
        </is>
      </c>
      <c r="B105" s="1" t="n">
        <v>43720</v>
      </c>
      <c r="C105" s="1" t="n">
        <v>45741</v>
      </c>
      <c r="D105" t="inlineStr">
        <is>
          <t>VÄSTMANLANDS LÄN</t>
        </is>
      </c>
      <c r="E105" t="inlineStr">
        <is>
          <t>VÄSTERÅS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47049-2019</t>
        </is>
      </c>
      <c r="B106" s="1" t="n">
        <v>43720</v>
      </c>
      <c r="C106" s="1" t="n">
        <v>45741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47725-2019</t>
        </is>
      </c>
      <c r="B107" s="1" t="n">
        <v>43724</v>
      </c>
      <c r="C107" s="1" t="n">
        <v>45741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48195-2019</t>
        </is>
      </c>
      <c r="B108" s="1" t="n">
        <v>43726</v>
      </c>
      <c r="C108" s="1" t="n">
        <v>45741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48228-2019</t>
        </is>
      </c>
      <c r="B109" s="1" t="n">
        <v>43726</v>
      </c>
      <c r="C109" s="1" t="n">
        <v>45741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48310-2019</t>
        </is>
      </c>
      <c r="B110" s="1" t="n">
        <v>43726</v>
      </c>
      <c r="C110" s="1" t="n">
        <v>45741</v>
      </c>
      <c r="D110" t="inlineStr">
        <is>
          <t>VÄSTMANLANDS LÄN</t>
        </is>
      </c>
      <c r="E110" t="inlineStr">
        <is>
          <t>VÄSTERÅS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48560-2019</t>
        </is>
      </c>
      <c r="B111" s="1" t="n">
        <v>43727</v>
      </c>
      <c r="C111" s="1" t="n">
        <v>45741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49217-2019</t>
        </is>
      </c>
      <c r="B112" s="1" t="n">
        <v>43731</v>
      </c>
      <c r="C112" s="1" t="n">
        <v>45741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49460-2019</t>
        </is>
      </c>
      <c r="B113" s="1" t="n">
        <v>43732</v>
      </c>
      <c r="C113" s="1" t="n">
        <v>45741</v>
      </c>
      <c r="D113" t="inlineStr">
        <is>
          <t>VÄSTMANLANDS LÄN</t>
        </is>
      </c>
      <c r="E113" t="inlineStr">
        <is>
          <t>VÄSTERÅS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49542-2019</t>
        </is>
      </c>
      <c r="B114" s="1" t="n">
        <v>43732</v>
      </c>
      <c r="C114" s="1" t="n">
        <v>45741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49849-2019</t>
        </is>
      </c>
      <c r="B115" s="1" t="n">
        <v>43733</v>
      </c>
      <c r="C115" s="1" t="n">
        <v>45741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50121-2019</t>
        </is>
      </c>
      <c r="B116" s="1" t="n">
        <v>43734</v>
      </c>
      <c r="C116" s="1" t="n">
        <v>45741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50888-2019</t>
        </is>
      </c>
      <c r="B117" s="1" t="n">
        <v>43735</v>
      </c>
      <c r="C117" s="1" t="n">
        <v>45741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50664-2019</t>
        </is>
      </c>
      <c r="B118" s="1" t="n">
        <v>43737</v>
      </c>
      <c r="C118" s="1" t="n">
        <v>45741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50946-2019</t>
        </is>
      </c>
      <c r="B119" s="1" t="n">
        <v>43738</v>
      </c>
      <c r="C119" s="1" t="n">
        <v>45741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51505-2019</t>
        </is>
      </c>
      <c r="B120" s="1" t="n">
        <v>43740</v>
      </c>
      <c r="C120" s="1" t="n">
        <v>45741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51884-2019</t>
        </is>
      </c>
      <c r="B121" s="1" t="n">
        <v>43741</v>
      </c>
      <c r="C121" s="1" t="n">
        <v>45741</v>
      </c>
      <c r="D121" t="inlineStr">
        <is>
          <t>VÄSTMANLANDS LÄN</t>
        </is>
      </c>
      <c r="E121" t="inlineStr">
        <is>
          <t>VÄSTERÅS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52243-2019</t>
        </is>
      </c>
      <c r="B122" s="1" t="n">
        <v>43742</v>
      </c>
      <c r="C122" s="1" t="n">
        <v>45741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52122-2019</t>
        </is>
      </c>
      <c r="B123" s="1" t="n">
        <v>43742</v>
      </c>
      <c r="C123" s="1" t="n">
        <v>45741</v>
      </c>
      <c r="D123" t="inlineStr">
        <is>
          <t>VÄSTMANLANDS LÄN</t>
        </is>
      </c>
      <c r="E123" t="inlineStr">
        <is>
          <t>VÄSTERÅS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52242-2019</t>
        </is>
      </c>
      <c r="B124" s="1" t="n">
        <v>43742</v>
      </c>
      <c r="C124" s="1" t="n">
        <v>45741</v>
      </c>
      <c r="D124" t="inlineStr">
        <is>
          <t>VÄSTMANLANDS LÄN</t>
        </is>
      </c>
      <c r="E124" t="inlineStr">
        <is>
          <t>VÄSTERÅS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52410-2019</t>
        </is>
      </c>
      <c r="B125" s="1" t="n">
        <v>43745</v>
      </c>
      <c r="C125" s="1" t="n">
        <v>45741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52408-2019</t>
        </is>
      </c>
      <c r="B126" s="1" t="n">
        <v>43745</v>
      </c>
      <c r="C126" s="1" t="n">
        <v>45741</v>
      </c>
      <c r="D126" t="inlineStr">
        <is>
          <t>VÄSTMANLANDS LÄN</t>
        </is>
      </c>
      <c r="E126" t="inlineStr">
        <is>
          <t>VÄSTERÅS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53358-2019</t>
        </is>
      </c>
      <c r="B127" s="1" t="n">
        <v>43748</v>
      </c>
      <c r="C127" s="1" t="n">
        <v>45741</v>
      </c>
      <c r="D127" t="inlineStr">
        <is>
          <t>VÄSTMANLANDS LÄN</t>
        </is>
      </c>
      <c r="E127" t="inlineStr">
        <is>
          <t>VÄSTERÅS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53250-2019</t>
        </is>
      </c>
      <c r="B128" s="1" t="n">
        <v>43748</v>
      </c>
      <c r="C128" s="1" t="n">
        <v>45741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53246-2019</t>
        </is>
      </c>
      <c r="B129" s="1" t="n">
        <v>43748</v>
      </c>
      <c r="C129" s="1" t="n">
        <v>45741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53685-2019</t>
        </is>
      </c>
      <c r="B130" s="1" t="n">
        <v>43749</v>
      </c>
      <c r="C130" s="1" t="n">
        <v>45741</v>
      </c>
      <c r="D130" t="inlineStr">
        <is>
          <t>VÄSTMANLANDS LÄN</t>
        </is>
      </c>
      <c r="E130" t="inlineStr">
        <is>
          <t>VÄSTERÅS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54195-2019</t>
        </is>
      </c>
      <c r="B131" s="1" t="n">
        <v>43753</v>
      </c>
      <c r="C131" s="1" t="n">
        <v>45741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54628-2019</t>
        </is>
      </c>
      <c r="B132" s="1" t="n">
        <v>43754</v>
      </c>
      <c r="C132" s="1" t="n">
        <v>45741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56611-2019</t>
        </is>
      </c>
      <c r="B133" s="1" t="n">
        <v>43762</v>
      </c>
      <c r="C133" s="1" t="n">
        <v>45741</v>
      </c>
      <c r="D133" t="inlineStr">
        <is>
          <t>VÄSTMANLANDS LÄN</t>
        </is>
      </c>
      <c r="E133" t="inlineStr">
        <is>
          <t>VÄSTERÅS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57078-2019</t>
        </is>
      </c>
      <c r="B134" s="1" t="n">
        <v>43766</v>
      </c>
      <c r="C134" s="1" t="n">
        <v>45741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57810-2019</t>
        </is>
      </c>
      <c r="B135" s="1" t="n">
        <v>43768</v>
      </c>
      <c r="C135" s="1" t="n">
        <v>45741</v>
      </c>
      <c r="D135" t="inlineStr">
        <is>
          <t>VÄSTMANLANDS LÄN</t>
        </is>
      </c>
      <c r="E135" t="inlineStr">
        <is>
          <t>VÄSTERÅS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58138-2019</t>
        </is>
      </c>
      <c r="B136" s="1" t="n">
        <v>43769</v>
      </c>
      <c r="C136" s="1" t="n">
        <v>45741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59327-2019</t>
        </is>
      </c>
      <c r="B137" s="1" t="n">
        <v>43775</v>
      </c>
      <c r="C137" s="1" t="n">
        <v>45741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59586-2019</t>
        </is>
      </c>
      <c r="B138" s="1" t="n">
        <v>43776</v>
      </c>
      <c r="C138" s="1" t="n">
        <v>45741</v>
      </c>
      <c r="D138" t="inlineStr">
        <is>
          <t>VÄSTMANLANDS LÄN</t>
        </is>
      </c>
      <c r="E138" t="inlineStr">
        <is>
          <t>VÄSTERÅS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60963-2019</t>
        </is>
      </c>
      <c r="B139" s="1" t="n">
        <v>43782</v>
      </c>
      <c r="C139" s="1" t="n">
        <v>45741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60958-2019</t>
        </is>
      </c>
      <c r="B140" s="1" t="n">
        <v>43782</v>
      </c>
      <c r="C140" s="1" t="n">
        <v>45741</v>
      </c>
      <c r="D140" t="inlineStr">
        <is>
          <t>VÄSTMANLANDS LÄN</t>
        </is>
      </c>
      <c r="E140" t="inlineStr">
        <is>
          <t>VÄSTERÅS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62412-2019</t>
        </is>
      </c>
      <c r="B141" s="1" t="n">
        <v>43788</v>
      </c>
      <c r="C141" s="1" t="n">
        <v>45741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62774-2019</t>
        </is>
      </c>
      <c r="B142" s="1" t="n">
        <v>43789</v>
      </c>
      <c r="C142" s="1" t="n">
        <v>45741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63203-2019</t>
        </is>
      </c>
      <c r="B143" s="1" t="n">
        <v>43791</v>
      </c>
      <c r="C143" s="1" t="n">
        <v>45741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63288-2019</t>
        </is>
      </c>
      <c r="B144" s="1" t="n">
        <v>43794</v>
      </c>
      <c r="C144" s="1" t="n">
        <v>45741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63753-2019</t>
        </is>
      </c>
      <c r="B145" s="1" t="n">
        <v>43795</v>
      </c>
      <c r="C145" s="1" t="n">
        <v>45741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64639-2019</t>
        </is>
      </c>
      <c r="B146" s="1" t="n">
        <v>43798</v>
      </c>
      <c r="C146" s="1" t="n">
        <v>45741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65299-2019</t>
        </is>
      </c>
      <c r="B147" s="1" t="n">
        <v>43802</v>
      </c>
      <c r="C147" s="1" t="n">
        <v>45741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65184-2019</t>
        </is>
      </c>
      <c r="B148" s="1" t="n">
        <v>43802</v>
      </c>
      <c r="C148" s="1" t="n">
        <v>45741</v>
      </c>
      <c r="D148" t="inlineStr">
        <is>
          <t>VÄSTMANLANDS LÄN</t>
        </is>
      </c>
      <c r="E148" t="inlineStr">
        <is>
          <t>VÄSTERÅS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66205-2019</t>
        </is>
      </c>
      <c r="B149" s="1" t="n">
        <v>43808</v>
      </c>
      <c r="C149" s="1" t="n">
        <v>45741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67995-2019</t>
        </is>
      </c>
      <c r="B150" s="1" t="n">
        <v>43811</v>
      </c>
      <c r="C150" s="1" t="n">
        <v>45741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950-2020</t>
        </is>
      </c>
      <c r="B151" s="1" t="n">
        <v>43839</v>
      </c>
      <c r="C151" s="1" t="n">
        <v>45741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2331-2020</t>
        </is>
      </c>
      <c r="B152" s="1" t="n">
        <v>43846</v>
      </c>
      <c r="C152" s="1" t="n">
        <v>45741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4425-2020</t>
        </is>
      </c>
      <c r="B153" s="1" t="n">
        <v>43847</v>
      </c>
      <c r="C153" s="1" t="n">
        <v>45741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2939-2020</t>
        </is>
      </c>
      <c r="B154" s="1" t="n">
        <v>43850</v>
      </c>
      <c r="C154" s="1" t="n">
        <v>45741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2920-2020</t>
        </is>
      </c>
      <c r="B155" s="1" t="n">
        <v>43850</v>
      </c>
      <c r="C155" s="1" t="n">
        <v>45741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3078-2020</t>
        </is>
      </c>
      <c r="B156" s="1" t="n">
        <v>43851</v>
      </c>
      <c r="C156" s="1" t="n">
        <v>45741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4809-2020</t>
        </is>
      </c>
      <c r="B157" s="1" t="n">
        <v>43859</v>
      </c>
      <c r="C157" s="1" t="n">
        <v>45741</v>
      </c>
      <c r="D157" t="inlineStr">
        <is>
          <t>VÄSTMANLANDS LÄN</t>
        </is>
      </c>
      <c r="E157" t="inlineStr">
        <is>
          <t>VÄSTERÅS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6043-2020</t>
        </is>
      </c>
      <c r="B158" s="1" t="n">
        <v>43865</v>
      </c>
      <c r="C158" s="1" t="n">
        <v>45741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6341-2020</t>
        </is>
      </c>
      <c r="B159" s="1" t="n">
        <v>43866</v>
      </c>
      <c r="C159" s="1" t="n">
        <v>45741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6592-2020</t>
        </is>
      </c>
      <c r="B160" s="1" t="n">
        <v>43866</v>
      </c>
      <c r="C160" s="1" t="n">
        <v>45741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6583-2020</t>
        </is>
      </c>
      <c r="B161" s="1" t="n">
        <v>43866</v>
      </c>
      <c r="C161" s="1" t="n">
        <v>45741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6669-2020</t>
        </is>
      </c>
      <c r="B162" s="1" t="n">
        <v>43867</v>
      </c>
      <c r="C162" s="1" t="n">
        <v>45741</v>
      </c>
      <c r="D162" t="inlineStr">
        <is>
          <t>VÄSTMANLANDS LÄN</t>
        </is>
      </c>
      <c r="E162" t="inlineStr">
        <is>
          <t>VÄSTERÅS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6664-2020</t>
        </is>
      </c>
      <c r="B163" s="1" t="n">
        <v>43867</v>
      </c>
      <c r="C163" s="1" t="n">
        <v>45741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6750-2020</t>
        </is>
      </c>
      <c r="B164" s="1" t="n">
        <v>43867</v>
      </c>
      <c r="C164" s="1" t="n">
        <v>45741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7139-2020</t>
        </is>
      </c>
      <c r="B165" s="1" t="n">
        <v>43869</v>
      </c>
      <c r="C165" s="1" t="n">
        <v>45741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8644-2020</t>
        </is>
      </c>
      <c r="B166" s="1" t="n">
        <v>43878</v>
      </c>
      <c r="C166" s="1" t="n">
        <v>45741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9299-2020</t>
        </is>
      </c>
      <c r="B167" s="1" t="n">
        <v>43880</v>
      </c>
      <c r="C167" s="1" t="n">
        <v>45741</v>
      </c>
      <c r="D167" t="inlineStr">
        <is>
          <t>VÄSTMANLANDS LÄN</t>
        </is>
      </c>
      <c r="E167" t="inlineStr">
        <is>
          <t>VÄSTERÅS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17388-2020</t>
        </is>
      </c>
      <c r="B168" s="1" t="n">
        <v>43887</v>
      </c>
      <c r="C168" s="1" t="n">
        <v>45741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45741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45741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45741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45741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45741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45741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45741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45741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45741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45741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45741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45741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45741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45741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45741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45741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45741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45741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45741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45741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45741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45741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45741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45741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45741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45741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45741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45741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45741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45741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45741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45741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45741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45741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45741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45741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45741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45741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45741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45741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45741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45741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45741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45741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45741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45741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45741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45741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45741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45741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45741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45741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45741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45741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45741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45741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45741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45741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45741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45741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45741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45741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45741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45741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45741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45741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45741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45741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45741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45741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45741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45741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45741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45741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45741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45741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45741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45741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45741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45741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45741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45741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45741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45741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45741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45741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45741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45741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45741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45741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45741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45741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45741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45741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45741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45741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45741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45741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45741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45741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45741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45741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45741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45741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45741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45741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45741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45741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45741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45741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45741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45741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45741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45741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45741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45741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45741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45741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45741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45741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45741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45741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45741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45741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45741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45741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45741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45741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45741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45741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45741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45741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45741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45741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45741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45741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45741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45741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45741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45741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45741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45741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45741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45741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45741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45741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45741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45741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45741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45741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45741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45741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45741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45741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45741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45741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45741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45741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45741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45741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45741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45741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45741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45741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45741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45741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45741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45741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45741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45741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45741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45741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45741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45741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45741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45741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45741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45741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45741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45741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45741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45741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45741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45741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45741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45741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45741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45741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45741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45741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45741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45741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45741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45741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45741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45741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45741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45741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45741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45741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45741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45741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45741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45741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45741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45741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45741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45741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45741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45741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45741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45741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45741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45741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45741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45741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45741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45741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45741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45741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45741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45741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45741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45741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45741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45741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45741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45741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45741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45741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45741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45741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45741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45741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45741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45741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45741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45741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45741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45741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45741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45741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45741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45741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45741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45741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45741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45741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45741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45741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45741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45741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45741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45741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45741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45741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45741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45741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45741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45741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45741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45741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45741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45741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45741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45741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45741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45741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45741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45741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45741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45741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45741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45741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45741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45741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45741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45741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45741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45741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45741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45741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45741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45741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45741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45741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45741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45741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45741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45741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45741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45741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45741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45741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45741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45741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45741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45741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45741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45741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45741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45741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45741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45741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45741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45741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45741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45741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45741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45741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45741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45741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45741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45741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45741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45741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45741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45741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45741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45741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45741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45741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45741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45741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45741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45741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45741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45741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45741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45741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45741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45741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45741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45741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45741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45741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45741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45741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45741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45741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45741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45741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45741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45741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45741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45741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45741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45741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45741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45741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45741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45741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45741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45741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45741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45741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45741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45741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45741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45741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45741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45741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45741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45741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45741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45741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45741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45741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45741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45741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45741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45741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45741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45741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45741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45741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45741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45741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45741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45741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45741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45741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45741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45741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45741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45741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45741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45741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45741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45741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45741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45741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45741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45741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45741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45741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45741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45741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45741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45741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45741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45741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45741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45741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45741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45741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45741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45741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45741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45741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45741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45741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45741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45741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45741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45741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45741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45741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45741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45741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45741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45741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45741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45741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45741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45741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45741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45741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45741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45741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45741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45741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45741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45741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45741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45741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45741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45741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45741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45741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45741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45741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45741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45741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45741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45741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45741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45741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45741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45741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45741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45741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45741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45741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45741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45741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45741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45741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45741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45741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45741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45741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45741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45741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45741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45741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45741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45741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45741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45741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45741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45741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45741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45741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45741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45741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45741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45741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45741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45741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45741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45741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45741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45741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45741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45741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45741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45741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45741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45741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45741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45741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45741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45741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45741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45741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45741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45741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45741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45741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45741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45741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45741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45741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45741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45741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45741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45741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45741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45741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45741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45741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45741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45741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45741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45741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45741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45741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45741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45741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45741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45741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45741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45741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45741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45741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45741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45741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45741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45741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45741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45741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45741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45741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45741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45741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45741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45741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45741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45741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45741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45741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45741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45741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45741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45741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45741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45741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45741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45741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45741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45741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45741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45741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45741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45741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45741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45741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45741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45741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45741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45741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45741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45741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45741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45741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45741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45741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45741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45741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45741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45741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45741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45741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45741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45741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45741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45741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45741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45741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45741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45741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45741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45741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45741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45741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45741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45741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45741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45741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45741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45741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45741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45741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45741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45741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45741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45741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45741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45741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45741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45741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45741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45741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45741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45741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45741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45741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45741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45741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45741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45741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45741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13228-2025</t>
        </is>
      </c>
      <c r="B782" s="1" t="n">
        <v>45735</v>
      </c>
      <c r="C782" s="1" t="n">
        <v>45741</v>
      </c>
      <c r="D782" t="inlineStr">
        <is>
          <t>VÄSTMANLANDS LÄN</t>
        </is>
      </c>
      <c r="E782" t="inlineStr">
        <is>
          <t>VÄSTERÅS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45741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13388-2025</t>
        </is>
      </c>
      <c r="B784" s="1" t="n">
        <v>45735</v>
      </c>
      <c r="C784" s="1" t="n">
        <v>45741</v>
      </c>
      <c r="D784" t="inlineStr">
        <is>
          <t>VÄSTMANLANDS LÄN</t>
        </is>
      </c>
      <c r="E784" t="inlineStr">
        <is>
          <t>VÄSTERÅS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45741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13338-2025</t>
        </is>
      </c>
      <c r="B786" s="1" t="n">
        <v>45735</v>
      </c>
      <c r="C786" s="1" t="n">
        <v>45741</v>
      </c>
      <c r="D786" t="inlineStr">
        <is>
          <t>VÄSTMANLANDS LÄN</t>
        </is>
      </c>
      <c r="E786" t="inlineStr">
        <is>
          <t>VÄSTERÅS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13632-2025</t>
        </is>
      </c>
      <c r="B787" s="1" t="n">
        <v>45736</v>
      </c>
      <c r="C787" s="1" t="n">
        <v>45741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2025-03-25T17:40:45Z</dcterms:created>
  <dcterms:modified xmlns:dcterms="http://purl.org/dc/terms/" xmlns:xsi="http://www.w3.org/2001/XMLSchema-instance" xsi:type="dcterms:W3CDTF">2025-03-25T17:40:46Z</dcterms:modified>
</cp:coreProperties>
</file>