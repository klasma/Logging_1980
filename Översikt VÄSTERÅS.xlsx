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46228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46228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46228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46228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46228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46228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46228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46228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46228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46228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46228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46228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46228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46228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46228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46228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46228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46228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46228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46228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46228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46228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46228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46228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46228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46228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46228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46228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46228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46228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46228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46228</v>
      </c>
      <c r="F47" t="inlineStr">
        <is>
          <t>VÄSTMANLANDS LÄN</t>
        </is>
      </c>
      <c r="G47" t="inlineStr">
        <is>
          <t>VÄSTERÅS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Brunklöver</t>
        </is>
      </c>
      <c r="W47">
        <f>HYPERLINK("https://klasma.github.io/Logging_1980/artfynd/A 5363-2025 artfynd.xlsx", "A 5363-2025")</f>
        <v/>
      </c>
      <c r="X47">
        <f>HYPERLINK("https://klasma.github.io/Logging_1980/kartor/A 5363-2025 karta.png", "A 5363-2025")</f>
        <v/>
      </c>
      <c r="Y47">
        <f>HYPERLINK("https://klasma.github.io/Logging_1980/kartor_geotiff/A 5363-2025 georefererad karta.tif", "A 5363-2025")</f>
        <v/>
      </c>
      <c r="AA47">
        <f>HYPERLINK("https://klasma.github.io/Logging_1980/klagomål/A 5363-2025 FSC-klagomål.docx", "A 5363-2025")</f>
        <v/>
      </c>
      <c r="AB47">
        <f>HYPERLINK("https://klasma.github.io/Logging_1980/klagomålsmail/A 5363-2025 FSC-klagomål mail.docx", "A 5363-2025")</f>
        <v/>
      </c>
      <c r="AC47">
        <f>HYPERLINK("https://klasma.github.io/Logging_1980/tillsyn/A 5363-2025 tillsynsbegäran.docx", "A 5363-2025")</f>
        <v/>
      </c>
      <c r="AD47">
        <f>HYPERLINK("https://klasma.github.io/Logging_1980/tillsynsmail/A 5363-2025 tillsynsbegäran mail.docx", "A 5363-2025")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46228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46228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1594-2023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44935</v>
      </c>
      <c r="E50" s="1" t="n">
        <v>46228</v>
      </c>
      <c r="F50" t="inlineStr">
        <is>
          <t>VÄSTMANLANDS LÄN</t>
        </is>
      </c>
      <c r="G50" t="inlineStr">
        <is>
          <t>VÄSTERÅS</t>
        </is>
      </c>
      <c r="I50" t="n">
        <v>10.9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Sparvuggla</t>
        </is>
      </c>
      <c r="W50">
        <f>HYPERLINK("https://klasma.github.io/Logging_1980/artfynd/A 1594-2023 artfynd.xlsx", "A 1594-2023")</f>
        <v/>
      </c>
      <c r="X50">
        <f>HYPERLINK("https://klasma.github.io/Logging_1980/kartor/A 1594-2023 karta.png", "A 1594-2023")</f>
        <v/>
      </c>
      <c r="Y50">
        <f>HYPERLINK("https://klasma.github.io/Logging_1980/kartor_geotiff/A 1594-2023 georefererad karta.tif", "A 1594-2023")</f>
        <v/>
      </c>
      <c r="AA50">
        <f>HYPERLINK("https://klasma.github.io/Logging_1980/klagomål/A 1594-2023 FSC-klagomål.docx", "A 1594-2023")</f>
        <v/>
      </c>
      <c r="AB50">
        <f>HYPERLINK("https://klasma.github.io/Logging_1980/klagomålsmail/A 1594-2023 FSC-klagomål mail.docx", "A 1594-2023")</f>
        <v/>
      </c>
      <c r="AC50">
        <f>HYPERLINK("https://klasma.github.io/Logging_1980/tillsyn/A 1594-2023 tillsynsbegäran.docx", "A 1594-2023")</f>
        <v/>
      </c>
      <c r="AD50">
        <f>HYPERLINK("https://klasma.github.io/Logging_1980/tillsynsmail/A 1594-2023 tillsynsbegäran mail.docx", "A 1594-2023")</f>
        <v/>
      </c>
      <c r="AE50">
        <f>HYPERLINK("https://klasma.github.io/Logging_1980/fåglar/A 1594-2023 prioriterade fågelarter.docx", "A 1594-2023")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46228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46228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46228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46228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59140-2025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46228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HYPERLINK("https://klasma.github.io/Logging_1980/artfynd/A 59140-2025 artfynd.xlsx", "A 59140-2025")</f>
        <v/>
      </c>
      <c r="X55">
        <f>HYPERLINK("https://klasma.github.io/Logging_1980/kartor/A 59140-2025 karta.png", "A 59140-2025")</f>
        <v/>
      </c>
      <c r="Y55">
        <f>HYPERLINK("https://klasma.github.io/Logging_1980/kartor_geotiff/A 59140-2025 georefererad karta.tif", "A 59140-2025")</f>
        <v/>
      </c>
      <c r="AA55">
        <f>HYPERLINK("https://klasma.github.io/Logging_1980/klagomål/A 59140-2025 FSC-klagomål.docx", "A 59140-2025")</f>
        <v/>
      </c>
      <c r="AB55">
        <f>HYPERLINK("https://klasma.github.io/Logging_1980/klagomålsmail/A 59140-2025 FSC-klagomål mail.docx", "A 59140-2025")</f>
        <v/>
      </c>
      <c r="AC55">
        <f>HYPERLINK("https://klasma.github.io/Logging_1980/tillsyn/A 59140-2025 tillsynsbegäran.docx", "A 59140-2025")</f>
        <v/>
      </c>
      <c r="AD55">
        <f>HYPERLINK("https://klasma.github.io/Logging_1980/tillsynsmail/A 59140-2025 tillsynsbegäran mail.docx", "A 59140-2025")</f>
        <v/>
      </c>
      <c r="AE55">
        <f>HYPERLINK("https://klasma.github.io/Logging_1980/fåglar/A 59140-2025 prioriterade fågelarter.docx", "A 59140-2025")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46228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46228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12058-2026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46228</v>
      </c>
      <c r="F58" t="inlineStr">
        <is>
          <t>VÄSTMANLANDS LÄN</t>
        </is>
      </c>
      <c r="G58" t="inlineStr">
        <is>
          <t>VÄSTERÅS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Törnskata</t>
        </is>
      </c>
      <c r="W58">
        <f>HYPERLINK("https://klasma.github.io/Logging_1980/artfynd/A 12058-2026 artfynd.xlsx", "A 12058-2026")</f>
        <v/>
      </c>
      <c r="X58">
        <f>HYPERLINK("https://klasma.github.io/Logging_1980/kartor/A 12058-2026 karta.png", "A 12058-2026")</f>
        <v/>
      </c>
      <c r="Y58">
        <f>HYPERLINK("https://klasma.github.io/Logging_1980/kartor_geotiff/A 12058-2026 georefererad karta.tif", "A 12058-2026")</f>
        <v/>
      </c>
      <c r="AA58">
        <f>HYPERLINK("https://klasma.github.io/Logging_1980/klagomål/A 12058-2026 FSC-klagomål.docx", "A 12058-2026")</f>
        <v/>
      </c>
      <c r="AB58">
        <f>HYPERLINK("https://klasma.github.io/Logging_1980/klagomålsmail/A 12058-2026 FSC-klagomål mail.docx", "A 12058-2026")</f>
        <v/>
      </c>
      <c r="AC58">
        <f>HYPERLINK("https://klasma.github.io/Logging_1980/tillsyn/A 12058-2026 tillsynsbegäran.docx", "A 12058-2026")</f>
        <v/>
      </c>
      <c r="AD58">
        <f>HYPERLINK("https://klasma.github.io/Logging_1980/tillsynsmail/A 12058-2026 tillsynsbegäran mail.docx", "A 12058-2026")</f>
        <v/>
      </c>
      <c r="AE58">
        <f>HYPERLINK("https://klasma.github.io/Logging_1980/fåglar/A 12058-2026 prioriterade fågelarter.docx", "A 12058-2026")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46228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46228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46228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46228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46228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46228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46228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46228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46228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46228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46228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46228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46228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46228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46228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46228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46228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46228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46228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46228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46228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46228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46228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46228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46228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46228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46228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46228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46228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46228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46228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46228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46228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46228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46228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46228</v>
      </c>
      <c r="F95" t="inlineStr">
        <is>
          <t>VÄSTMANLANDS LÄN</t>
        </is>
      </c>
      <c r="G95" t="inlineStr">
        <is>
          <t>VÄSTERÅS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44671</v>
      </c>
      <c r="E96" s="1" t="n">
        <v>46228</v>
      </c>
      <c r="F96" t="inlineStr">
        <is>
          <t>VÄSTMANLANDS LÄN</t>
        </is>
      </c>
      <c r="G96" t="inlineStr">
        <is>
          <t>VÄSTERÅS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46228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46228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46228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46228</v>
      </c>
      <c r="F100" t="inlineStr">
        <is>
          <t>VÄSTMANLANDS LÄN</t>
        </is>
      </c>
      <c r="G100" t="inlineStr">
        <is>
          <t>VÄSTERÅS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46228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46228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46228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46228</v>
      </c>
      <c r="F104" t="inlineStr">
        <is>
          <t>VÄSTMANLANDS LÄN</t>
        </is>
      </c>
      <c r="G104" t="inlineStr">
        <is>
          <t>VÄSTERÅS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46228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46228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46228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46228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46228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46228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46228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46228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44428</v>
      </c>
      <c r="E113" s="1" t="n">
        <v>46228</v>
      </c>
      <c r="F113" t="inlineStr">
        <is>
          <t>VÄSTMANLANDS LÄN</t>
        </is>
      </c>
      <c r="G113" t="inlineStr">
        <is>
          <t>VÄSTERÅS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46228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46228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46228</v>
      </c>
      <c r="F116" t="inlineStr">
        <is>
          <t>VÄSTMANLANDS LÄN</t>
        </is>
      </c>
      <c r="G116" t="inlineStr">
        <is>
          <t>VÄSTERÅS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46228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46228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45223</v>
      </c>
      <c r="E119" s="1" t="n">
        <v>46228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45628</v>
      </c>
      <c r="E120" s="1" t="n">
        <v>46228</v>
      </c>
      <c r="F120" t="inlineStr">
        <is>
          <t>VÄSTMANLANDS LÄN</t>
        </is>
      </c>
      <c r="G120" t="inlineStr">
        <is>
          <t>VÄSTERÅS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46228</v>
      </c>
      <c r="F121" t="inlineStr">
        <is>
          <t>VÄSTMANLANDS LÄN</t>
        </is>
      </c>
      <c r="G121" t="inlineStr">
        <is>
          <t>VÄSTERÅS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46228</v>
      </c>
      <c r="F122" t="inlineStr">
        <is>
          <t>VÄSTMANLANDS LÄN</t>
        </is>
      </c>
      <c r="G122" t="inlineStr">
        <is>
          <t>VÄSTERÅS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46228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46228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46228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46228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46228</v>
      </c>
      <c r="F127" t="inlineStr">
        <is>
          <t>VÄSTMANLANDS LÄN</t>
        </is>
      </c>
      <c r="G127" t="inlineStr">
        <is>
          <t>VÄSTERÅS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46228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46228</v>
      </c>
      <c r="F129" t="inlineStr">
        <is>
          <t>VÄSTMANLANDS LÄN</t>
        </is>
      </c>
      <c r="G129" t="inlineStr">
        <is>
          <t>VÄSTERÅS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46228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46228</v>
      </c>
      <c r="F131" t="inlineStr">
        <is>
          <t>VÄSTMANLANDS LÄN</t>
        </is>
      </c>
      <c r="G131" t="inlineStr">
        <is>
          <t>VÄSTERÅS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46228</v>
      </c>
      <c r="F132" t="inlineStr">
        <is>
          <t>VÄSTMANLANDS LÄN</t>
        </is>
      </c>
      <c r="G132" t="inlineStr">
        <is>
          <t>VÄSTERÅS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46228</v>
      </c>
      <c r="F133" t="inlineStr">
        <is>
          <t>VÄSTMANLANDS LÄN</t>
        </is>
      </c>
      <c r="G133" t="inlineStr">
        <is>
          <t>VÄSTERÅS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64208-2023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46228</v>
      </c>
      <c r="F134" t="inlineStr">
        <is>
          <t>VÄSTMANLANDS LÄN</t>
        </is>
      </c>
      <c r="G134" t="inlineStr">
        <is>
          <t>VÄSTERÅS</t>
        </is>
      </c>
      <c r="I134" t="n">
        <v>13.9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46228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39127-2022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46228</v>
      </c>
      <c r="F136" t="inlineStr">
        <is>
          <t>VÄSTMANLANDS LÄN</t>
        </is>
      </c>
      <c r="G136" t="inlineStr">
        <is>
          <t>VÄSTERÅS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46228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46228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46228</v>
      </c>
      <c r="F139" t="inlineStr">
        <is>
          <t>VÄSTMANLANDS LÄN</t>
        </is>
      </c>
      <c r="G139" t="inlineStr">
        <is>
          <t>VÄSTERÅS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46228</v>
      </c>
      <c r="F140" t="inlineStr">
        <is>
          <t>VÄSTMANLANDS LÄN</t>
        </is>
      </c>
      <c r="G140" t="inlineStr">
        <is>
          <t>VÄSTERÅS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46228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46228</v>
      </c>
      <c r="F142" t="inlineStr">
        <is>
          <t>VÄSTMANLANDS LÄN</t>
        </is>
      </c>
      <c r="G142" t="inlineStr">
        <is>
          <t>VÄSTERÅS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46228</v>
      </c>
      <c r="F143" t="inlineStr">
        <is>
          <t>VÄSTMANLANDS LÄN</t>
        </is>
      </c>
      <c r="G143" t="inlineStr">
        <is>
          <t>VÄSTERÅS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45595</v>
      </c>
      <c r="E144" s="1" t="n">
        <v>46228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46228</v>
      </c>
      <c r="F145" t="inlineStr">
        <is>
          <t>VÄSTMANLANDS LÄN</t>
        </is>
      </c>
      <c r="G145" t="inlineStr">
        <is>
          <t>VÄSTERÅS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46228</v>
      </c>
      <c r="F146" t="inlineStr">
        <is>
          <t>VÄSTMANLANDS LÄN</t>
        </is>
      </c>
      <c r="G146" t="inlineStr">
        <is>
          <t>VÄSTERÅS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46228</v>
      </c>
      <c r="F147" t="inlineStr">
        <is>
          <t>VÄSTMANLANDS LÄN</t>
        </is>
      </c>
      <c r="G147" t="inlineStr">
        <is>
          <t>VÄSTERÅS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46228</v>
      </c>
      <c r="F148" t="inlineStr">
        <is>
          <t>VÄSTMANLANDS LÄN</t>
        </is>
      </c>
      <c r="G148" t="inlineStr">
        <is>
          <t>VÄSTERÅS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47101-2025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46228</v>
      </c>
      <c r="F149" t="inlineStr">
        <is>
          <t>VÄSTMANLANDS LÄN</t>
        </is>
      </c>
      <c r="G149" t="inlineStr">
        <is>
          <t>VÄSTERÅS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46228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46228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46228</v>
      </c>
      <c r="F152" t="inlineStr">
        <is>
          <t>VÄSTMANLANDS LÄN</t>
        </is>
      </c>
      <c r="G152" t="inlineStr">
        <is>
          <t>VÄSTERÅS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46228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46228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46228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46228</v>
      </c>
      <c r="F156" t="inlineStr">
        <is>
          <t>VÄSTMANLANDS LÄN</t>
        </is>
      </c>
      <c r="G156" t="inlineStr">
        <is>
          <t>VÄSTERÅS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46228</v>
      </c>
      <c r="F157" t="inlineStr">
        <is>
          <t>VÄSTMANLANDS LÄN</t>
        </is>
      </c>
      <c r="G157" t="inlineStr">
        <is>
          <t>VÄSTERÅS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46228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52015-2024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45607</v>
      </c>
      <c r="E159" s="1" t="n">
        <v>46228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46228</v>
      </c>
      <c r="F160" t="inlineStr">
        <is>
          <t>VÄSTMANLANDS LÄN</t>
        </is>
      </c>
      <c r="G160" t="inlineStr">
        <is>
          <t>VÄSTERÅS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46228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46228</v>
      </c>
      <c r="F162" t="inlineStr">
        <is>
          <t>VÄSTMANLANDS LÄN</t>
        </is>
      </c>
      <c r="G162" t="inlineStr">
        <is>
          <t>VÄSTERÅS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46228</v>
      </c>
      <c r="F163" t="inlineStr">
        <is>
          <t>VÄSTMANLANDS LÄN</t>
        </is>
      </c>
      <c r="G163" t="inlineStr">
        <is>
          <t>VÄSTERÅS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46228</v>
      </c>
      <c r="F164" t="inlineStr">
        <is>
          <t>VÄSTMANLANDS LÄN</t>
        </is>
      </c>
      <c r="G164" t="inlineStr">
        <is>
          <t>VÄSTERÅS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46228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46228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46228</v>
      </c>
      <c r="F167" t="inlineStr">
        <is>
          <t>VÄSTMANLANDS LÄN</t>
        </is>
      </c>
      <c r="G167" t="inlineStr">
        <is>
          <t>VÄSTERÅS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46228</v>
      </c>
      <c r="F168" t="inlineStr">
        <is>
          <t>VÄSTMANLANDS LÄN</t>
        </is>
      </c>
      <c r="G168" t="inlineStr">
        <is>
          <t>VÄSTERÅS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46228</v>
      </c>
      <c r="F169" t="inlineStr">
        <is>
          <t>VÄSTMANLANDS LÄN</t>
        </is>
      </c>
      <c r="G169" t="inlineStr">
        <is>
          <t>VÄSTERÅS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46228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Övriga statliga verk och myndigheter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46228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46228</v>
      </c>
      <c r="F172" t="inlineStr">
        <is>
          <t>VÄSTMANLANDS LÄN</t>
        </is>
      </c>
      <c r="G172" t="inlineStr">
        <is>
          <t>VÄSTERÅS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46228</v>
      </c>
      <c r="F173" t="inlineStr">
        <is>
          <t>VÄSTMANLANDS LÄN</t>
        </is>
      </c>
      <c r="G173" t="inlineStr">
        <is>
          <t>VÄSTERÅS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46228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46228</v>
      </c>
      <c r="F175" t="inlineStr">
        <is>
          <t>VÄSTMANLANDS LÄN</t>
        </is>
      </c>
      <c r="G175" t="inlineStr">
        <is>
          <t>VÄSTERÅS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46228</v>
      </c>
      <c r="F176" t="inlineStr">
        <is>
          <t>VÄSTMANLANDS LÄN</t>
        </is>
      </c>
      <c r="G176" t="inlineStr">
        <is>
          <t>VÄSTERÅS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18465-2023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45042</v>
      </c>
      <c r="E177" s="1" t="n">
        <v>46228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46228</v>
      </c>
      <c r="F178" t="inlineStr">
        <is>
          <t>VÄSTMANLANDS LÄN</t>
        </is>
      </c>
      <c r="G178" t="inlineStr">
        <is>
          <t>VÄSTERÅS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46228</v>
      </c>
      <c r="F179" t="inlineStr">
        <is>
          <t>VÄSTMANLANDS LÄN</t>
        </is>
      </c>
      <c r="G179" t="inlineStr">
        <is>
          <t>VÄSTERÅS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46228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46228</v>
      </c>
      <c r="F181" t="inlineStr">
        <is>
          <t>VÄSTMANLANDS LÄN</t>
        </is>
      </c>
      <c r="G181" t="inlineStr">
        <is>
          <t>VÄSTERÅS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46228</v>
      </c>
      <c r="F182" t="inlineStr">
        <is>
          <t>VÄSTMANLANDS LÄN</t>
        </is>
      </c>
      <c r="G182" t="inlineStr">
        <is>
          <t>VÄSTERÅS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46228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46228</v>
      </c>
      <c r="F184" t="inlineStr">
        <is>
          <t>VÄSTMANLANDS LÄN</t>
        </is>
      </c>
      <c r="G184" t="inlineStr">
        <is>
          <t>VÄSTERÅS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46228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46228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46228</v>
      </c>
      <c r="F187" t="inlineStr">
        <is>
          <t>VÄSTMANLANDS LÄN</t>
        </is>
      </c>
      <c r="G187" t="inlineStr">
        <is>
          <t>VÄSTERÅS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46228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46228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46228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46228</v>
      </c>
      <c r="F191" t="inlineStr">
        <is>
          <t>VÄSTMANLANDS LÄN</t>
        </is>
      </c>
      <c r="G191" t="inlineStr">
        <is>
          <t>VÄSTERÅS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63851-2021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44509</v>
      </c>
      <c r="E192" s="1" t="n">
        <v>46228</v>
      </c>
      <c r="F192" t="inlineStr">
        <is>
          <t>VÄSTMANLANDS LÄN</t>
        </is>
      </c>
      <c r="G192" t="inlineStr">
        <is>
          <t>VÄSTERÅS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46228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46228</v>
      </c>
      <c r="F194" t="inlineStr">
        <is>
          <t>VÄSTMANLANDS LÄN</t>
        </is>
      </c>
      <c r="G194" t="inlineStr">
        <is>
          <t>VÄSTERÅS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46228</v>
      </c>
      <c r="F195" t="inlineStr">
        <is>
          <t>VÄSTMANLANDS LÄN</t>
        </is>
      </c>
      <c r="G195" t="inlineStr">
        <is>
          <t>VÄSTERÅS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46228</v>
      </c>
      <c r="F196" t="inlineStr">
        <is>
          <t>VÄSTMANLANDS LÄN</t>
        </is>
      </c>
      <c r="G196" t="inlineStr">
        <is>
          <t>VÄSTERÅS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46228</v>
      </c>
      <c r="F197" t="inlineStr">
        <is>
          <t>VÄSTMANLANDS LÄN</t>
        </is>
      </c>
      <c r="G197" t="inlineStr">
        <is>
          <t>VÄSTERÅS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46228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46228</v>
      </c>
      <c r="F199" t="inlineStr">
        <is>
          <t>VÄSTMANLANDS LÄN</t>
        </is>
      </c>
      <c r="G199" t="inlineStr">
        <is>
          <t>VÄSTERÅS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46228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45042</v>
      </c>
      <c r="E201" s="1" t="n">
        <v>46228</v>
      </c>
      <c r="F201" t="inlineStr">
        <is>
          <t>VÄSTMANLANDS LÄN</t>
        </is>
      </c>
      <c r="G201" t="inlineStr">
        <is>
          <t>VÄSTERÅS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44717</v>
      </c>
      <c r="E202" s="1" t="n">
        <v>46228</v>
      </c>
      <c r="F202" t="inlineStr">
        <is>
          <t>VÄSTMANLANDS LÄN</t>
        </is>
      </c>
      <c r="G202" t="inlineStr">
        <is>
          <t>VÄSTERÅS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46228</v>
      </c>
      <c r="F203" t="inlineStr">
        <is>
          <t>VÄSTMANLANDS LÄN</t>
        </is>
      </c>
      <c r="G203" t="inlineStr">
        <is>
          <t>VÄSTERÅS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46228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46228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44680</v>
      </c>
      <c r="E206" s="1" t="n">
        <v>46228</v>
      </c>
      <c r="F206" t="inlineStr">
        <is>
          <t>VÄSTMANLANDS LÄN</t>
        </is>
      </c>
      <c r="G206" t="inlineStr">
        <is>
          <t>VÄSTERÅS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46228</v>
      </c>
      <c r="F207" t="inlineStr">
        <is>
          <t>VÄSTMANLANDS LÄN</t>
        </is>
      </c>
      <c r="G207" t="inlineStr">
        <is>
          <t>VÄSTERÅS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46228</v>
      </c>
      <c r="F208" t="inlineStr">
        <is>
          <t>VÄSTMANLANDS LÄN</t>
        </is>
      </c>
      <c r="G208" t="inlineStr">
        <is>
          <t>VÄSTERÅS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46228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46228</v>
      </c>
      <c r="F210" t="inlineStr">
        <is>
          <t>VÄSTMANLANDS LÄN</t>
        </is>
      </c>
      <c r="G210" t="inlineStr">
        <is>
          <t>VÄSTERÅS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46228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46228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46228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44899</v>
      </c>
      <c r="E214" s="1" t="n">
        <v>46228</v>
      </c>
      <c r="F214" t="inlineStr">
        <is>
          <t>VÄSTMANLANDS LÄN</t>
        </is>
      </c>
      <c r="G214" t="inlineStr">
        <is>
          <t>VÄSTERÅS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44405</v>
      </c>
      <c r="E215" s="1" t="n">
        <v>46228</v>
      </c>
      <c r="F215" t="inlineStr">
        <is>
          <t>VÄSTMANLANDS LÄN</t>
        </is>
      </c>
      <c r="G215" t="inlineStr">
        <is>
          <t>VÄSTERÅS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46228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46228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46228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46228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44840</v>
      </c>
      <c r="E220" s="1" t="n">
        <v>46228</v>
      </c>
      <c r="F220" t="inlineStr">
        <is>
          <t>VÄSTMANLANDS LÄN</t>
        </is>
      </c>
      <c r="G220" t="inlineStr">
        <is>
          <t>VÄSTERÅS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44574</v>
      </c>
      <c r="E221" s="1" t="n">
        <v>46228</v>
      </c>
      <c r="F221" t="inlineStr">
        <is>
          <t>VÄSTMANLANDS LÄN</t>
        </is>
      </c>
      <c r="G221" t="inlineStr">
        <is>
          <t>VÄSTERÅS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46228</v>
      </c>
      <c r="F222" t="inlineStr">
        <is>
          <t>VÄSTMANLANDS LÄN</t>
        </is>
      </c>
      <c r="G222" t="inlineStr">
        <is>
          <t>VÄSTERÅS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46228</v>
      </c>
      <c r="F223" t="inlineStr">
        <is>
          <t>VÄSTMANLANDS LÄN</t>
        </is>
      </c>
      <c r="G223" t="inlineStr">
        <is>
          <t>VÄSTERÅS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7797-2026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46062</v>
      </c>
      <c r="E224" s="1" t="n">
        <v>46228</v>
      </c>
      <c r="F224" t="inlineStr">
        <is>
          <t>VÄSTMANLANDS LÄN</t>
        </is>
      </c>
      <c r="G224" t="inlineStr">
        <is>
          <t>VÄSTERÅS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44664</v>
      </c>
      <c r="E225" s="1" t="n">
        <v>46228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46228</v>
      </c>
      <c r="F226" t="inlineStr">
        <is>
          <t>VÄSTMANLANDS LÄN</t>
        </is>
      </c>
      <c r="G226" t="inlineStr">
        <is>
          <t>VÄSTERÅS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46228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46228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46228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46228</v>
      </c>
      <c r="F230" t="inlineStr">
        <is>
          <t>VÄSTMANLANDS LÄN</t>
        </is>
      </c>
      <c r="G230" t="inlineStr">
        <is>
          <t>VÄSTERÅS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46228</v>
      </c>
      <c r="F231" t="inlineStr">
        <is>
          <t>VÄSTMANLANDS LÄN</t>
        </is>
      </c>
      <c r="G231" t="inlineStr">
        <is>
          <t>VÄSTERÅS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45019</v>
      </c>
      <c r="E232" s="1" t="n">
        <v>46228</v>
      </c>
      <c r="F232" t="inlineStr">
        <is>
          <t>VÄSTMANLANDS LÄN</t>
        </is>
      </c>
      <c r="G232" t="inlineStr">
        <is>
          <t>VÄSTERÅS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46228</v>
      </c>
      <c r="F233" t="inlineStr">
        <is>
          <t>VÄSTMANLANDS LÄN</t>
        </is>
      </c>
      <c r="G233" t="inlineStr">
        <is>
          <t>VÄSTERÅS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46228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46228</v>
      </c>
      <c r="F235" t="inlineStr">
        <is>
          <t>VÄSTMANLANDS LÄN</t>
        </is>
      </c>
      <c r="G235" t="inlineStr">
        <is>
          <t>VÄSTERÅS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52027-2025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45952</v>
      </c>
      <c r="E236" s="1" t="n">
        <v>46228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statliga verk och myndigheter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46228</v>
      </c>
      <c r="F237" t="inlineStr">
        <is>
          <t>VÄSTMANLANDS LÄN</t>
        </is>
      </c>
      <c r="G237" t="inlineStr">
        <is>
          <t>VÄSTERÅS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46228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46228</v>
      </c>
      <c r="F239" t="inlineStr">
        <is>
          <t>VÄSTMANLANDS LÄN</t>
        </is>
      </c>
      <c r="G239" t="inlineStr">
        <is>
          <t>VÄSTERÅS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46228</v>
      </c>
      <c r="F240" t="inlineStr">
        <is>
          <t>VÄSTMANLANDS LÄN</t>
        </is>
      </c>
      <c r="G240" t="inlineStr">
        <is>
          <t>VÄSTERÅS</t>
        </is>
      </c>
      <c r="I240" t="n">
        <v>20.3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46228</v>
      </c>
      <c r="F241" t="inlineStr">
        <is>
          <t>VÄSTMANLANDS LÄN</t>
        </is>
      </c>
      <c r="G241" t="inlineStr">
        <is>
          <t>VÄSTERÅS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46228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46228</v>
      </c>
      <c r="F243" t="inlineStr">
        <is>
          <t>VÄSTMANLANDS LÄN</t>
        </is>
      </c>
      <c r="G243" t="inlineStr">
        <is>
          <t>VÄSTERÅS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46228</v>
      </c>
      <c r="F244" t="inlineStr">
        <is>
          <t>VÄSTMANLANDS LÄN</t>
        </is>
      </c>
      <c r="G244" t="inlineStr">
        <is>
          <t>VÄSTERÅS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46228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45083</v>
      </c>
      <c r="E246" s="1" t="n">
        <v>46228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46228</v>
      </c>
      <c r="F247" t="inlineStr">
        <is>
          <t>VÄSTMANLANDS LÄN</t>
        </is>
      </c>
      <c r="G247" t="inlineStr">
        <is>
          <t>VÄSTERÅS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46228</v>
      </c>
      <c r="F248" t="inlineStr">
        <is>
          <t>VÄSTMANLANDS LÄN</t>
        </is>
      </c>
      <c r="G248" t="inlineStr">
        <is>
          <t>VÄSTERÅS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46213</v>
      </c>
      <c r="E249" s="1" t="n">
        <v>46228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45400</v>
      </c>
      <c r="E250" s="1" t="n">
        <v>46228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46228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46228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46228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46228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46217</v>
      </c>
      <c r="E255" s="1" t="n">
        <v>46228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46228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46228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46228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46228</v>
      </c>
      <c r="F259" t="inlineStr">
        <is>
          <t>VÄSTMANLANDS LÄN</t>
        </is>
      </c>
      <c r="G259" t="inlineStr">
        <is>
          <t>VÄSTERÅS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46228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46228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46080</v>
      </c>
      <c r="E262" s="1" t="n">
        <v>46228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46228</v>
      </c>
      <c r="F263" t="inlineStr">
        <is>
          <t>VÄSTMANLANDS LÄN</t>
        </is>
      </c>
      <c r="G263" t="inlineStr">
        <is>
          <t>VÄSTERÅS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44523</v>
      </c>
      <c r="E264" s="1" t="n">
        <v>46228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46228</v>
      </c>
      <c r="F265" t="inlineStr">
        <is>
          <t>VÄSTMANLANDS LÄN</t>
        </is>
      </c>
      <c r="G265" t="inlineStr">
        <is>
          <t>VÄSTERÅS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46228</v>
      </c>
      <c r="F266" t="inlineStr">
        <is>
          <t>VÄSTMANLANDS LÄN</t>
        </is>
      </c>
      <c r="G266" t="inlineStr">
        <is>
          <t>VÄSTERÅS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46228</v>
      </c>
      <c r="F267" t="inlineStr">
        <is>
          <t>VÄSTMANLANDS LÄN</t>
        </is>
      </c>
      <c r="G267" t="inlineStr">
        <is>
          <t>VÄSTERÅS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46228</v>
      </c>
      <c r="F268" t="inlineStr">
        <is>
          <t>VÄSTMANLANDS LÄN</t>
        </is>
      </c>
      <c r="G268" t="inlineStr">
        <is>
          <t>VÄSTERÅS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46228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46228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46228</v>
      </c>
      <c r="F271" t="inlineStr">
        <is>
          <t>VÄSTMANLANDS LÄN</t>
        </is>
      </c>
      <c r="G271" t="inlineStr">
        <is>
          <t>VÄSTERÅS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46228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46228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46228</v>
      </c>
      <c r="F274" t="inlineStr">
        <is>
          <t>VÄSTMANLANDS LÄN</t>
        </is>
      </c>
      <c r="G274" t="inlineStr">
        <is>
          <t>VÄSTERÅS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46228</v>
      </c>
      <c r="F275" t="inlineStr">
        <is>
          <t>VÄSTMANLANDS LÄN</t>
        </is>
      </c>
      <c r="G275" t="inlineStr">
        <is>
          <t>VÄSTERÅS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46228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Allmännings- och besparingsskogar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18467-2023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45042</v>
      </c>
      <c r="E277" s="1" t="n">
        <v>46228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46228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45457</v>
      </c>
      <c r="E279" s="1" t="n">
        <v>46228</v>
      </c>
      <c r="F279" t="inlineStr">
        <is>
          <t>VÄSTMANLANDS LÄN</t>
        </is>
      </c>
      <c r="G279" t="inlineStr">
        <is>
          <t>VÄSTERÅS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46228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46228</v>
      </c>
      <c r="F281" t="inlineStr">
        <is>
          <t>VÄSTMANLANDS LÄN</t>
        </is>
      </c>
      <c r="G281" t="inlineStr">
        <is>
          <t>VÄSTERÅS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67350-2021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44523</v>
      </c>
      <c r="E282" s="1" t="n">
        <v>46228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46228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46228</v>
      </c>
      <c r="F284" t="inlineStr">
        <is>
          <t>VÄSTMANLANDS LÄN</t>
        </is>
      </c>
      <c r="G284" t="inlineStr">
        <is>
          <t>VÄSTERÅS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46228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Allmännings- och besparingsskogar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46228</v>
      </c>
      <c r="F286" t="inlineStr">
        <is>
          <t>VÄSTMANLANDS LÄN</t>
        </is>
      </c>
      <c r="G286" t="inlineStr">
        <is>
          <t>VÄSTERÅS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46228</v>
      </c>
      <c r="F287" t="inlineStr">
        <is>
          <t>VÄSTMANLANDS LÄN</t>
        </is>
      </c>
      <c r="G287" t="inlineStr">
        <is>
          <t>VÄSTERÅS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46228</v>
      </c>
      <c r="F288" t="inlineStr">
        <is>
          <t>VÄSTMANLANDS LÄN</t>
        </is>
      </c>
      <c r="G288" t="inlineStr">
        <is>
          <t>VÄSTERÅS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44556</v>
      </c>
      <c r="E289" s="1" t="n">
        <v>46228</v>
      </c>
      <c r="F289" t="inlineStr">
        <is>
          <t>VÄSTMANLANDS LÄN</t>
        </is>
      </c>
      <c r="G289" t="inlineStr">
        <is>
          <t>VÄSTERÅS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46228</v>
      </c>
      <c r="F290" t="inlineStr">
        <is>
          <t>VÄSTMANLANDS LÄN</t>
        </is>
      </c>
      <c r="G290" t="inlineStr">
        <is>
          <t>VÄSTERÅS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46228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44792</v>
      </c>
      <c r="E292" s="1" t="n">
        <v>46228</v>
      </c>
      <c r="F292" t="inlineStr">
        <is>
          <t>VÄSTMANLANDS LÄN</t>
        </is>
      </c>
      <c r="G292" t="inlineStr">
        <is>
          <t>VÄSTERÅS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46228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46228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44708</v>
      </c>
      <c r="E295" s="1" t="n">
        <v>46228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44755</v>
      </c>
      <c r="E296" s="1" t="n">
        <v>46228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44523</v>
      </c>
      <c r="E297" s="1" t="n">
        <v>46228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46228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56980-2021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44482</v>
      </c>
      <c r="E299" s="1" t="n">
        <v>46228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46228</v>
      </c>
      <c r="F300" t="inlineStr">
        <is>
          <t>VÄSTMANLANDS LÄN</t>
        </is>
      </c>
      <c r="G300" t="inlineStr">
        <is>
          <t>VÄSTERÅS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46228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44658</v>
      </c>
      <c r="E302" s="1" t="n">
        <v>46228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46228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46228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8727-2023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44978</v>
      </c>
      <c r="E305" s="1" t="n">
        <v>46228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45028</v>
      </c>
      <c r="E306" s="1" t="n">
        <v>46228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46228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46228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46228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46228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44537</v>
      </c>
      <c r="E311" s="1" t="n">
        <v>46228</v>
      </c>
      <c r="F311" t="inlineStr">
        <is>
          <t>VÄSTMANLANDS LÄN</t>
        </is>
      </c>
      <c r="G311" t="inlineStr">
        <is>
          <t>VÄSTERÅS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46228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46228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46228</v>
      </c>
      <c r="F314" t="inlineStr">
        <is>
          <t>VÄSTMANLANDS LÄN</t>
        </is>
      </c>
      <c r="G314" t="inlineStr">
        <is>
          <t>VÄSTERÅS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45037</v>
      </c>
      <c r="E315" s="1" t="n">
        <v>46228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46228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44552</v>
      </c>
      <c r="E317" s="1" t="n">
        <v>46228</v>
      </c>
      <c r="F317" t="inlineStr">
        <is>
          <t>VÄSTMANLANDS LÄN</t>
        </is>
      </c>
      <c r="G317" t="inlineStr">
        <is>
          <t>VÄSTERÅS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46228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46228</v>
      </c>
      <c r="F319" t="inlineStr">
        <is>
          <t>VÄSTMANLANDS LÄN</t>
        </is>
      </c>
      <c r="G319" t="inlineStr">
        <is>
          <t>VÄSTERÅS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46228</v>
      </c>
      <c r="F320" t="inlineStr">
        <is>
          <t>VÄSTMANLANDS LÄN</t>
        </is>
      </c>
      <c r="G320" t="inlineStr">
        <is>
          <t>VÄSTERÅS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46228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46228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46228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46228</v>
      </c>
      <c r="F324" t="inlineStr">
        <is>
          <t>VÄSTMANLANDS LÄN</t>
        </is>
      </c>
      <c r="G324" t="inlineStr">
        <is>
          <t>VÄSTERÅS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45235</v>
      </c>
      <c r="E325" s="1" t="n">
        <v>46228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Övriga Aktiebolag</t>
        </is>
      </c>
      <c r="I325" t="n">
        <v>37.8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46228</v>
      </c>
      <c r="F326" t="inlineStr">
        <is>
          <t>VÄSTMANLANDS LÄN</t>
        </is>
      </c>
      <c r="G326" t="inlineStr">
        <is>
          <t>VÄSTERÅS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46228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46228</v>
      </c>
      <c r="F328" t="inlineStr">
        <is>
          <t>VÄSTMANLANDS LÄN</t>
        </is>
      </c>
      <c r="G328" t="inlineStr">
        <is>
          <t>VÄSTERÅS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46228</v>
      </c>
      <c r="F329" t="inlineStr">
        <is>
          <t>VÄSTMANLANDS LÄN</t>
        </is>
      </c>
      <c r="G329" t="inlineStr">
        <is>
          <t>VÄSTERÅS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44880</v>
      </c>
      <c r="E330" s="1" t="n">
        <v>46228</v>
      </c>
      <c r="F330" t="inlineStr">
        <is>
          <t>VÄSTMANLANDS LÄN</t>
        </is>
      </c>
      <c r="G330" t="inlineStr">
        <is>
          <t>VÄSTERÅS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46228</v>
      </c>
      <c r="F331" t="inlineStr">
        <is>
          <t>VÄSTMANLANDS LÄN</t>
        </is>
      </c>
      <c r="G331" t="inlineStr">
        <is>
          <t>VÄSTERÅS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46228</v>
      </c>
      <c r="F332" t="inlineStr">
        <is>
          <t>VÄSTMANLANDS LÄN</t>
        </is>
      </c>
      <c r="G332" t="inlineStr">
        <is>
          <t>VÄSTERÅS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46228</v>
      </c>
      <c r="F333" t="inlineStr">
        <is>
          <t>VÄSTMANLANDS LÄN</t>
        </is>
      </c>
      <c r="G333" t="inlineStr">
        <is>
          <t>VÄSTERÅS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46228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46228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953-2023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45005</v>
      </c>
      <c r="E336" s="1" t="n">
        <v>46228</v>
      </c>
      <c r="F336" t="inlineStr">
        <is>
          <t>VÄSTMANLANDS LÄN</t>
        </is>
      </c>
      <c r="G336" t="inlineStr">
        <is>
          <t>VÄSTERÅS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1415-2022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44634</v>
      </c>
      <c r="E337" s="1" t="n">
        <v>46228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Kyrkan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46228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46228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46228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2026-07-25T01:52:11Z</dcterms:created>
  <dcterms:modified xmlns:dcterms="http://purl.org/dc/terms/" xmlns:xsi="http://www.w3.org/2001/XMLSchema-instance" xsi:type="dcterms:W3CDTF">2026-07-25T01:52:11Z</dcterms:modified>
</cp:coreProperties>
</file>