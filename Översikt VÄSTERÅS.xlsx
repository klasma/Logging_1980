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46282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46282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46282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46282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46282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46282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46282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46282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46282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46282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46282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46282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46282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46282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46282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46282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46282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46282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46282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46282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46282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46282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46282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46282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46282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46282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46282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46282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46282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46282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46282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46282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46282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46282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46282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46282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46282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46282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46282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46282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46282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46282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46282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46282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46282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46282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46282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12950-2023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45001</v>
      </c>
      <c r="E49" s="1" t="n">
        <v>46282</v>
      </c>
      <c r="F49" t="inlineStr">
        <is>
          <t>VÄSTMANLANDS LÄN</t>
        </is>
      </c>
      <c r="G49" t="inlineStr">
        <is>
          <t>VÄSTERÅS</t>
        </is>
      </c>
      <c r="I49" t="n">
        <v>2.1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HYPERLINK("https://klasma.github.io/Logging_1980/artfynd/A 12950-2023 artfynd.xlsx", "A 12950-2023")</f>
        <v/>
      </c>
      <c r="X49">
        <f>HYPERLINK("https://klasma.github.io/Logging_1980/kartor/A 12950-2023 karta.png", "A 12950-2023")</f>
        <v/>
      </c>
      <c r="Y49">
        <f>HYPERLINK("https://klasma.github.io/Logging_1980/kartor_geotiff/A 12950-2023 georefererad karta.tif", "A 12950-2023")</f>
        <v/>
      </c>
      <c r="AA49">
        <f>HYPERLINK("https://klasma.github.io/Logging_1980/klagomål/A 12950-2023 FSC-klagomål.docx", "A 12950-2023")</f>
        <v/>
      </c>
      <c r="AB49">
        <f>HYPERLINK("https://klasma.github.io/Logging_1980/klagomålsmail/A 12950-2023 FSC-klagomål mail.docx", "A 12950-2023")</f>
        <v/>
      </c>
      <c r="AC49">
        <f>HYPERLINK("https://klasma.github.io/Logging_1980/tillsyn/A 12950-2023 tillsynsbegäran.docx", "A 12950-2023")</f>
        <v/>
      </c>
      <c r="AD49">
        <f>HYPERLINK("https://klasma.github.io/Logging_1980/tillsynsmail/A 12950-2023 tillsynsbegäran mail.docx", "A 12950-2023")</f>
        <v/>
      </c>
    </row>
    <row r="50" ht="15" customHeight="1">
      <c r="A50" t="inlineStr">
        <is>
          <t>A 5363-2025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45692</v>
      </c>
      <c r="E50" s="1" t="n">
        <v>46282</v>
      </c>
      <c r="F50" t="inlineStr">
        <is>
          <t>VÄSTMANLANDS LÄN</t>
        </is>
      </c>
      <c r="G50" t="inlineStr">
        <is>
          <t>VÄSTERÅS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5363-2025 artfynd.xlsx", "A 5363-2025")</f>
        <v/>
      </c>
      <c r="X50">
        <f>HYPERLINK("https://klasma.github.io/Logging_1980/kartor/A 5363-2025 karta.png", "A 5363-2025")</f>
        <v/>
      </c>
      <c r="Y50">
        <f>HYPERLINK("https://klasma.github.io/Logging_1980/kartor_geotiff/A 5363-2025 georefererad karta.tif", "A 5363-2025")</f>
        <v/>
      </c>
      <c r="AA50">
        <f>HYPERLINK("https://klasma.github.io/Logging_1980/klagomål/A 5363-2025 FSC-klagomål.docx", "A 5363-2025")</f>
        <v/>
      </c>
      <c r="AB50">
        <f>HYPERLINK("https://klasma.github.io/Logging_1980/klagomålsmail/A 5363-2025 FSC-klagomål mail.docx", "A 5363-2025")</f>
        <v/>
      </c>
      <c r="AC50">
        <f>HYPERLINK("https://klasma.github.io/Logging_1980/tillsyn/A 5363-2025 tillsynsbegäran.docx", "A 5363-2025")</f>
        <v/>
      </c>
      <c r="AD50">
        <f>HYPERLINK("https://klasma.github.io/Logging_1980/tillsynsmail/A 5363-2025 tillsynsbegäran mail.docx", "A 5363-2025")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46282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46282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46282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46282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46282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46282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46282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46282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46282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46282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46282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46282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46282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46282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46282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46282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46282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46282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46282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46282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46282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46282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46282</v>
      </c>
      <c r="F73" t="inlineStr">
        <is>
          <t>VÄSTMANLANDS LÄN</t>
        </is>
      </c>
      <c r="G73" t="inlineStr">
        <is>
          <t>VÄSTERÅS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72019-2021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44540</v>
      </c>
      <c r="E74" s="1" t="n">
        <v>46282</v>
      </c>
      <c r="F74" t="inlineStr">
        <is>
          <t>VÄSTMANLANDS LÄN</t>
        </is>
      </c>
      <c r="G74" t="inlineStr">
        <is>
          <t>VÄSTERÅS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44636</v>
      </c>
      <c r="E75" s="1" t="n">
        <v>46282</v>
      </c>
      <c r="F75" t="inlineStr">
        <is>
          <t>VÄSTMANLANDS LÄN</t>
        </is>
      </c>
      <c r="G75" t="inlineStr">
        <is>
          <t>VÄSTERÅS</t>
        </is>
      </c>
      <c r="H75" t="inlineStr">
        <is>
          <t>Kommuner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19336-2022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44692</v>
      </c>
      <c r="E76" s="1" t="n">
        <v>46282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53858-2022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44880</v>
      </c>
      <c r="E77" s="1" t="n">
        <v>46282</v>
      </c>
      <c r="F77" t="inlineStr">
        <is>
          <t>VÄSTMANLANDS LÄN</t>
        </is>
      </c>
      <c r="G77" t="inlineStr">
        <is>
          <t>VÄSTERÅS</t>
        </is>
      </c>
      <c r="H77" t="inlineStr">
        <is>
          <t>Sveaskog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73334-2021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46282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46282</v>
      </c>
      <c r="F79" t="inlineStr">
        <is>
          <t>VÄSTMANLANDS LÄN</t>
        </is>
      </c>
      <c r="G79" t="inlineStr">
        <is>
          <t>VÄSTERÅS</t>
        </is>
      </c>
      <c r="H79" t="inlineStr">
        <is>
          <t>Sveaskog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7719-2022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44608</v>
      </c>
      <c r="E80" s="1" t="n">
        <v>46282</v>
      </c>
      <c r="F80" t="inlineStr">
        <is>
          <t>VÄSTMANLANDS LÄN</t>
        </is>
      </c>
      <c r="G80" t="inlineStr">
        <is>
          <t>VÄSTERÅS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44676</v>
      </c>
      <c r="E81" s="1" t="n">
        <v>46282</v>
      </c>
      <c r="F81" t="inlineStr">
        <is>
          <t>VÄSTMANLANDS LÄN</t>
        </is>
      </c>
      <c r="G81" t="inlineStr">
        <is>
          <t>VÄSTERÅS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46282</v>
      </c>
      <c r="F82" t="inlineStr">
        <is>
          <t>VÄSTMANLANDS LÄN</t>
        </is>
      </c>
      <c r="G82" t="inlineStr">
        <is>
          <t>VÄSTERÅS</t>
        </is>
      </c>
      <c r="I82" t="n">
        <v>11.3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15640-2022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46282</v>
      </c>
      <c r="F83" t="inlineStr">
        <is>
          <t>VÄSTMANLANDS LÄN</t>
        </is>
      </c>
      <c r="G83" t="inlineStr">
        <is>
          <t>VÄSTERÅS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46282</v>
      </c>
      <c r="F84" t="inlineStr">
        <is>
          <t>VÄSTMANLANDS LÄN</t>
        </is>
      </c>
      <c r="G84" t="inlineStr">
        <is>
          <t>VÄSTERÅS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22602-2022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44714</v>
      </c>
      <c r="E85" s="1" t="n">
        <v>46282</v>
      </c>
      <c r="F85" t="inlineStr">
        <is>
          <t>VÄSTMANLANDS LÄN</t>
        </is>
      </c>
      <c r="G85" t="inlineStr">
        <is>
          <t>VÄSTERÅS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13367-2022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46282</v>
      </c>
      <c r="F86" t="inlineStr">
        <is>
          <t>VÄSTMANLANDS LÄN</t>
        </is>
      </c>
      <c r="G86" t="inlineStr">
        <is>
          <t>VÄSTERÅS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44699</v>
      </c>
      <c r="E87" s="1" t="n">
        <v>46282</v>
      </c>
      <c r="F87" t="inlineStr">
        <is>
          <t>VÄSTMANLANDS LÄN</t>
        </is>
      </c>
      <c r="G87" t="inlineStr">
        <is>
          <t>VÄSTERÅS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10499-2022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44623</v>
      </c>
      <c r="E88" s="1" t="n">
        <v>46282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30468-2022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44761</v>
      </c>
      <c r="E89" s="1" t="n">
        <v>46282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34073-2022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44791</v>
      </c>
      <c r="E90" s="1" t="n">
        <v>46282</v>
      </c>
      <c r="F90" t="inlineStr">
        <is>
          <t>VÄSTMANLANDS LÄN</t>
        </is>
      </c>
      <c r="G90" t="inlineStr">
        <is>
          <t>VÄSTERÅS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44847</v>
      </c>
      <c r="E91" s="1" t="n">
        <v>46282</v>
      </c>
      <c r="F91" t="inlineStr">
        <is>
          <t>VÄSTMANLANDS LÄN</t>
        </is>
      </c>
      <c r="G91" t="inlineStr">
        <is>
          <t>VÄSTERÅS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16497-2022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44671</v>
      </c>
      <c r="E92" s="1" t="n">
        <v>46282</v>
      </c>
      <c r="F92" t="inlineStr">
        <is>
          <t>VÄSTMANLANDS LÄN</t>
        </is>
      </c>
      <c r="G92" t="inlineStr">
        <is>
          <t>VÄSTERÅS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46282</v>
      </c>
      <c r="F93" t="inlineStr">
        <is>
          <t>VÄSTMANLANDS LÄN</t>
        </is>
      </c>
      <c r="G93" t="inlineStr">
        <is>
          <t>VÄSTERÅS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55676-2023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45232</v>
      </c>
      <c r="E94" s="1" t="n">
        <v>46282</v>
      </c>
      <c r="F94" t="inlineStr">
        <is>
          <t>VÄSTMANLANDS LÄN</t>
        </is>
      </c>
      <c r="G94" t="inlineStr">
        <is>
          <t>VÄSTERÅS</t>
        </is>
      </c>
      <c r="H94" t="inlineStr">
        <is>
          <t>Övriga Aktiebolag</t>
        </is>
      </c>
      <c r="I94" t="n">
        <v>37.9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73601-2021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44552</v>
      </c>
      <c r="E95" s="1" t="n">
        <v>46282</v>
      </c>
      <c r="F95" t="inlineStr">
        <is>
          <t>VÄSTMANLANDS LÄN</t>
        </is>
      </c>
      <c r="G95" t="inlineStr">
        <is>
          <t>VÄSTERÅS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42257-2023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45180</v>
      </c>
      <c r="E96" s="1" t="n">
        <v>46282</v>
      </c>
      <c r="F96" t="inlineStr">
        <is>
          <t>VÄSTMANLANDS LÄN</t>
        </is>
      </c>
      <c r="G96" t="inlineStr">
        <is>
          <t>VÄSTERÅS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44847</v>
      </c>
      <c r="E97" s="1" t="n">
        <v>46282</v>
      </c>
      <c r="F97" t="inlineStr">
        <is>
          <t>VÄSTMANLANDS LÄN</t>
        </is>
      </c>
      <c r="G97" t="inlineStr">
        <is>
          <t>VÄSTERÅS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55684-2023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45232</v>
      </c>
      <c r="E98" s="1" t="n">
        <v>46282</v>
      </c>
      <c r="F98" t="inlineStr">
        <is>
          <t>VÄSTMANLANDS LÄN</t>
        </is>
      </c>
      <c r="G98" t="inlineStr">
        <is>
          <t>VÄSTERÅS</t>
        </is>
      </c>
      <c r="H98" t="inlineStr">
        <is>
          <t>Övriga Aktiebolag</t>
        </is>
      </c>
      <c r="I98" t="n">
        <v>29.4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44637</v>
      </c>
      <c r="E99" s="1" t="n">
        <v>46282</v>
      </c>
      <c r="F99" t="inlineStr">
        <is>
          <t>VÄSTMANLANDS LÄN</t>
        </is>
      </c>
      <c r="G99" t="inlineStr">
        <is>
          <t>VÄSTERÅS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44739</v>
      </c>
      <c r="E100" s="1" t="n">
        <v>46282</v>
      </c>
      <c r="F100" t="inlineStr">
        <is>
          <t>VÄSTMANLANDS LÄN</t>
        </is>
      </c>
      <c r="G100" t="inlineStr">
        <is>
          <t>VÄSTERÅS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46282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74314-2021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44559</v>
      </c>
      <c r="E102" s="1" t="n">
        <v>46282</v>
      </c>
      <c r="F102" t="inlineStr">
        <is>
          <t>VÄSTMANLANDS LÄN</t>
        </is>
      </c>
      <c r="G102" t="inlineStr">
        <is>
          <t>VÄSTERÅS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46282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8346-2022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46282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45639</v>
      </c>
      <c r="E105" s="1" t="n">
        <v>46282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46282</v>
      </c>
      <c r="F106" t="inlineStr">
        <is>
          <t>VÄSTMANLANDS LÄN</t>
        </is>
      </c>
      <c r="G106" t="inlineStr">
        <is>
          <t>VÄSTERÅS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44961</v>
      </c>
      <c r="E107" s="1" t="n">
        <v>46282</v>
      </c>
      <c r="F107" t="inlineStr">
        <is>
          <t>VÄSTMANLANDS LÄN</t>
        </is>
      </c>
      <c r="G107" t="inlineStr">
        <is>
          <t>VÄSTERÅS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46282</v>
      </c>
      <c r="F108" t="inlineStr">
        <is>
          <t>VÄSTMANLANDS LÄN</t>
        </is>
      </c>
      <c r="G108" t="inlineStr">
        <is>
          <t>VÄSTERÅS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45072</v>
      </c>
      <c r="E109" s="1" t="n">
        <v>46282</v>
      </c>
      <c r="F109" t="inlineStr">
        <is>
          <t>VÄSTMANLANDS LÄN</t>
        </is>
      </c>
      <c r="G109" t="inlineStr">
        <is>
          <t>VÄSTERÅS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38538-2023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46282</v>
      </c>
      <c r="F110" t="inlineStr">
        <is>
          <t>VÄSTMANLANDS LÄN</t>
        </is>
      </c>
      <c r="G110" t="inlineStr">
        <is>
          <t>VÄSTERÅS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45705</v>
      </c>
      <c r="E111" s="1" t="n">
        <v>46282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10912-2024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45370</v>
      </c>
      <c r="E112" s="1" t="n">
        <v>46282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45798</v>
      </c>
      <c r="E113" s="1" t="n">
        <v>46282</v>
      </c>
      <c r="F113" t="inlineStr">
        <is>
          <t>VÄSTMANLANDS LÄN</t>
        </is>
      </c>
      <c r="G113" t="inlineStr">
        <is>
          <t>VÄSTERÅS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46282</v>
      </c>
      <c r="F114" t="inlineStr">
        <is>
          <t>VÄSTMANLANDS LÄN</t>
        </is>
      </c>
      <c r="G114" t="inlineStr">
        <is>
          <t>VÄSTERÅS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38823-2025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45887</v>
      </c>
      <c r="E115" s="1" t="n">
        <v>46282</v>
      </c>
      <c r="F115" t="inlineStr">
        <is>
          <t>VÄSTMANLANDS LÄN</t>
        </is>
      </c>
      <c r="G115" t="inlineStr">
        <is>
          <t>VÄSTERÅS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51951-2023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45223</v>
      </c>
      <c r="E116" s="1" t="n">
        <v>46282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56945-2024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45628</v>
      </c>
      <c r="E117" s="1" t="n">
        <v>46282</v>
      </c>
      <c r="F117" t="inlineStr">
        <is>
          <t>VÄSTMANLANDS LÄN</t>
        </is>
      </c>
      <c r="G117" t="inlineStr">
        <is>
          <t>VÄSTERÅS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46282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Allmännings- och besparingsskogar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45638</v>
      </c>
      <c r="E119" s="1" t="n">
        <v>46282</v>
      </c>
      <c r="F119" t="inlineStr">
        <is>
          <t>VÄSTMANLANDS LÄN</t>
        </is>
      </c>
      <c r="G119" t="inlineStr">
        <is>
          <t>VÄSTERÅS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56076-2023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45235</v>
      </c>
      <c r="E120" s="1" t="n">
        <v>46282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Övriga Aktiebolag</t>
        </is>
      </c>
      <c r="I120" t="n">
        <v>37.8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46282</v>
      </c>
      <c r="F121" t="inlineStr">
        <is>
          <t>VÄSTMANLANDS LÄN</t>
        </is>
      </c>
      <c r="G121" t="inlineStr">
        <is>
          <t>VÄSTERÅS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46282</v>
      </c>
      <c r="F122" t="inlineStr">
        <is>
          <t>VÄSTMANLANDS LÄN</t>
        </is>
      </c>
      <c r="G122" t="inlineStr">
        <is>
          <t>VÄSTERÅS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50996-2024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45603</v>
      </c>
      <c r="E123" s="1" t="n">
        <v>46282</v>
      </c>
      <c r="F123" t="inlineStr">
        <is>
          <t>VÄSTMANLANDS LÄN</t>
        </is>
      </c>
      <c r="G123" t="inlineStr">
        <is>
          <t>VÄSTERÅS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31618-2024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45506</v>
      </c>
      <c r="E124" s="1" t="n">
        <v>46282</v>
      </c>
      <c r="F124" t="inlineStr">
        <is>
          <t>VÄSTMANLANDS LÄN</t>
        </is>
      </c>
      <c r="G124" t="inlineStr">
        <is>
          <t>VÄSTERÅS</t>
        </is>
      </c>
      <c r="H124" t="inlineStr">
        <is>
          <t>Kommuner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45595</v>
      </c>
      <c r="E125" s="1" t="n">
        <v>46282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Övriga Aktiebolag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52764-2022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44875</v>
      </c>
      <c r="E126" s="1" t="n">
        <v>46282</v>
      </c>
      <c r="F126" t="inlineStr">
        <is>
          <t>VÄSTMANLANDS LÄN</t>
        </is>
      </c>
      <c r="G126" t="inlineStr">
        <is>
          <t>VÄSTERÅS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44936</v>
      </c>
      <c r="E127" s="1" t="n">
        <v>46282</v>
      </c>
      <c r="F127" t="inlineStr">
        <is>
          <t>VÄSTMANLANDS LÄN</t>
        </is>
      </c>
      <c r="G127" t="inlineStr">
        <is>
          <t>VÄSTERÅS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54537-2024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45617</v>
      </c>
      <c r="E128" s="1" t="n">
        <v>46282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Sveaskog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46282</v>
      </c>
      <c r="F129" t="inlineStr">
        <is>
          <t>VÄSTMANLANDS LÄN</t>
        </is>
      </c>
      <c r="G129" t="inlineStr">
        <is>
          <t>VÄSTERÅS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11137-2023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44987</v>
      </c>
      <c r="E130" s="1" t="n">
        <v>46282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31569-2025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45833</v>
      </c>
      <c r="E131" s="1" t="n">
        <v>46282</v>
      </c>
      <c r="F131" t="inlineStr">
        <is>
          <t>VÄSTMANLANDS LÄN</t>
        </is>
      </c>
      <c r="G131" t="inlineStr">
        <is>
          <t>VÄSTERÅS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46282</v>
      </c>
      <c r="F132" t="inlineStr">
        <is>
          <t>VÄSTMANLANDS LÄN</t>
        </is>
      </c>
      <c r="G132" t="inlineStr">
        <is>
          <t>VÄSTERÅS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46282</v>
      </c>
      <c r="F133" t="inlineStr">
        <is>
          <t>VÄSTMANLANDS LÄN</t>
        </is>
      </c>
      <c r="G133" t="inlineStr">
        <is>
          <t>VÄSTERÅS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42898-2025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46282</v>
      </c>
      <c r="F134" t="inlineStr">
        <is>
          <t>VÄSTMANLANDS LÄN</t>
        </is>
      </c>
      <c r="G134" t="inlineStr">
        <is>
          <t>VÄSTERÅS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12612-2023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44999</v>
      </c>
      <c r="E135" s="1" t="n">
        <v>46282</v>
      </c>
      <c r="F135" t="inlineStr">
        <is>
          <t>VÄSTMANLANDS LÄN</t>
        </is>
      </c>
      <c r="G135" t="inlineStr">
        <is>
          <t>VÄSTERÅS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64207-2023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46282</v>
      </c>
      <c r="F136" t="inlineStr">
        <is>
          <t>VÄSTMANLANDS LÄN</t>
        </is>
      </c>
      <c r="G136" t="inlineStr">
        <is>
          <t>VÄSTERÅS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24121-2024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45456</v>
      </c>
      <c r="E137" s="1" t="n">
        <v>46282</v>
      </c>
      <c r="F137" t="inlineStr">
        <is>
          <t>VÄSTMANLANDS LÄN</t>
        </is>
      </c>
      <c r="G137" t="inlineStr">
        <is>
          <t>VÄSTERÅS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46282</v>
      </c>
      <c r="F138" t="inlineStr">
        <is>
          <t>VÄSTMANLANDS LÄN</t>
        </is>
      </c>
      <c r="G138" t="inlineStr">
        <is>
          <t>VÄSTERÅS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32851-2024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45516</v>
      </c>
      <c r="E139" s="1" t="n">
        <v>46282</v>
      </c>
      <c r="F139" t="inlineStr">
        <is>
          <t>VÄSTMANLANDS LÄN</t>
        </is>
      </c>
      <c r="G139" t="inlineStr">
        <is>
          <t>VÄSTERÅS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53836-2022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44880</v>
      </c>
      <c r="E140" s="1" t="n">
        <v>46282</v>
      </c>
      <c r="F140" t="inlineStr">
        <is>
          <t>VÄSTMANLANDS LÄN</t>
        </is>
      </c>
      <c r="G140" t="inlineStr">
        <is>
          <t>VÄSTERÅS</t>
        </is>
      </c>
      <c r="I140" t="n">
        <v>6.2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53833-2022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44880</v>
      </c>
      <c r="E141" s="1" t="n">
        <v>46282</v>
      </c>
      <c r="F141" t="inlineStr">
        <is>
          <t>VÄSTMANLANDS LÄN</t>
        </is>
      </c>
      <c r="G141" t="inlineStr">
        <is>
          <t>VÄSTERÅS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45833</v>
      </c>
      <c r="E142" s="1" t="n">
        <v>46282</v>
      </c>
      <c r="F142" t="inlineStr">
        <is>
          <t>VÄSTMANLANDS LÄN</t>
        </is>
      </c>
      <c r="G142" t="inlineStr">
        <is>
          <t>VÄSTERÅS</t>
        </is>
      </c>
      <c r="I142" t="n">
        <v>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46282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statliga verk och myndigheter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46282</v>
      </c>
      <c r="F144" t="inlineStr">
        <is>
          <t>VÄSTMANLANDS LÄN</t>
        </is>
      </c>
      <c r="G144" t="inlineStr">
        <is>
          <t>VÄSTERÅS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46282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45125</v>
      </c>
      <c r="E146" s="1" t="n">
        <v>46282</v>
      </c>
      <c r="F146" t="inlineStr">
        <is>
          <t>VÄSTMANLANDS LÄN</t>
        </is>
      </c>
      <c r="G146" t="inlineStr">
        <is>
          <t>VÄSTERÅS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46282</v>
      </c>
      <c r="F147" t="inlineStr">
        <is>
          <t>VÄSTMANLANDS LÄN</t>
        </is>
      </c>
      <c r="G147" t="inlineStr">
        <is>
          <t>VÄSTERÅS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46282</v>
      </c>
      <c r="F148" t="inlineStr">
        <is>
          <t>VÄSTMANLANDS LÄN</t>
        </is>
      </c>
      <c r="G148" t="inlineStr">
        <is>
          <t>VÄSTERÅS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46282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46282</v>
      </c>
      <c r="F150" t="inlineStr">
        <is>
          <t>VÄSTMANLANDS LÄN</t>
        </is>
      </c>
      <c r="G150" t="inlineStr">
        <is>
          <t>VÄSTERÅS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45832</v>
      </c>
      <c r="E151" s="1" t="n">
        <v>46282</v>
      </c>
      <c r="F151" t="inlineStr">
        <is>
          <t>VÄSTMANLANDS LÄN</t>
        </is>
      </c>
      <c r="G151" t="inlineStr">
        <is>
          <t>VÄSTERÅS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51200-2025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46282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Övriga statliga verk och myndigheter</t>
        </is>
      </c>
      <c r="I152" t="n">
        <v>7.6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39127-2022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44816</v>
      </c>
      <c r="E153" s="1" t="n">
        <v>46282</v>
      </c>
      <c r="F153" t="inlineStr">
        <is>
          <t>VÄSTMANLANDS LÄN</t>
        </is>
      </c>
      <c r="G153" t="inlineStr">
        <is>
          <t>VÄSTERÅS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52270-2025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46282</v>
      </c>
      <c r="F154" t="inlineStr">
        <is>
          <t>VÄSTMANLANDS LÄN</t>
        </is>
      </c>
      <c r="G154" t="inlineStr">
        <is>
          <t>VÄSTERÅS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32053-2023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45119</v>
      </c>
      <c r="E155" s="1" t="n">
        <v>46282</v>
      </c>
      <c r="F155" t="inlineStr">
        <is>
          <t>VÄSTMANLANDS LÄN</t>
        </is>
      </c>
      <c r="G155" t="inlineStr">
        <is>
          <t>VÄSTERÅS</t>
        </is>
      </c>
      <c r="H155" t="inlineStr">
        <is>
          <t>Sveaskog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7701-2026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46059</v>
      </c>
      <c r="E156" s="1" t="n">
        <v>46282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44645</v>
      </c>
      <c r="E157" s="1" t="n">
        <v>46282</v>
      </c>
      <c r="F157" t="inlineStr">
        <is>
          <t>VÄSTMANLANDS LÄN</t>
        </is>
      </c>
      <c r="G157" t="inlineStr">
        <is>
          <t>VÄSTERÅS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7797-2026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46062</v>
      </c>
      <c r="E158" s="1" t="n">
        <v>46282</v>
      </c>
      <c r="F158" t="inlineStr">
        <is>
          <t>VÄSTMANLANDS LÄN</t>
        </is>
      </c>
      <c r="G158" t="inlineStr">
        <is>
          <t>VÄSTERÅS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13614-2022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44648</v>
      </c>
      <c r="E159" s="1" t="n">
        <v>46282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46282</v>
      </c>
      <c r="F160" t="inlineStr">
        <is>
          <t>VÄSTMANLANDS LÄN</t>
        </is>
      </c>
      <c r="G160" t="inlineStr">
        <is>
          <t>VÄSTERÅS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45973</v>
      </c>
      <c r="E161" s="1" t="n">
        <v>46282</v>
      </c>
      <c r="F161" t="inlineStr">
        <is>
          <t>VÄSTMANLANDS LÄN</t>
        </is>
      </c>
      <c r="G161" t="inlineStr">
        <is>
          <t>VÄSTERÅS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11983-2022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44635</v>
      </c>
      <c r="E162" s="1" t="n">
        <v>46282</v>
      </c>
      <c r="F162" t="inlineStr">
        <is>
          <t>VÄSTMANLANDS LÄN</t>
        </is>
      </c>
      <c r="G162" t="inlineStr">
        <is>
          <t>VÄSTERÅS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11989-2022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44635</v>
      </c>
      <c r="E163" s="1" t="n">
        <v>46282</v>
      </c>
      <c r="F163" t="inlineStr">
        <is>
          <t>VÄSTMANLANDS LÄN</t>
        </is>
      </c>
      <c r="G163" t="inlineStr">
        <is>
          <t>VÄSTERÅS</t>
        </is>
      </c>
      <c r="I163" t="n">
        <v>12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57102-2025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45979</v>
      </c>
      <c r="E164" s="1" t="n">
        <v>46282</v>
      </c>
      <c r="F164" t="inlineStr">
        <is>
          <t>VÄSTMANLANDS LÄN</t>
        </is>
      </c>
      <c r="G164" t="inlineStr">
        <is>
          <t>VÄSTERÅS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57114-2025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45979</v>
      </c>
      <c r="E165" s="1" t="n">
        <v>46282</v>
      </c>
      <c r="F165" t="inlineStr">
        <is>
          <t>VÄSTMANLANDS LÄN</t>
        </is>
      </c>
      <c r="G165" t="inlineStr">
        <is>
          <t>VÄSTERÅS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46282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59765-2023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45257</v>
      </c>
      <c r="E167" s="1" t="n">
        <v>46282</v>
      </c>
      <c r="F167" t="inlineStr">
        <is>
          <t>VÄSTMANLANDS LÄN</t>
        </is>
      </c>
      <c r="G167" t="inlineStr">
        <is>
          <t>VÄSTERÅS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52027-2025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45952</v>
      </c>
      <c r="E168" s="1" t="n">
        <v>46282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statliga verk och myndigheter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11072-2026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46079</v>
      </c>
      <c r="E169" s="1" t="n">
        <v>46282</v>
      </c>
      <c r="F169" t="inlineStr">
        <is>
          <t>VÄSTMANLANDS LÄN</t>
        </is>
      </c>
      <c r="G169" t="inlineStr">
        <is>
          <t>VÄSTERÅS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11745-2026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46084</v>
      </c>
      <c r="E170" s="1" t="n">
        <v>46282</v>
      </c>
      <c r="F170" t="inlineStr">
        <is>
          <t>VÄSTMANLANDS LÄN</t>
        </is>
      </c>
      <c r="G170" t="inlineStr">
        <is>
          <t>VÄSTERÅS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44594</v>
      </c>
      <c r="E171" s="1" t="n">
        <v>46282</v>
      </c>
      <c r="F171" t="inlineStr">
        <is>
          <t>VÄSTMANLANDS LÄN</t>
        </is>
      </c>
      <c r="G171" t="inlineStr">
        <is>
          <t>VÄSTERÅS</t>
        </is>
      </c>
      <c r="I171" t="n">
        <v>20.3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11739-2026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46282</v>
      </c>
      <c r="F172" t="inlineStr">
        <is>
          <t>VÄSTMANLANDS LÄN</t>
        </is>
      </c>
      <c r="G172" t="inlineStr">
        <is>
          <t>VÄSTERÅS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10870-2026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46078</v>
      </c>
      <c r="E173" s="1" t="n">
        <v>46282</v>
      </c>
      <c r="F173" t="inlineStr">
        <is>
          <t>VÄSTMANLANDS LÄN</t>
        </is>
      </c>
      <c r="G173" t="inlineStr">
        <is>
          <t>VÄSTERÅS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61069-2022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44908</v>
      </c>
      <c r="E174" s="1" t="n">
        <v>46282</v>
      </c>
      <c r="F174" t="inlineStr">
        <is>
          <t>VÄSTMANLANDS LÄN</t>
        </is>
      </c>
      <c r="G174" t="inlineStr">
        <is>
          <t>VÄSTERÅS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11520-2026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46083</v>
      </c>
      <c r="E175" s="1" t="n">
        <v>46282</v>
      </c>
      <c r="F175" t="inlineStr">
        <is>
          <t>VÄSTMANLANDS LÄN</t>
        </is>
      </c>
      <c r="G175" t="inlineStr">
        <is>
          <t>VÄSTERÅS</t>
        </is>
      </c>
      <c r="I175" t="n">
        <v>7.2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45174</v>
      </c>
      <c r="E176" s="1" t="n">
        <v>46282</v>
      </c>
      <c r="F176" t="inlineStr">
        <is>
          <t>VÄSTMANLANDS LÄN</t>
        </is>
      </c>
      <c r="G176" t="inlineStr">
        <is>
          <t>VÄSTERÅS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46282</v>
      </c>
      <c r="F177" t="inlineStr">
        <is>
          <t>VÄSTMANLANDS LÄN</t>
        </is>
      </c>
      <c r="G177" t="inlineStr">
        <is>
          <t>VÄSTERÅS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45027</v>
      </c>
      <c r="E178" s="1" t="n">
        <v>46282</v>
      </c>
      <c r="F178" t="inlineStr">
        <is>
          <t>VÄSTMANLANDS LÄN</t>
        </is>
      </c>
      <c r="G178" t="inlineStr">
        <is>
          <t>VÄSTERÅS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44825</v>
      </c>
      <c r="E179" s="1" t="n">
        <v>46282</v>
      </c>
      <c r="F179" t="inlineStr">
        <is>
          <t>VÄSTMANLANDS LÄN</t>
        </is>
      </c>
      <c r="G179" t="inlineStr">
        <is>
          <t>VÄSTERÅS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52015-2024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45607</v>
      </c>
      <c r="E180" s="1" t="n">
        <v>46282</v>
      </c>
      <c r="F180" t="inlineStr">
        <is>
          <t>VÄSTMANLANDS LÄN</t>
        </is>
      </c>
      <c r="G180" t="inlineStr">
        <is>
          <t>VÄSTERÅS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12649-2023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44999</v>
      </c>
      <c r="E181" s="1" t="n">
        <v>46282</v>
      </c>
      <c r="F181" t="inlineStr">
        <is>
          <t>VÄSTMANLANDS LÄN</t>
        </is>
      </c>
      <c r="G181" t="inlineStr">
        <is>
          <t>VÄSTERÅS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46282</v>
      </c>
      <c r="F182" t="inlineStr">
        <is>
          <t>VÄSTMANLANDS LÄN</t>
        </is>
      </c>
      <c r="G182" t="inlineStr">
        <is>
          <t>VÄSTERÅS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46282</v>
      </c>
      <c r="F183" t="inlineStr">
        <is>
          <t>VÄSTMANLANDS LÄN</t>
        </is>
      </c>
      <c r="G183" t="inlineStr">
        <is>
          <t>VÄSTERÅS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3118-2022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44582</v>
      </c>
      <c r="E184" s="1" t="n">
        <v>46282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Övriga Aktiebolag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46104</v>
      </c>
      <c r="E185" s="1" t="n">
        <v>46282</v>
      </c>
      <c r="F185" t="inlineStr">
        <is>
          <t>VÄSTMANLANDS LÄN</t>
        </is>
      </c>
      <c r="G185" t="inlineStr">
        <is>
          <t>VÄSTERÅS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46282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46282</v>
      </c>
      <c r="F187" t="inlineStr">
        <is>
          <t>VÄSTMANLANDS LÄN</t>
        </is>
      </c>
      <c r="G187" t="inlineStr">
        <is>
          <t>VÄSTERÅS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46112</v>
      </c>
      <c r="E188" s="1" t="n">
        <v>46282</v>
      </c>
      <c r="F188" t="inlineStr">
        <is>
          <t>VÄSTMANLANDS LÄN</t>
        </is>
      </c>
      <c r="G188" t="inlineStr">
        <is>
          <t>VÄSTERÅS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46282</v>
      </c>
      <c r="F189" t="inlineStr">
        <is>
          <t>VÄSTMANLANDS LÄN</t>
        </is>
      </c>
      <c r="G189" t="inlineStr">
        <is>
          <t>VÄSTERÅS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46112</v>
      </c>
      <c r="E190" s="1" t="n">
        <v>46282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16583-2026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46112</v>
      </c>
      <c r="E191" s="1" t="n">
        <v>46282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18465-2023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45042</v>
      </c>
      <c r="E192" s="1" t="n">
        <v>46282</v>
      </c>
      <c r="F192" t="inlineStr">
        <is>
          <t>VÄSTMANLANDS LÄN</t>
        </is>
      </c>
      <c r="G192" t="inlineStr">
        <is>
          <t>VÄSTERÅS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16579-2026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46112</v>
      </c>
      <c r="E193" s="1" t="n">
        <v>46282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16671-2026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46112</v>
      </c>
      <c r="E194" s="1" t="n">
        <v>46282</v>
      </c>
      <c r="F194" t="inlineStr">
        <is>
          <t>VÄSTMANLANDS LÄN</t>
        </is>
      </c>
      <c r="G194" t="inlineStr">
        <is>
          <t>VÄSTERÅS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64202-2023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46282</v>
      </c>
      <c r="F195" t="inlineStr">
        <is>
          <t>VÄSTMANLANDS LÄN</t>
        </is>
      </c>
      <c r="G195" t="inlineStr">
        <is>
          <t>VÄSTERÅS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17499-2026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46120</v>
      </c>
      <c r="E196" s="1" t="n">
        <v>46282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Allmännings- och besparingsskogar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17657-2026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46121</v>
      </c>
      <c r="E197" s="1" t="n">
        <v>46282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Kommuner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39810-2024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46282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Kyrkan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38436-2023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45160</v>
      </c>
      <c r="E199" s="1" t="n">
        <v>46282</v>
      </c>
      <c r="F199" t="inlineStr">
        <is>
          <t>VÄSTMANLANDS LÄN</t>
        </is>
      </c>
      <c r="G199" t="inlineStr">
        <is>
          <t>VÄSTERÅS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46282</v>
      </c>
      <c r="F200" t="inlineStr">
        <is>
          <t>VÄSTMANLANDS LÄN</t>
        </is>
      </c>
      <c r="G200" t="inlineStr">
        <is>
          <t>VÄSTERÅS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46282</v>
      </c>
      <c r="F201" t="inlineStr">
        <is>
          <t>VÄSTMANLANDS LÄN</t>
        </is>
      </c>
      <c r="G201" t="inlineStr">
        <is>
          <t>VÄSTERÅS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19791-2026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46135</v>
      </c>
      <c r="E202" s="1" t="n">
        <v>46282</v>
      </c>
      <c r="F202" t="inlineStr">
        <is>
          <t>VÄSTMANLANDS LÄN</t>
        </is>
      </c>
      <c r="G202" t="inlineStr">
        <is>
          <t>VÄSTERÅS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47101-2025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46282</v>
      </c>
      <c r="F203" t="inlineStr">
        <is>
          <t>VÄSTMANLANDS LÄN</t>
        </is>
      </c>
      <c r="G203" t="inlineStr">
        <is>
          <t>VÄSTERÅS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63851-2021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44509</v>
      </c>
      <c r="E204" s="1" t="n">
        <v>46282</v>
      </c>
      <c r="F204" t="inlineStr">
        <is>
          <t>VÄSTMANLANDS LÄN</t>
        </is>
      </c>
      <c r="G204" t="inlineStr">
        <is>
          <t>VÄSTERÅS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46282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46282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46282</v>
      </c>
      <c r="F207" t="inlineStr">
        <is>
          <t>VÄSTMANLANDS LÄN</t>
        </is>
      </c>
      <c r="G207" t="inlineStr">
        <is>
          <t>VÄSTERÅS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18457-2023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45042</v>
      </c>
      <c r="E208" s="1" t="n">
        <v>46282</v>
      </c>
      <c r="F208" t="inlineStr">
        <is>
          <t>VÄSTMANLANDS LÄN</t>
        </is>
      </c>
      <c r="G208" t="inlineStr">
        <is>
          <t>VÄSTERÅS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22978-2022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44717</v>
      </c>
      <c r="E209" s="1" t="n">
        <v>46282</v>
      </c>
      <c r="F209" t="inlineStr">
        <is>
          <t>VÄSTMANLANDS LÄN</t>
        </is>
      </c>
      <c r="G209" t="inlineStr">
        <is>
          <t>VÄSTERÅS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46282</v>
      </c>
      <c r="F210" t="inlineStr">
        <is>
          <t>VÄSTMANLANDS LÄN</t>
        </is>
      </c>
      <c r="G210" t="inlineStr">
        <is>
          <t>VÄSTERÅS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17725-2022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44680</v>
      </c>
      <c r="E211" s="1" t="n">
        <v>46282</v>
      </c>
      <c r="F211" t="inlineStr">
        <is>
          <t>VÄSTMANLANDS LÄN</t>
        </is>
      </c>
      <c r="G211" t="inlineStr">
        <is>
          <t>VÄSTERÅS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32350-2023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45110</v>
      </c>
      <c r="E212" s="1" t="n">
        <v>46282</v>
      </c>
      <c r="F212" t="inlineStr">
        <is>
          <t>VÄSTMANLANDS LÄN</t>
        </is>
      </c>
      <c r="G212" t="inlineStr">
        <is>
          <t>VÄSTERÅS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12131-2022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44636</v>
      </c>
      <c r="E213" s="1" t="n">
        <v>46282</v>
      </c>
      <c r="F213" t="inlineStr">
        <is>
          <t>VÄSTMANLANDS LÄN</t>
        </is>
      </c>
      <c r="G213" t="inlineStr">
        <is>
          <t>VÄSTERÅS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45628</v>
      </c>
      <c r="E214" s="1" t="n">
        <v>46282</v>
      </c>
      <c r="F214" t="inlineStr">
        <is>
          <t>VÄSTMANLANDS LÄN</t>
        </is>
      </c>
      <c r="G214" t="inlineStr">
        <is>
          <t>VÄSTERÅS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46154</v>
      </c>
      <c r="E215" s="1" t="n">
        <v>46282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46282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46282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46282</v>
      </c>
      <c r="F218" t="inlineStr">
        <is>
          <t>VÄSTMANLANDS LÄN</t>
        </is>
      </c>
      <c r="G218" t="inlineStr">
        <is>
          <t>VÄSTERÅS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46282</v>
      </c>
      <c r="F219" t="inlineStr">
        <is>
          <t>VÄSTMANLANDS LÄN</t>
        </is>
      </c>
      <c r="G219" t="inlineStr">
        <is>
          <t>VÄSTERÅS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22293-2026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46154</v>
      </c>
      <c r="E220" s="1" t="n">
        <v>46282</v>
      </c>
      <c r="F220" t="inlineStr">
        <is>
          <t>VÄSTMANLANDS LÄN</t>
        </is>
      </c>
      <c r="G220" t="inlineStr">
        <is>
          <t>VÄSTERÅS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15350-2023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45019</v>
      </c>
      <c r="E221" s="1" t="n">
        <v>46282</v>
      </c>
      <c r="F221" t="inlineStr">
        <is>
          <t>VÄSTMANLANDS LÄN</t>
        </is>
      </c>
      <c r="G221" t="inlineStr">
        <is>
          <t>VÄSTERÅS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18119-2025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45761</v>
      </c>
      <c r="E222" s="1" t="n">
        <v>46282</v>
      </c>
      <c r="F222" t="inlineStr">
        <is>
          <t>VÄSTMANLANDS LÄN</t>
        </is>
      </c>
      <c r="G222" t="inlineStr">
        <is>
          <t>VÄSTERÅS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12143-2022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44636</v>
      </c>
      <c r="E223" s="1" t="n">
        <v>46282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Kommuner</t>
        </is>
      </c>
      <c r="I223" t="n">
        <v>12.9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12148-2022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44636</v>
      </c>
      <c r="E224" s="1" t="n">
        <v>46282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Kommuner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23347-2026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46162</v>
      </c>
      <c r="E225" s="1" t="n">
        <v>46282</v>
      </c>
      <c r="F225" t="inlineStr">
        <is>
          <t>VÄSTMANLANDS LÄN</t>
        </is>
      </c>
      <c r="G225" t="inlineStr">
        <is>
          <t>VÄSTERÅS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44695-2022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44840</v>
      </c>
      <c r="E226" s="1" t="n">
        <v>46282</v>
      </c>
      <c r="F226" t="inlineStr">
        <is>
          <t>VÄSTMANLANDS LÄN</t>
        </is>
      </c>
      <c r="G226" t="inlineStr">
        <is>
          <t>VÄSTERÅS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44574</v>
      </c>
      <c r="E227" s="1" t="n">
        <v>46282</v>
      </c>
      <c r="F227" t="inlineStr">
        <is>
          <t>VÄSTMANLANDS LÄN</t>
        </is>
      </c>
      <c r="G227" t="inlineStr">
        <is>
          <t>VÄSTERÅS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56532-2022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44893</v>
      </c>
      <c r="E228" s="1" t="n">
        <v>46282</v>
      </c>
      <c r="F228" t="inlineStr">
        <is>
          <t>VÄSTMANLANDS LÄN</t>
        </is>
      </c>
      <c r="G228" t="inlineStr">
        <is>
          <t>VÄSTERÅS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46282</v>
      </c>
      <c r="F229" t="inlineStr">
        <is>
          <t>VÄSTMANLANDS LÄN</t>
        </is>
      </c>
      <c r="G229" t="inlineStr">
        <is>
          <t>VÄSTERÅS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46282</v>
      </c>
      <c r="F230" t="inlineStr">
        <is>
          <t>VÄSTMANLANDS LÄN</t>
        </is>
      </c>
      <c r="G230" t="inlineStr">
        <is>
          <t>VÄSTERÅS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46282</v>
      </c>
      <c r="F231" t="inlineStr">
        <is>
          <t>VÄSTMANLANDS LÄN</t>
        </is>
      </c>
      <c r="G231" t="inlineStr">
        <is>
          <t>VÄSTERÅS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46282</v>
      </c>
      <c r="F232" t="inlineStr">
        <is>
          <t>VÄSTMANLANDS LÄN</t>
        </is>
      </c>
      <c r="G232" t="inlineStr">
        <is>
          <t>VÄSTERÅS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24317-2026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46282</v>
      </c>
      <c r="F233" t="inlineStr">
        <is>
          <t>VÄSTMANLANDS LÄN</t>
        </is>
      </c>
      <c r="G233" t="inlineStr">
        <is>
          <t>VÄSTERÅS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45274</v>
      </c>
      <c r="E234" s="1" t="n">
        <v>46282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24321-2026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46282</v>
      </c>
      <c r="F235" t="inlineStr">
        <is>
          <t>VÄSTMANLANDS LÄN</t>
        </is>
      </c>
      <c r="G235" t="inlineStr">
        <is>
          <t>VÄSTERÅS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32341-2023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45110</v>
      </c>
      <c r="E236" s="1" t="n">
        <v>46282</v>
      </c>
      <c r="F236" t="inlineStr">
        <is>
          <t>VÄSTMANLANDS LÄN</t>
        </is>
      </c>
      <c r="G236" t="inlineStr">
        <is>
          <t>VÄSTERÅS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45019</v>
      </c>
      <c r="E237" s="1" t="n">
        <v>46282</v>
      </c>
      <c r="F237" t="inlineStr">
        <is>
          <t>VÄSTMANLANDS LÄN</t>
        </is>
      </c>
      <c r="G237" t="inlineStr">
        <is>
          <t>VÄSTERÅS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15348-2023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45019</v>
      </c>
      <c r="E238" s="1" t="n">
        <v>46282</v>
      </c>
      <c r="F238" t="inlineStr">
        <is>
          <t>VÄSTMANLANDS LÄN</t>
        </is>
      </c>
      <c r="G238" t="inlineStr">
        <is>
          <t>VÄSTERÅS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46170</v>
      </c>
      <c r="E239" s="1" t="n">
        <v>46282</v>
      </c>
      <c r="F239" t="inlineStr">
        <is>
          <t>VÄSTMANLANDS LÄN</t>
        </is>
      </c>
      <c r="G239" t="inlineStr">
        <is>
          <t>VÄSTERÅS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18482-2023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45042</v>
      </c>
      <c r="E240" s="1" t="n">
        <v>46282</v>
      </c>
      <c r="F240" t="inlineStr">
        <is>
          <t>VÄSTMANLANDS LÄN</t>
        </is>
      </c>
      <c r="G240" t="inlineStr">
        <is>
          <t>VÄSTERÅS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46282</v>
      </c>
      <c r="F241" t="inlineStr">
        <is>
          <t>VÄSTMANLANDS LÄN</t>
        </is>
      </c>
      <c r="G241" t="inlineStr">
        <is>
          <t>VÄSTERÅS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46282</v>
      </c>
      <c r="F242" t="inlineStr">
        <is>
          <t>VÄSTMANLANDS LÄN</t>
        </is>
      </c>
      <c r="G242" t="inlineStr">
        <is>
          <t>VÄSTERÅS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45083</v>
      </c>
      <c r="E243" s="1" t="n">
        <v>46282</v>
      </c>
      <c r="F243" t="inlineStr">
        <is>
          <t>VÄSTMANLANDS LÄN</t>
        </is>
      </c>
      <c r="G243" t="inlineStr">
        <is>
          <t>VÄSTERÅS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15273-2024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45400</v>
      </c>
      <c r="E244" s="1" t="n">
        <v>46282</v>
      </c>
      <c r="F244" t="inlineStr">
        <is>
          <t>VÄSTMANLANDS LÄN</t>
        </is>
      </c>
      <c r="G244" t="inlineStr">
        <is>
          <t>VÄSTERÅS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7378-2022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46282</v>
      </c>
      <c r="F245" t="inlineStr">
        <is>
          <t>VÄSTMANLANDS LÄN</t>
        </is>
      </c>
      <c r="G245" t="inlineStr">
        <is>
          <t>VÄSTERÅS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46282</v>
      </c>
      <c r="F246" t="inlineStr">
        <is>
          <t>VÄSTMANLANDS LÄN</t>
        </is>
      </c>
      <c r="G246" t="inlineStr">
        <is>
          <t>VÄSTERÅS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8800-2023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46282</v>
      </c>
      <c r="F247" t="inlineStr">
        <is>
          <t>VÄSTMANLANDS LÄN</t>
        </is>
      </c>
      <c r="G247" t="inlineStr">
        <is>
          <t>VÄSTERÅS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67352-2021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44523</v>
      </c>
      <c r="E248" s="1" t="n">
        <v>46282</v>
      </c>
      <c r="F248" t="inlineStr">
        <is>
          <t>VÄSTMANLANDS LÄN</t>
        </is>
      </c>
      <c r="G248" t="inlineStr">
        <is>
          <t>VÄSTERÅS</t>
        </is>
      </c>
      <c r="H248" t="inlineStr">
        <is>
          <t>Övriga Aktiebolag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35700-2024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46282</v>
      </c>
      <c r="F249" t="inlineStr">
        <is>
          <t>VÄSTMANLANDS LÄN</t>
        </is>
      </c>
      <c r="G249" t="inlineStr">
        <is>
          <t>VÄSTERÅS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46282</v>
      </c>
      <c r="F250" t="inlineStr">
        <is>
          <t>VÄSTMANLANDS LÄN</t>
        </is>
      </c>
      <c r="G250" t="inlineStr">
        <is>
          <t>VÄSTERÅS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26584-2026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46183</v>
      </c>
      <c r="E251" s="1" t="n">
        <v>46282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Allmännings- och besparingsskogar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45804-2024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46282</v>
      </c>
      <c r="F252" t="inlineStr">
        <is>
          <t>VÄSTMANLANDS LÄN</t>
        </is>
      </c>
      <c r="G252" t="inlineStr">
        <is>
          <t>VÄSTERÅS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52396-2022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44874</v>
      </c>
      <c r="E253" s="1" t="n">
        <v>46282</v>
      </c>
      <c r="F253" t="inlineStr">
        <is>
          <t>VÄSTMANLANDS LÄN</t>
        </is>
      </c>
      <c r="G253" t="inlineStr">
        <is>
          <t>VÄSTERÅS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58231-2022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44901</v>
      </c>
      <c r="E254" s="1" t="n">
        <v>46282</v>
      </c>
      <c r="F254" t="inlineStr">
        <is>
          <t>VÄSTMANLANDS LÄN</t>
        </is>
      </c>
      <c r="G254" t="inlineStr">
        <is>
          <t>VÄSTERÅS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46282</v>
      </c>
      <c r="F255" t="inlineStr">
        <is>
          <t>VÄSTMANLANDS LÄN</t>
        </is>
      </c>
      <c r="G255" t="inlineStr">
        <is>
          <t>VÄSTERÅS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50948-2023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46282</v>
      </c>
      <c r="F256" t="inlineStr">
        <is>
          <t>VÄSTMANLANDS LÄN</t>
        </is>
      </c>
      <c r="G256" t="inlineStr">
        <is>
          <t>VÄSTERÅS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46282</v>
      </c>
      <c r="F257" t="inlineStr">
        <is>
          <t>VÄSTMANLANDS LÄN</t>
        </is>
      </c>
      <c r="G257" t="inlineStr">
        <is>
          <t>VÄSTERÅS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45264</v>
      </c>
      <c r="E258" s="1" t="n">
        <v>46282</v>
      </c>
      <c r="F258" t="inlineStr">
        <is>
          <t>VÄSTMANLANDS LÄN</t>
        </is>
      </c>
      <c r="G258" t="inlineStr">
        <is>
          <t>VÄSTERÅS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46282</v>
      </c>
      <c r="F259" t="inlineStr">
        <is>
          <t>VÄSTMANLANDS LÄN</t>
        </is>
      </c>
      <c r="G259" t="inlineStr">
        <is>
          <t>VÄSTERÅS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18467-2023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45042</v>
      </c>
      <c r="E260" s="1" t="n">
        <v>46282</v>
      </c>
      <c r="F260" t="inlineStr">
        <is>
          <t>VÄSTMANLANDS LÄN</t>
        </is>
      </c>
      <c r="G260" t="inlineStr">
        <is>
          <t>VÄSTERÅS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24402-2024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45457</v>
      </c>
      <c r="E261" s="1" t="n">
        <v>46282</v>
      </c>
      <c r="F261" t="inlineStr">
        <is>
          <t>VÄSTMANLANDS LÄN</t>
        </is>
      </c>
      <c r="G261" t="inlineStr">
        <is>
          <t>VÄSTERÅS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28341-2026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46282</v>
      </c>
      <c r="F262" t="inlineStr">
        <is>
          <t>VÄSTMANLANDS LÄN</t>
        </is>
      </c>
      <c r="G262" t="inlineStr">
        <is>
          <t>VÄSTERÅS</t>
        </is>
      </c>
      <c r="I262" t="n">
        <v>14.1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46282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28126-2026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46195</v>
      </c>
      <c r="E264" s="1" t="n">
        <v>46282</v>
      </c>
      <c r="F264" t="inlineStr">
        <is>
          <t>VÄSTMANLANDS LÄN</t>
        </is>
      </c>
      <c r="G264" t="inlineStr">
        <is>
          <t>VÄSTERÅS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67350-2021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44523</v>
      </c>
      <c r="E265" s="1" t="n">
        <v>46282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Aktiebolag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44623</v>
      </c>
      <c r="E266" s="1" t="n">
        <v>46282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45033</v>
      </c>
      <c r="E267" s="1" t="n">
        <v>46282</v>
      </c>
      <c r="F267" t="inlineStr">
        <is>
          <t>VÄSTMANLANDS LÄN</t>
        </is>
      </c>
      <c r="G267" t="inlineStr">
        <is>
          <t>VÄSTERÅS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73994-2021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44556</v>
      </c>
      <c r="E268" s="1" t="n">
        <v>46282</v>
      </c>
      <c r="F268" t="inlineStr">
        <is>
          <t>VÄSTMANLANDS LÄN</t>
        </is>
      </c>
      <c r="G268" t="inlineStr">
        <is>
          <t>VÄSTERÅS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61249-2021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44498</v>
      </c>
      <c r="E269" s="1" t="n">
        <v>46282</v>
      </c>
      <c r="F269" t="inlineStr">
        <is>
          <t>VÄSTMANLANDS LÄN</t>
        </is>
      </c>
      <c r="G269" t="inlineStr">
        <is>
          <t>VÄSTERÅS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50987-2024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45603</v>
      </c>
      <c r="E270" s="1" t="n">
        <v>46282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46080</v>
      </c>
      <c r="E271" s="1" t="n">
        <v>46282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46080</v>
      </c>
      <c r="E272" s="1" t="n">
        <v>46282</v>
      </c>
      <c r="F272" t="inlineStr">
        <is>
          <t>VÄSTMANLANDS LÄN</t>
        </is>
      </c>
      <c r="G272" t="inlineStr">
        <is>
          <t>VÄSTERÅS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34461-2022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44792</v>
      </c>
      <c r="E273" s="1" t="n">
        <v>46282</v>
      </c>
      <c r="F273" t="inlineStr">
        <is>
          <t>VÄSTMANLANDS LÄN</t>
        </is>
      </c>
      <c r="G273" t="inlineStr">
        <is>
          <t>VÄSTERÅS</t>
        </is>
      </c>
      <c r="I273" t="n">
        <v>9.6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51572-2023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45222</v>
      </c>
      <c r="E274" s="1" t="n">
        <v>46282</v>
      </c>
      <c r="F274" t="inlineStr">
        <is>
          <t>VÄSTMANLANDS LÄN</t>
        </is>
      </c>
      <c r="G274" t="inlineStr">
        <is>
          <t>VÄSTERÅS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52569-2022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44874</v>
      </c>
      <c r="E275" s="1" t="n">
        <v>46282</v>
      </c>
      <c r="F275" t="inlineStr">
        <is>
          <t>VÄSTMANLANDS LÄN</t>
        </is>
      </c>
      <c r="G275" t="inlineStr">
        <is>
          <t>VÄSTERÅS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44708</v>
      </c>
      <c r="E276" s="1" t="n">
        <v>46282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29746-2022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44755</v>
      </c>
      <c r="E277" s="1" t="n">
        <v>46282</v>
      </c>
      <c r="F277" t="inlineStr">
        <is>
          <t>VÄSTMANLANDS LÄN</t>
        </is>
      </c>
      <c r="G277" t="inlineStr">
        <is>
          <t>VÄSTERÅS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67353-2021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44523</v>
      </c>
      <c r="E278" s="1" t="n">
        <v>46282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Övriga Aktiebolag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45169</v>
      </c>
      <c r="E279" s="1" t="n">
        <v>46282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Sveaskog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30970-2026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46213</v>
      </c>
      <c r="E280" s="1" t="n">
        <v>46282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Sveaskog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46215</v>
      </c>
      <c r="E281" s="1" t="n">
        <v>46282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9.800000000000001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31054-2026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46215</v>
      </c>
      <c r="E282" s="1" t="n">
        <v>46282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31058-2026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46215</v>
      </c>
      <c r="E283" s="1" t="n">
        <v>46282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46215</v>
      </c>
      <c r="E284" s="1" t="n">
        <v>46282</v>
      </c>
      <c r="F284" t="inlineStr">
        <is>
          <t>VÄSTMANLANDS LÄN</t>
        </is>
      </c>
      <c r="G284" t="inlineStr">
        <is>
          <t>VÄSTERÅS</t>
        </is>
      </c>
      <c r="H284" t="inlineStr">
        <is>
          <t>Sveaskog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31055-2026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46215</v>
      </c>
      <c r="E285" s="1" t="n">
        <v>46282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Sveaskog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31062-2026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46215</v>
      </c>
      <c r="E286" s="1" t="n">
        <v>46282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Sveaskog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56980-2021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44482</v>
      </c>
      <c r="E287" s="1" t="n">
        <v>46282</v>
      </c>
      <c r="F287" t="inlineStr">
        <is>
          <t>VÄSTMANLANDS LÄN</t>
        </is>
      </c>
      <c r="G287" t="inlineStr">
        <is>
          <t>VÄSTERÅS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7439-2025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46282</v>
      </c>
      <c r="F288" t="inlineStr">
        <is>
          <t>VÄSTMANLANDS LÄN</t>
        </is>
      </c>
      <c r="G288" t="inlineStr">
        <is>
          <t>VÄSTERÅS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26743-2026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46184</v>
      </c>
      <c r="E289" s="1" t="n">
        <v>46282</v>
      </c>
      <c r="F289" t="inlineStr">
        <is>
          <t>VÄSTMANLANDS LÄN</t>
        </is>
      </c>
      <c r="G289" t="inlineStr">
        <is>
          <t>VÄSTERÅS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9103-2025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45713</v>
      </c>
      <c r="E290" s="1" t="n">
        <v>46282</v>
      </c>
      <c r="F290" t="inlineStr">
        <is>
          <t>VÄSTMANLANDS LÄN</t>
        </is>
      </c>
      <c r="G290" t="inlineStr">
        <is>
          <t>VÄSTERÅS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31232-2026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46217</v>
      </c>
      <c r="E291" s="1" t="n">
        <v>46282</v>
      </c>
      <c r="F291" t="inlineStr">
        <is>
          <t>VÄSTMANLANDS LÄN</t>
        </is>
      </c>
      <c r="G291" t="inlineStr">
        <is>
          <t>VÄSTERÅS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15201-2022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44658</v>
      </c>
      <c r="E292" s="1" t="n">
        <v>46282</v>
      </c>
      <c r="F292" t="inlineStr">
        <is>
          <t>VÄSTMANLANDS LÄN</t>
        </is>
      </c>
      <c r="G292" t="inlineStr">
        <is>
          <t>VÄSTERÅS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58960-2022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44903</v>
      </c>
      <c r="E293" s="1" t="n">
        <v>46282</v>
      </c>
      <c r="F293" t="inlineStr">
        <is>
          <t>VÄSTMANLANDS LÄN</t>
        </is>
      </c>
      <c r="G293" t="inlineStr">
        <is>
          <t>VÄSTERÅS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45281</v>
      </c>
      <c r="E294" s="1" t="n">
        <v>46282</v>
      </c>
      <c r="F294" t="inlineStr">
        <is>
          <t>VÄSTMANLANDS LÄN</t>
        </is>
      </c>
      <c r="G294" t="inlineStr">
        <is>
          <t>VÄSTERÅS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35681-2026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46265</v>
      </c>
      <c r="E295" s="1" t="n">
        <v>46282</v>
      </c>
      <c r="F295" t="inlineStr">
        <is>
          <t>VÄSTMANLANDS LÄN</t>
        </is>
      </c>
      <c r="G295" t="inlineStr">
        <is>
          <t>VÄSTERÅS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8727-2023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44978</v>
      </c>
      <c r="E296" s="1" t="n">
        <v>46282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Kyrkan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16214-2023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45028</v>
      </c>
      <c r="E297" s="1" t="n">
        <v>46282</v>
      </c>
      <c r="F297" t="inlineStr">
        <is>
          <t>VÄSTMANLANDS LÄN</t>
        </is>
      </c>
      <c r="G297" t="inlineStr">
        <is>
          <t>VÄSTERÅS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22287-2026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46154</v>
      </c>
      <c r="E298" s="1" t="n">
        <v>46282</v>
      </c>
      <c r="F298" t="inlineStr">
        <is>
          <t>VÄSTMANLANDS LÄN</t>
        </is>
      </c>
      <c r="G298" t="inlineStr">
        <is>
          <t>VÄSTERÅS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45398</v>
      </c>
      <c r="E299" s="1" t="n">
        <v>46282</v>
      </c>
      <c r="F299" t="inlineStr">
        <is>
          <t>VÄSTMANLANDS LÄN</t>
        </is>
      </c>
      <c r="G299" t="inlineStr">
        <is>
          <t>VÄSTERÅS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51004-2024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45603</v>
      </c>
      <c r="E300" s="1" t="n">
        <v>46282</v>
      </c>
      <c r="F300" t="inlineStr">
        <is>
          <t>VÄSTMANLANDS LÄN</t>
        </is>
      </c>
      <c r="G300" t="inlineStr">
        <is>
          <t>VÄSTERÅS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10546-2024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45366</v>
      </c>
      <c r="E301" s="1" t="n">
        <v>46282</v>
      </c>
      <c r="F301" t="inlineStr">
        <is>
          <t>VÄSTMANLANDS LÄN</t>
        </is>
      </c>
      <c r="G301" t="inlineStr">
        <is>
          <t>VÄSTERÅS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46282</v>
      </c>
      <c r="F302" t="inlineStr">
        <is>
          <t>VÄSTMANLANDS LÄN</t>
        </is>
      </c>
      <c r="G302" t="inlineStr">
        <is>
          <t>VÄSTERÅS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70642-2021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44537</v>
      </c>
      <c r="E303" s="1" t="n">
        <v>46282</v>
      </c>
      <c r="F303" t="inlineStr">
        <is>
          <t>VÄSTMANLANDS LÄN</t>
        </is>
      </c>
      <c r="G303" t="inlineStr">
        <is>
          <t>VÄSTERÅS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23765-2022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46282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64793-2023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45282</v>
      </c>
      <c r="E305" s="1" t="n">
        <v>46282</v>
      </c>
      <c r="F305" t="inlineStr">
        <is>
          <t>VÄSTMANLANDS LÄN</t>
        </is>
      </c>
      <c r="G305" t="inlineStr">
        <is>
          <t>VÄSTERÅS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45296</v>
      </c>
      <c r="E306" s="1" t="n">
        <v>46282</v>
      </c>
      <c r="F306" t="inlineStr">
        <is>
          <t>VÄSTMANLANDS LÄN</t>
        </is>
      </c>
      <c r="G306" t="inlineStr">
        <is>
          <t>VÄSTERÅS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17808-2023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45037</v>
      </c>
      <c r="E307" s="1" t="n">
        <v>46282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46282</v>
      </c>
      <c r="F308" t="inlineStr">
        <is>
          <t>VÄSTMANLANDS LÄN</t>
        </is>
      </c>
      <c r="G308" t="inlineStr">
        <is>
          <t>VÄSTERÅS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46282</v>
      </c>
      <c r="F309" t="inlineStr">
        <is>
          <t>VÄSTMANLANDS LÄN</t>
        </is>
      </c>
      <c r="G309" t="inlineStr">
        <is>
          <t>VÄSTERÅS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8870-2026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46282</v>
      </c>
      <c r="F310" t="inlineStr">
        <is>
          <t>VÄSTMANLANDS LÄN</t>
        </is>
      </c>
      <c r="G310" t="inlineStr">
        <is>
          <t>VÄSTERÅS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73597-2021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44552</v>
      </c>
      <c r="E311" s="1" t="n">
        <v>46282</v>
      </c>
      <c r="F311" t="inlineStr">
        <is>
          <t>VÄSTMANLANDS LÄN</t>
        </is>
      </c>
      <c r="G311" t="inlineStr">
        <is>
          <t>VÄSTERÅS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46272</v>
      </c>
      <c r="E312" s="1" t="n">
        <v>46282</v>
      </c>
      <c r="F312" t="inlineStr">
        <is>
          <t>VÄSTMANLANDS LÄN</t>
        </is>
      </c>
      <c r="G312" t="inlineStr">
        <is>
          <t>VÄSTERÅS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36641-2023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45153</v>
      </c>
      <c r="E313" s="1" t="n">
        <v>46282</v>
      </c>
      <c r="F313" t="inlineStr">
        <is>
          <t>VÄSTMANLANDS LÄN</t>
        </is>
      </c>
      <c r="G313" t="inlineStr">
        <is>
          <t>VÄSTERÅS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37159-2026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46274</v>
      </c>
      <c r="E314" s="1" t="n">
        <v>46282</v>
      </c>
      <c r="F314" t="inlineStr">
        <is>
          <t>VÄSTMANLANDS LÄN</t>
        </is>
      </c>
      <c r="G314" t="inlineStr">
        <is>
          <t>VÄSTERÅS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45448</v>
      </c>
      <c r="E315" s="1" t="n">
        <v>46282</v>
      </c>
      <c r="F315" t="inlineStr">
        <is>
          <t>VÄSTMANLANDS LÄN</t>
        </is>
      </c>
      <c r="G315" t="inlineStr">
        <is>
          <t>VÄSTERÅS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37161-2026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46274</v>
      </c>
      <c r="E316" s="1" t="n">
        <v>46282</v>
      </c>
      <c r="F316" t="inlineStr">
        <is>
          <t>VÄSTMANLANDS LÄN</t>
        </is>
      </c>
      <c r="G316" t="inlineStr">
        <is>
          <t>VÄSTERÅS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14926-2022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44657</v>
      </c>
      <c r="E317" s="1" t="n">
        <v>46282</v>
      </c>
      <c r="F317" t="inlineStr">
        <is>
          <t>VÄSTMANLANDS LÄN</t>
        </is>
      </c>
      <c r="G317" t="inlineStr">
        <is>
          <t>VÄSTERÅS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45378</v>
      </c>
      <c r="E318" s="1" t="n">
        <v>46282</v>
      </c>
      <c r="F318" t="inlineStr">
        <is>
          <t>VÄSTMANLANDS LÄN</t>
        </is>
      </c>
      <c r="G318" t="inlineStr">
        <is>
          <t>VÄSTERÅS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35682-2026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46265</v>
      </c>
      <c r="E319" s="1" t="n">
        <v>46282</v>
      </c>
      <c r="F319" t="inlineStr">
        <is>
          <t>VÄSTMANLANDS LÄN</t>
        </is>
      </c>
      <c r="G319" t="inlineStr">
        <is>
          <t>VÄSTERÅS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31623-2024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45506</v>
      </c>
      <c r="E320" s="1" t="n">
        <v>46282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Kommuner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38345-2024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45545</v>
      </c>
      <c r="E321" s="1" t="n">
        <v>46282</v>
      </c>
      <c r="F321" t="inlineStr">
        <is>
          <t>VÄSTMANLANDS LÄN</t>
        </is>
      </c>
      <c r="G321" t="inlineStr">
        <is>
          <t>VÄSTERÅS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951-2020</t>
        </is>
      </c>
      <c r="B322" t="inlineStr">
        <is>
          <t>samrådsanmälan</t>
        </is>
      </c>
      <c r="C322" t="inlineStr">
        <is>
          <t>Åtgärd i nyckelbiotop</t>
        </is>
      </c>
      <c r="D322" s="1" t="n">
        <v>43948</v>
      </c>
      <c r="E322" s="1" t="n">
        <v>46282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3639-2022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44740</v>
      </c>
      <c r="E323" s="1" t="n">
        <v>46282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953-2023</t>
        </is>
      </c>
      <c r="B324" t="inlineStr">
        <is>
          <t>samrådsanmälan</t>
        </is>
      </c>
      <c r="C324" t="inlineStr">
        <is>
          <t>Annan skogsbruksåtgärd</t>
        </is>
      </c>
      <c r="D324" s="1" t="n">
        <v>45005</v>
      </c>
      <c r="E324" s="1" t="n">
        <v>46282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1415-2022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44634</v>
      </c>
      <c r="E325" s="1" t="n">
        <v>46282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Kyrkan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696-2026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46091</v>
      </c>
      <c r="E326" s="1" t="n">
        <v>46282</v>
      </c>
      <c r="F326" t="inlineStr">
        <is>
          <t>VÄSTMANLANDS LÄN</t>
        </is>
      </c>
      <c r="G326" t="inlineStr">
        <is>
          <t>VÄSTERÅS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949-2026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46113</v>
      </c>
      <c r="E327" s="1" t="n">
        <v>46282</v>
      </c>
      <c r="F327" t="inlineStr">
        <is>
          <t>VÄSTMANLANDS LÄN</t>
        </is>
      </c>
      <c r="G327" t="inlineStr">
        <is>
          <t>VÄSTERÅS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>
      <c r="A328" t="inlineStr">
        <is>
          <t>S 1468-2026</t>
        </is>
      </c>
      <c r="B328" t="inlineStr">
        <is>
          <t>samrådsanmälan</t>
        </is>
      </c>
      <c r="C328" t="inlineStr">
        <is>
          <t>Dikesrensning</t>
        </is>
      </c>
      <c r="D328" s="1" t="n">
        <v>46134</v>
      </c>
      <c r="E328" s="1" t="n">
        <v>46282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2026-09-17T02:00:59Z</dcterms:created>
  <dcterms:modified xmlns:dcterms="http://purl.org/dc/terms/" xmlns:xsi="http://www.w3.org/2001/XMLSchema-instance" xsi:type="dcterms:W3CDTF">2026-09-17T02:01:00Z</dcterms:modified>
</cp:coreProperties>
</file>