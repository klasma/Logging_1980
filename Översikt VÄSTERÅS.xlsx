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46281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46281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46281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46281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46281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46281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46281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46281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46281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46281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46281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46281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46281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46281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46281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16686-2026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46281</v>
      </c>
      <c r="F19" t="inlineStr">
        <is>
          <t>VÄSTMANLANDS LÄN</t>
        </is>
      </c>
      <c r="G19" t="inlineStr">
        <is>
          <t>VÄSTERÅS</t>
        </is>
      </c>
      <c r="I19" t="n">
        <v>2.1</v>
      </c>
      <c r="J19" t="n">
        <v>1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11</v>
      </c>
      <c r="U19" t="n">
        <v>0</v>
      </c>
      <c r="V19" s="2" t="inlineStr">
        <is>
          <t>Knärot
Motaggsvamp
Blomkålssvamp
Grönpyrola</t>
        </is>
      </c>
      <c r="W19">
        <f>HYPERLINK("https://klasma.github.io/Logging_1980/artfynd/A 16686-2026 artfynd.xlsx", "A 16686-2026")</f>
        <v/>
      </c>
      <c r="X19">
        <f>HYPERLINK("https://klasma.github.io/Logging_1980/kartor/A 16686-2026 karta.png", "A 16686-2026")</f>
        <v/>
      </c>
      <c r="Y19">
        <f>HYPERLINK("https://klasma.github.io/Logging_1980/kartor_geotiff/A 16686-2026 georefererad karta.tif", "A 16686-2026")</f>
        <v/>
      </c>
      <c r="Z19">
        <f>HYPERLINK("https://klasma.github.io/Logging_1980/knärot/A 16686-2026 karta knärot.png", "A 16686-2026")</f>
        <v/>
      </c>
      <c r="AA19">
        <f>HYPERLINK("https://klasma.github.io/Logging_1980/klagomål/A 16686-2026 FSC-klagomål.docx", "A 16686-2026")</f>
        <v/>
      </c>
      <c r="AB19">
        <f>HYPERLINK("https://klasma.github.io/Logging_1980/klagomålsmail/A 16686-2026 FSC-klagomål mail.docx", "A 16686-2026")</f>
        <v/>
      </c>
      <c r="AC19">
        <f>HYPERLINK("https://klasma.github.io/Logging_1980/tillsyn/A 16686-2026 tillsynsbegäran.docx", "A 16686-2026")</f>
        <v/>
      </c>
      <c r="AD19">
        <f>HYPERLINK("https://klasma.github.io/Logging_1980/tillsynsmail/A 16686-2026 tillsynsbegäran mail.docx", "A 16686-2026")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46281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46281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46281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46281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46281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46281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6249-2024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45337</v>
      </c>
      <c r="E26" s="1" t="n">
        <v>46281</v>
      </c>
      <c r="F26" t="inlineStr">
        <is>
          <t>VÄSTMANLANDS LÄN</t>
        </is>
      </c>
      <c r="G26" t="inlineStr">
        <is>
          <t>VÄSTERÅS</t>
        </is>
      </c>
      <c r="I26" t="n">
        <v>6.5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Blåsippa
Kungsfågel</t>
        </is>
      </c>
      <c r="W26">
        <f>HYPERLINK("https://klasma.github.io/Logging_1980/artfynd/A 6249-2024 artfynd.xlsx", "A 6249-2024")</f>
        <v/>
      </c>
      <c r="X26">
        <f>HYPERLINK("https://klasma.github.io/Logging_1980/kartor/A 6249-2024 karta.png", "A 6249-2024")</f>
        <v/>
      </c>
      <c r="Y26">
        <f>HYPERLINK("https://klasma.github.io/Logging_1980/kartor_geotiff/A 6249-2024 georefererad karta.tif", "A 6249-2024")</f>
        <v/>
      </c>
      <c r="AA26">
        <f>HYPERLINK("https://klasma.github.io/Logging_1980/klagomål/A 6249-2024 FSC-klagomål.docx", "A 6249-2024")</f>
        <v/>
      </c>
      <c r="AB26">
        <f>HYPERLINK("https://klasma.github.io/Logging_1980/klagomålsmail/A 6249-2024 FSC-klagomål mail.docx", "A 6249-2024")</f>
        <v/>
      </c>
      <c r="AC26">
        <f>HYPERLINK("https://klasma.github.io/Logging_1980/tillsyn/A 6249-2024 tillsynsbegäran.docx", "A 6249-2024")</f>
        <v/>
      </c>
      <c r="AD26">
        <f>HYPERLINK("https://klasma.github.io/Logging_1980/tillsynsmail/A 6249-2024 tillsynsbegäran mail.docx", "A 6249-2024")</f>
        <v/>
      </c>
      <c r="AE26">
        <f>HYPERLINK("https://klasma.github.io/Logging_1980/fåglar/A 6249-2024 prioriterade fågelarter.docx", "A 6249-2024")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46281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46281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Källpraktmossa
Stubbspretmossa
Vanlig rörsvepemossa</t>
        </is>
      </c>
      <c r="W28">
        <f>HYPERLINK("https://klasma.github.io/Logging_1980/artfynd/A 64201-2023 artfynd.xlsx", "A 64201-2023")</f>
        <v/>
      </c>
      <c r="X28">
        <f>HYPERLINK("https://klasma.github.io/Logging_1980/kartor/A 64201-2023 karta.png", "A 64201-2023")</f>
        <v/>
      </c>
      <c r="Y28">
        <f>HYPERLINK("https://klasma.github.io/Logging_1980/kartor_geotiff/A 64201-2023 georefererad karta.tif", "A 64201-2023")</f>
        <v/>
      </c>
      <c r="AA28">
        <f>HYPERLINK("https://klasma.github.io/Logging_1980/klagomål/A 64201-2023 FSC-klagomål.docx", "A 64201-2023")</f>
        <v/>
      </c>
      <c r="AB28">
        <f>HYPERLINK("https://klasma.github.io/Logging_1980/klagomålsmail/A 64201-2023 FSC-klagomål mail.docx", "A 64201-2023")</f>
        <v/>
      </c>
      <c r="AC28">
        <f>HYPERLINK("https://klasma.github.io/Logging_1980/tillsyn/A 64201-2023 tillsynsbegäran.docx", "A 64201-2023")</f>
        <v/>
      </c>
      <c r="AD28">
        <f>HYPERLINK("https://klasma.github.io/Logging_1980/tillsynsmail/A 64201-2023 tillsynsbegäran mail.docx", "A 64201-2023")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46281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46281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46281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46281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9327-2026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46281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3.3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 trolldruva
Tibast</t>
        </is>
      </c>
      <c r="W33">
        <f>HYPERLINK("https://klasma.github.io/Logging_1980/artfynd/A 9327-2026 artfynd.xlsx", "A 9327-2026")</f>
        <v/>
      </c>
      <c r="X33">
        <f>HYPERLINK("https://klasma.github.io/Logging_1980/kartor/A 9327-2026 karta.png", "A 9327-2026")</f>
        <v/>
      </c>
      <c r="Y33">
        <f>HYPERLINK("https://klasma.github.io/Logging_1980/kartor_geotiff/A 9327-2026 georefererad karta.tif", "A 9327-2026")</f>
        <v/>
      </c>
      <c r="AA33">
        <f>HYPERLINK("https://klasma.github.io/Logging_1980/klagomål/A 9327-2026 FSC-klagomål.docx", "A 9327-2026")</f>
        <v/>
      </c>
      <c r="AB33">
        <f>HYPERLINK("https://klasma.github.io/Logging_1980/klagomålsmail/A 9327-2026 FSC-klagomål mail.docx", "A 9327-2026")</f>
        <v/>
      </c>
      <c r="AC33">
        <f>HYPERLINK("https://klasma.github.io/Logging_1980/tillsyn/A 9327-2026 tillsynsbegäran.docx", "A 9327-2026")</f>
        <v/>
      </c>
      <c r="AD33">
        <f>HYPERLINK("https://klasma.github.io/Logging_1980/tillsynsmail/A 9327-2026 tillsynsbegäran mail.docx", "A 9327-2026")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46281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46281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46281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46281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46281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46281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46281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46281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26568-2022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44739</v>
      </c>
      <c r="E42" s="1" t="n">
        <v>46281</v>
      </c>
      <c r="F42" t="inlineStr">
        <is>
          <t>VÄSTMANLANDS LÄN</t>
        </is>
      </c>
      <c r="G42" t="inlineStr">
        <is>
          <t>VÄSTERÅS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Mistel</t>
        </is>
      </c>
      <c r="W42">
        <f>HYPERLINK("https://klasma.github.io/Logging_1980/artfynd/A 26568-2022 artfynd.xlsx", "A 26568-2022")</f>
        <v/>
      </c>
      <c r="X42">
        <f>HYPERLINK("https://klasma.github.io/Logging_1980/kartor/A 26568-2022 karta.png", "A 26568-2022")</f>
        <v/>
      </c>
      <c r="Y42">
        <f>HYPERLINK("https://klasma.github.io/Logging_1980/kartor_geotiff/A 26568-2022 georefererad karta.tif", "A 26568-2022")</f>
        <v/>
      </c>
      <c r="AA42">
        <f>HYPERLINK("https://klasma.github.io/Logging_1980/klagomål/A 26568-2022 FSC-klagomål.docx", "A 26568-2022")</f>
        <v/>
      </c>
      <c r="AB42">
        <f>HYPERLINK("https://klasma.github.io/Logging_1980/klagomålsmail/A 26568-2022 FSC-klagomål mail.docx", "A 26568-2022")</f>
        <v/>
      </c>
      <c r="AC42">
        <f>HYPERLINK("https://klasma.github.io/Logging_1980/tillsyn/A 26568-2022 tillsynsbegäran.docx", "A 26568-2022")</f>
        <v/>
      </c>
      <c r="AD42">
        <f>HYPERLINK("https://klasma.github.io/Logging_1980/tillsynsmail/A 26568-2022 tillsynsbegäran mail.docx", "A 26568-2022")</f>
        <v/>
      </c>
    </row>
    <row r="43" ht="15" customHeight="1">
      <c r="A43" t="inlineStr">
        <is>
          <t>A 51147-2023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46281</v>
      </c>
      <c r="F43" t="inlineStr">
        <is>
          <t>VÄSTMANLANDS LÄN</t>
        </is>
      </c>
      <c r="G43" t="inlineStr">
        <is>
          <t>VÄSTERÅS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Mindre märgborre</t>
        </is>
      </c>
      <c r="W43">
        <f>HYPERLINK("https://klasma.github.io/Logging_1980/artfynd/A 51147-2023 artfynd.xlsx", "A 51147-2023")</f>
        <v/>
      </c>
      <c r="X43">
        <f>HYPERLINK("https://klasma.github.io/Logging_1980/kartor/A 51147-2023 karta.png", "A 51147-2023")</f>
        <v/>
      </c>
      <c r="Y43">
        <f>HYPERLINK("https://klasma.github.io/Logging_1980/kartor_geotiff/A 51147-2023 georefererad karta.tif", "A 51147-2023")</f>
        <v/>
      </c>
      <c r="AA43">
        <f>HYPERLINK("https://klasma.github.io/Logging_1980/klagomål/A 51147-2023 FSC-klagomål.docx", "A 51147-2023")</f>
        <v/>
      </c>
      <c r="AB43">
        <f>HYPERLINK("https://klasma.github.io/Logging_1980/klagomålsmail/A 51147-2023 FSC-klagomål mail.docx", "A 51147-2023")</f>
        <v/>
      </c>
      <c r="AC43">
        <f>HYPERLINK("https://klasma.github.io/Logging_1980/tillsyn/A 51147-2023 tillsynsbegäran.docx", "A 51147-2023")</f>
        <v/>
      </c>
      <c r="AD43">
        <f>HYPERLINK("https://klasma.github.io/Logging_1980/tillsynsmail/A 51147-2023 tillsynsbegäran mail.docx", "A 51147-2023")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46281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46281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46281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46281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46281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1594-2023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46281</v>
      </c>
      <c r="F49" t="inlineStr">
        <is>
          <t>VÄSTMANLANDS LÄN</t>
        </is>
      </c>
      <c r="G49" t="inlineStr">
        <is>
          <t>VÄSTERÅS</t>
        </is>
      </c>
      <c r="I49" t="n">
        <v>10.9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Sparvuggla</t>
        </is>
      </c>
      <c r="W49">
        <f>HYPERLINK("https://klasma.github.io/Logging_1980/artfynd/A 1594-2023 artfynd.xlsx", "A 1594-2023")</f>
        <v/>
      </c>
      <c r="X49">
        <f>HYPERLINK("https://klasma.github.io/Logging_1980/kartor/A 1594-2023 karta.png", "A 1594-2023")</f>
        <v/>
      </c>
      <c r="Y49">
        <f>HYPERLINK("https://klasma.github.io/Logging_1980/kartor_geotiff/A 1594-2023 georefererad karta.tif", "A 1594-2023")</f>
        <v/>
      </c>
      <c r="AA49">
        <f>HYPERLINK("https://klasma.github.io/Logging_1980/klagomål/A 1594-2023 FSC-klagomål.docx", "A 1594-2023")</f>
        <v/>
      </c>
      <c r="AB49">
        <f>HYPERLINK("https://klasma.github.io/Logging_1980/klagomålsmail/A 1594-2023 FSC-klagomål mail.docx", "A 1594-2023")</f>
        <v/>
      </c>
      <c r="AC49">
        <f>HYPERLINK("https://klasma.github.io/Logging_1980/tillsyn/A 1594-2023 tillsynsbegäran.docx", "A 1594-2023")</f>
        <v/>
      </c>
      <c r="AD49">
        <f>HYPERLINK("https://klasma.github.io/Logging_1980/tillsynsmail/A 1594-2023 tillsynsbegäran mail.docx", "A 1594-2023")</f>
        <v/>
      </c>
      <c r="AE49">
        <f>HYPERLINK("https://klasma.github.io/Logging_1980/fåglar/A 1594-2023 prioriterade fågelarter.docx", "A 1594-2023")</f>
        <v/>
      </c>
    </row>
    <row r="50" ht="15" customHeight="1">
      <c r="A50" t="inlineStr">
        <is>
          <t>A 59144-2025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46281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HYPERLINK("https://klasma.github.io/Logging_1980/artfynd/A 59144-2025 artfynd.xlsx", "A 59144-2025")</f>
        <v/>
      </c>
      <c r="X50">
        <f>HYPERLINK("https://klasma.github.io/Logging_1980/kartor/A 59144-2025 karta.png", "A 59144-2025")</f>
        <v/>
      </c>
      <c r="Y50">
        <f>HYPERLINK("https://klasma.github.io/Logging_1980/kartor_geotiff/A 59144-2025 georefererad karta.tif", "A 59144-2025")</f>
        <v/>
      </c>
      <c r="AA50">
        <f>HYPERLINK("https://klasma.github.io/Logging_1980/klagomål/A 59144-2025 FSC-klagomål.docx", "A 59144-2025")</f>
        <v/>
      </c>
      <c r="AB50">
        <f>HYPERLINK("https://klasma.github.io/Logging_1980/klagomålsmail/A 59144-2025 FSC-klagomål mail.docx", "A 59144-2025")</f>
        <v/>
      </c>
      <c r="AC50">
        <f>HYPERLINK("https://klasma.github.io/Logging_1980/tillsyn/A 59144-2025 tillsynsbegäran.docx", "A 59144-2025")</f>
        <v/>
      </c>
      <c r="AD50">
        <f>HYPERLINK("https://klasma.github.io/Logging_1980/tillsynsmail/A 59144-2025 tillsynsbegäran mail.docx", "A 59144-2025")</f>
        <v/>
      </c>
    </row>
    <row r="51" ht="15" customHeight="1">
      <c r="A51" t="inlineStr">
        <is>
          <t>A 59140-2025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46281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HYPERLINK("https://klasma.github.io/Logging_1980/artfynd/A 59140-2025 artfynd.xlsx", "A 59140-2025")</f>
        <v/>
      </c>
      <c r="X51">
        <f>HYPERLINK("https://klasma.github.io/Logging_1980/kartor/A 59140-2025 karta.png", "A 59140-2025")</f>
        <v/>
      </c>
      <c r="Y51">
        <f>HYPERLINK("https://klasma.github.io/Logging_1980/kartor_geotiff/A 59140-2025 georefererad karta.tif", "A 59140-2025")</f>
        <v/>
      </c>
      <c r="AA51">
        <f>HYPERLINK("https://klasma.github.io/Logging_1980/klagomål/A 59140-2025 FSC-klagomål.docx", "A 59140-2025")</f>
        <v/>
      </c>
      <c r="AB51">
        <f>HYPERLINK("https://klasma.github.io/Logging_1980/klagomålsmail/A 59140-2025 FSC-klagomål mail.docx", "A 59140-2025")</f>
        <v/>
      </c>
      <c r="AC51">
        <f>HYPERLINK("https://klasma.github.io/Logging_1980/tillsyn/A 59140-2025 tillsynsbegäran.docx", "A 59140-2025")</f>
        <v/>
      </c>
      <c r="AD51">
        <f>HYPERLINK("https://klasma.github.io/Logging_1980/tillsynsmail/A 59140-2025 tillsynsbegäran mail.docx", "A 59140-2025")</f>
        <v/>
      </c>
      <c r="AE51">
        <f>HYPERLINK("https://klasma.github.io/Logging_1980/fåglar/A 59140-2025 prioriterade fågelarter.docx", "A 59140-2025")</f>
        <v/>
      </c>
    </row>
    <row r="52" ht="15" customHeight="1">
      <c r="A52" t="inlineStr">
        <is>
          <t>A 50193-2022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46281</v>
      </c>
      <c r="F52" t="inlineStr">
        <is>
          <t>VÄSTMANLANDS LÄN</t>
        </is>
      </c>
      <c r="G52" t="inlineStr">
        <is>
          <t>VÄSTERÅS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Vedticka</t>
        </is>
      </c>
      <c r="W52">
        <f>HYPERLINK("https://klasma.github.io/Logging_1980/artfynd/A 50193-2022 artfynd.xlsx", "A 50193-2022")</f>
        <v/>
      </c>
      <c r="X52">
        <f>HYPERLINK("https://klasma.github.io/Logging_1980/kartor/A 50193-2022 karta.png", "A 50193-2022")</f>
        <v/>
      </c>
      <c r="Y52">
        <f>HYPERLINK("https://klasma.github.io/Logging_1980/kartor_geotiff/A 50193-2022 georefererad karta.tif", "A 50193-2022")</f>
        <v/>
      </c>
      <c r="AA52">
        <f>HYPERLINK("https://klasma.github.io/Logging_1980/klagomål/A 50193-2022 FSC-klagomål.docx", "A 50193-2022")</f>
        <v/>
      </c>
      <c r="AB52">
        <f>HYPERLINK("https://klasma.github.io/Logging_1980/klagomålsmail/A 50193-2022 FSC-klagomål mail.docx", "A 50193-2022")</f>
        <v/>
      </c>
      <c r="AC52">
        <f>HYPERLINK("https://klasma.github.io/Logging_1980/tillsyn/A 50193-2022 tillsynsbegäran.docx", "A 50193-2022")</f>
        <v/>
      </c>
      <c r="AD52">
        <f>HYPERLINK("https://klasma.github.io/Logging_1980/tillsynsmail/A 50193-2022 tillsynsbegäran mail.docx", "A 50193-2022")</f>
        <v/>
      </c>
    </row>
    <row r="53" ht="15" customHeight="1">
      <c r="A53" t="inlineStr">
        <is>
          <t>A 22378-2026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46281</v>
      </c>
      <c r="F53" t="inlineStr">
        <is>
          <t>VÄSTMANLANDS LÄN</t>
        </is>
      </c>
      <c r="G53" t="inlineStr">
        <is>
          <t>VÄSTERÅS</t>
        </is>
      </c>
      <c r="I53" t="n">
        <v>5.6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HYPERLINK("https://klasma.github.io/Logging_1980/artfynd/A 22378-2026 artfynd.xlsx", "A 22378-2026")</f>
        <v/>
      </c>
      <c r="X53">
        <f>HYPERLINK("https://klasma.github.io/Logging_1980/kartor/A 22378-2026 karta.png", "A 22378-2026")</f>
        <v/>
      </c>
      <c r="Y53">
        <f>HYPERLINK("https://klasma.github.io/Logging_1980/kartor_geotiff/A 22378-2026 georefererad karta.tif", "A 22378-2026")</f>
        <v/>
      </c>
      <c r="AA53">
        <f>HYPERLINK("https://klasma.github.io/Logging_1980/klagomål/A 22378-2026 FSC-klagomål.docx", "A 22378-2026")</f>
        <v/>
      </c>
      <c r="AB53">
        <f>HYPERLINK("https://klasma.github.io/Logging_1980/klagomålsmail/A 22378-2026 FSC-klagomål mail.docx", "A 22378-2026")</f>
        <v/>
      </c>
      <c r="AC53">
        <f>HYPERLINK("https://klasma.github.io/Logging_1980/tillsyn/A 22378-2026 tillsynsbegäran.docx", "A 22378-2026")</f>
        <v/>
      </c>
      <c r="AD53">
        <f>HYPERLINK("https://klasma.github.io/Logging_1980/tillsynsmail/A 22378-2026 tillsynsbegäran mail.docx", "A 22378-2026")</f>
        <v/>
      </c>
    </row>
    <row r="54" ht="15" customHeight="1">
      <c r="A54" t="inlineStr">
        <is>
          <t>A 12950-2023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45001</v>
      </c>
      <c r="E54" s="1" t="n">
        <v>46281</v>
      </c>
      <c r="F54" t="inlineStr">
        <is>
          <t>VÄSTMANLANDS LÄN</t>
        </is>
      </c>
      <c r="G54" t="inlineStr">
        <is>
          <t>VÄSTERÅS</t>
        </is>
      </c>
      <c r="I54" t="n">
        <v>2.1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HYPERLINK("https://klasma.github.io/Logging_1980/artfynd/A 12950-2023 artfynd.xlsx", "A 12950-2023")</f>
        <v/>
      </c>
      <c r="X54">
        <f>HYPERLINK("https://klasma.github.io/Logging_1980/kartor/A 12950-2023 karta.png", "A 12950-2023")</f>
        <v/>
      </c>
      <c r="Y54">
        <f>HYPERLINK("https://klasma.github.io/Logging_1980/kartor_geotiff/A 12950-2023 georefererad karta.tif", "A 12950-2023")</f>
        <v/>
      </c>
      <c r="AA54">
        <f>HYPERLINK("https://klasma.github.io/Logging_1980/klagomål/A 12950-2023 FSC-klagomål.docx", "A 12950-2023")</f>
        <v/>
      </c>
      <c r="AB54">
        <f>HYPERLINK("https://klasma.github.io/Logging_1980/klagomålsmail/A 12950-2023 FSC-klagomål mail.docx", "A 12950-2023")</f>
        <v/>
      </c>
      <c r="AC54">
        <f>HYPERLINK("https://klasma.github.io/Logging_1980/tillsyn/A 12950-2023 tillsynsbegäran.docx", "A 12950-2023")</f>
        <v/>
      </c>
      <c r="AD54">
        <f>HYPERLINK("https://klasma.github.io/Logging_1980/tillsynsmail/A 12950-2023 tillsynsbegäran mail.docx", "A 12950-2023")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46281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59520-2024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46281</v>
      </c>
      <c r="F56" t="inlineStr">
        <is>
          <t>VÄSTMANLANDS LÄN</t>
        </is>
      </c>
      <c r="G56" t="inlineStr">
        <is>
          <t>VÄSTERÅS</t>
        </is>
      </c>
      <c r="I56" t="n">
        <v>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59520-2024 artfynd.xlsx", "A 59520-2024")</f>
        <v/>
      </c>
      <c r="X56">
        <f>HYPERLINK("https://klasma.github.io/Logging_1980/kartor/A 59520-2024 karta.png", "A 59520-2024")</f>
        <v/>
      </c>
      <c r="Y56">
        <f>HYPERLINK("https://klasma.github.io/Logging_1980/kartor_geotiff/A 59520-2024 georefererad karta.tif", "A 59520-2024")</f>
        <v/>
      </c>
      <c r="AA56">
        <f>HYPERLINK("https://klasma.github.io/Logging_1980/klagomål/A 59520-2024 FSC-klagomål.docx", "A 59520-2024")</f>
        <v/>
      </c>
      <c r="AB56">
        <f>HYPERLINK("https://klasma.github.io/Logging_1980/klagomålsmail/A 59520-2024 FSC-klagomål mail.docx", "A 59520-2024")</f>
        <v/>
      </c>
      <c r="AC56">
        <f>HYPERLINK("https://klasma.github.io/Logging_1980/tillsyn/A 59520-2024 tillsynsbegäran.docx", "A 59520-2024")</f>
        <v/>
      </c>
      <c r="AD56">
        <f>HYPERLINK("https://klasma.github.io/Logging_1980/tillsynsmail/A 59520-2024 tillsynsbegäran mail.docx", "A 59520-2024")</f>
        <v/>
      </c>
    </row>
    <row r="57" ht="15" customHeight="1">
      <c r="A57" t="inlineStr">
        <is>
          <t>A 46189-2023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45196</v>
      </c>
      <c r="E57" s="1" t="n">
        <v>46281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Gullviva</t>
        </is>
      </c>
      <c r="W57">
        <f>HYPERLINK("https://klasma.github.io/Logging_1980/artfynd/A 46189-2023 artfynd.xlsx", "A 46189-2023")</f>
        <v/>
      </c>
      <c r="X57">
        <f>HYPERLINK("https://klasma.github.io/Logging_1980/kartor/A 46189-2023 karta.png", "A 46189-2023")</f>
        <v/>
      </c>
      <c r="Y57">
        <f>HYPERLINK("https://klasma.github.io/Logging_1980/kartor_geotiff/A 46189-2023 georefererad karta.tif", "A 46189-2023")</f>
        <v/>
      </c>
      <c r="AA57">
        <f>HYPERLINK("https://klasma.github.io/Logging_1980/klagomål/A 46189-2023 FSC-klagomål.docx", "A 46189-2023")</f>
        <v/>
      </c>
      <c r="AB57">
        <f>HYPERLINK("https://klasma.github.io/Logging_1980/klagomålsmail/A 46189-2023 FSC-klagomål mail.docx", "A 46189-2023")</f>
        <v/>
      </c>
      <c r="AC57">
        <f>HYPERLINK("https://klasma.github.io/Logging_1980/tillsyn/A 46189-2023 tillsynsbegäran.docx", "A 46189-2023")</f>
        <v/>
      </c>
      <c r="AD57">
        <f>HYPERLINK("https://klasma.github.io/Logging_1980/tillsynsmail/A 46189-2023 tillsynsbegäran mail.docx", "A 46189-2023")</f>
        <v/>
      </c>
    </row>
    <row r="58" ht="15" customHeight="1">
      <c r="A58" t="inlineStr">
        <is>
          <t>A 8362-2022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46281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Köpingfibbla</t>
        </is>
      </c>
      <c r="W58">
        <f>HYPERLINK("https://klasma.github.io/Logging_1980/artfynd/A 8362-2022 artfynd.xlsx", "A 8362-2022")</f>
        <v/>
      </c>
      <c r="X58">
        <f>HYPERLINK("https://klasma.github.io/Logging_1980/kartor/A 8362-2022 karta.png", "A 8362-2022")</f>
        <v/>
      </c>
      <c r="Y58">
        <f>HYPERLINK("https://klasma.github.io/Logging_1980/kartor_geotiff/A 8362-2022 georefererad karta.tif", "A 8362-2022")</f>
        <v/>
      </c>
      <c r="AA58">
        <f>HYPERLINK("https://klasma.github.io/Logging_1980/klagomål/A 8362-2022 FSC-klagomål.docx", "A 8362-2022")</f>
        <v/>
      </c>
      <c r="AB58">
        <f>HYPERLINK("https://klasma.github.io/Logging_1980/klagomålsmail/A 8362-2022 FSC-klagomål mail.docx", "A 8362-2022")</f>
        <v/>
      </c>
      <c r="AC58">
        <f>HYPERLINK("https://klasma.github.io/Logging_1980/tillsyn/A 8362-2022 tillsynsbegäran.docx", "A 8362-2022")</f>
        <v/>
      </c>
      <c r="AD58">
        <f>HYPERLINK("https://klasma.github.io/Logging_1980/tillsynsmail/A 8362-2022 tillsynsbegäran mail.docx", "A 8362-2022")</f>
        <v/>
      </c>
    </row>
    <row r="59" ht="15" customHeight="1">
      <c r="A59" t="inlineStr">
        <is>
          <t>A 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46281</v>
      </c>
      <c r="F59" t="inlineStr">
        <is>
          <t>VÄSTMANLANDS LÄN</t>
        </is>
      </c>
      <c r="G59" t="inlineStr">
        <is>
          <t>VÄSTERÅS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5363-2025 artfynd.xlsx", "A 5363-2025")</f>
        <v/>
      </c>
      <c r="X59">
        <f>HYPERLINK("https://klasma.github.io/Logging_1980/kartor/A 5363-2025 karta.png", "A 5363-2025")</f>
        <v/>
      </c>
      <c r="Y59">
        <f>HYPERLINK("https://klasma.github.io/Logging_1980/kartor_geotiff/A 5363-2025 georefererad karta.tif", "A 5363-2025")</f>
        <v/>
      </c>
      <c r="AA59">
        <f>HYPERLINK("https://klasma.github.io/Logging_1980/klagomål/A 5363-2025 FSC-klagomål.docx", "A 5363-2025")</f>
        <v/>
      </c>
      <c r="AB59">
        <f>HYPERLINK("https://klasma.github.io/Logging_1980/klagomålsmail/A 5363-2025 FSC-klagomål mail.docx", "A 5363-2025")</f>
        <v/>
      </c>
      <c r="AC59">
        <f>HYPERLINK("https://klasma.github.io/Logging_1980/tillsyn/A 5363-2025 tillsynsbegäran.docx", "A 5363-2025")</f>
        <v/>
      </c>
      <c r="AD59">
        <f>HYPERLINK("https://klasma.github.io/Logging_1980/tillsynsmail/A 5363-2025 tillsynsbegäran mail.docx", "A 5363-2025")</f>
        <v/>
      </c>
    </row>
    <row r="60" ht="15" customHeight="1">
      <c r="A60" t="inlineStr">
        <is>
          <t>A 31976-2026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46281</v>
      </c>
      <c r="F60" t="inlineStr">
        <is>
          <t>VÄSTMANLANDS LÄN</t>
        </is>
      </c>
      <c r="G60" t="inlineStr">
        <is>
          <t>VÄSTERÅS</t>
        </is>
      </c>
      <c r="H60" t="inlineStr">
        <is>
          <t>Övriga Aktiebolag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Rostfläck</t>
        </is>
      </c>
      <c r="W60">
        <f>HYPERLINK("https://klasma.github.io/Logging_1980/artfynd/A 31976-2026 artfynd.xlsx", "A 31976-2026")</f>
        <v/>
      </c>
      <c r="X60">
        <f>HYPERLINK("https://klasma.github.io/Logging_1980/kartor/A 31976-2026 karta.png", "A 31976-2026")</f>
        <v/>
      </c>
      <c r="Y60">
        <f>HYPERLINK("https://klasma.github.io/Logging_1980/kartor_geotiff/A 31976-2026 georefererad karta.tif", "A 31976-2026")</f>
        <v/>
      </c>
      <c r="AA60">
        <f>HYPERLINK("https://klasma.github.io/Logging_1980/klagomål/A 31976-2026 FSC-klagomål.docx", "A 31976-2026")</f>
        <v/>
      </c>
      <c r="AB60">
        <f>HYPERLINK("https://klasma.github.io/Logging_1980/klagomålsmail/A 31976-2026 FSC-klagomål mail.docx", "A 31976-2026")</f>
        <v/>
      </c>
      <c r="AC60">
        <f>HYPERLINK("https://klasma.github.io/Logging_1980/tillsyn/A 31976-2026 tillsynsbegäran.docx", "A 31976-2026")</f>
        <v/>
      </c>
      <c r="AD60">
        <f>HYPERLINK("https://klasma.github.io/Logging_1980/tillsynsmail/A 31976-2026 tillsynsbegäran mail.docx", "A 31976-2026")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46281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46281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46281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46281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46281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46281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46281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46281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46281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46281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46281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46281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46281</v>
      </c>
      <c r="F73" t="inlineStr">
        <is>
          <t>VÄSTMANLANDS LÄN</t>
        </is>
      </c>
      <c r="G73" t="inlineStr">
        <is>
          <t>VÄSTERÅS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72019-2021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44540</v>
      </c>
      <c r="E74" s="1" t="n">
        <v>46281</v>
      </c>
      <c r="F74" t="inlineStr">
        <is>
          <t>VÄSTMANLANDS LÄN</t>
        </is>
      </c>
      <c r="G74" t="inlineStr">
        <is>
          <t>VÄSTERÅS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46281</v>
      </c>
      <c r="F75" t="inlineStr">
        <is>
          <t>VÄSTMANLANDS LÄN</t>
        </is>
      </c>
      <c r="G75" t="inlineStr">
        <is>
          <t>VÄSTERÅS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19336-2022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44692</v>
      </c>
      <c r="E76" s="1" t="n">
        <v>46281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46281</v>
      </c>
      <c r="F77" t="inlineStr">
        <is>
          <t>VÄSTMANLANDS LÄN</t>
        </is>
      </c>
      <c r="G77" t="inlineStr">
        <is>
          <t>VÄSTERÅS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46281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46281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46281</v>
      </c>
      <c r="F80" t="inlineStr">
        <is>
          <t>VÄSTMANLANDS LÄN</t>
        </is>
      </c>
      <c r="G80" t="inlineStr">
        <is>
          <t>VÄSTERÅS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44608</v>
      </c>
      <c r="E81" s="1" t="n">
        <v>46281</v>
      </c>
      <c r="F81" t="inlineStr">
        <is>
          <t>VÄSTMANLANDS LÄN</t>
        </is>
      </c>
      <c r="G81" t="inlineStr">
        <is>
          <t>VÄSTERÅS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46281</v>
      </c>
      <c r="F82" t="inlineStr">
        <is>
          <t>VÄSTMANLANDS LÄN</t>
        </is>
      </c>
      <c r="G82" t="inlineStr">
        <is>
          <t>VÄSTERÅS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46281</v>
      </c>
      <c r="F83" t="inlineStr">
        <is>
          <t>VÄSTMANLANDS LÄN</t>
        </is>
      </c>
      <c r="G83" t="inlineStr">
        <is>
          <t>VÄSTERÅS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51223-2023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46281</v>
      </c>
      <c r="F84" t="inlineStr">
        <is>
          <t>VÄSTMANLANDS LÄN</t>
        </is>
      </c>
      <c r="G84" t="inlineStr">
        <is>
          <t>VÄSTERÅS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46281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46281</v>
      </c>
      <c r="F86" t="inlineStr">
        <is>
          <t>VÄSTMANLANDS LÄN</t>
        </is>
      </c>
      <c r="G86" t="inlineStr">
        <is>
          <t>VÄSTERÅS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46281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44664</v>
      </c>
      <c r="E88" s="1" t="n">
        <v>46281</v>
      </c>
      <c r="F88" t="inlineStr">
        <is>
          <t>VÄSTMANLANDS LÄN</t>
        </is>
      </c>
      <c r="G88" t="inlineStr">
        <is>
          <t>VÄSTERÅS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34461-2022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44792</v>
      </c>
      <c r="E89" s="1" t="n">
        <v>46281</v>
      </c>
      <c r="F89" t="inlineStr">
        <is>
          <t>VÄSTMANLANDS LÄN</t>
        </is>
      </c>
      <c r="G89" t="inlineStr">
        <is>
          <t>VÄSTERÅS</t>
        </is>
      </c>
      <c r="I89" t="n">
        <v>9.6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46281</v>
      </c>
      <c r="F90" t="inlineStr">
        <is>
          <t>VÄSTMANLANDS LÄN</t>
        </is>
      </c>
      <c r="G90" t="inlineStr">
        <is>
          <t>VÄSTERÅS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46281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46281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46281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46281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46281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46281</v>
      </c>
      <c r="F96" t="inlineStr">
        <is>
          <t>VÄSTMANLANDS LÄN</t>
        </is>
      </c>
      <c r="G96" t="inlineStr">
        <is>
          <t>VÄSTERÅS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23765-2022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46281</v>
      </c>
      <c r="F97" t="inlineStr">
        <is>
          <t>VÄSTMANLANDS LÄN</t>
        </is>
      </c>
      <c r="G97" t="inlineStr">
        <is>
          <t>VÄSTERÅS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46281</v>
      </c>
      <c r="F98" t="inlineStr">
        <is>
          <t>VÄSTMANLANDS LÄN</t>
        </is>
      </c>
      <c r="G98" t="inlineStr">
        <is>
          <t>VÄSTERÅS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46281</v>
      </c>
      <c r="F99" t="inlineStr">
        <is>
          <t>VÄSTMANLANDS LÄN</t>
        </is>
      </c>
      <c r="G99" t="inlineStr">
        <is>
          <t>VÄSTERÅS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46281</v>
      </c>
      <c r="F100" t="inlineStr">
        <is>
          <t>VÄSTMANLANDS LÄN</t>
        </is>
      </c>
      <c r="G100" t="inlineStr">
        <is>
          <t>VÄSTERÅS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46281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45296</v>
      </c>
      <c r="E102" s="1" t="n">
        <v>46281</v>
      </c>
      <c r="F102" t="inlineStr">
        <is>
          <t>VÄSTMANLANDS LÄN</t>
        </is>
      </c>
      <c r="G102" t="inlineStr">
        <is>
          <t>VÄSTERÅS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51219-2023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46281</v>
      </c>
      <c r="F103" t="inlineStr">
        <is>
          <t>VÄSTMANLANDS LÄN</t>
        </is>
      </c>
      <c r="G103" t="inlineStr">
        <is>
          <t>VÄSTERÅS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46281</v>
      </c>
      <c r="F104" t="inlineStr">
        <is>
          <t>VÄSTMANLANDS LÄN</t>
        </is>
      </c>
      <c r="G104" t="inlineStr">
        <is>
          <t>VÄSTERÅS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18457-2023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45042</v>
      </c>
      <c r="E105" s="1" t="n">
        <v>46281</v>
      </c>
      <c r="F105" t="inlineStr">
        <is>
          <t>VÄSTMANLANDS LÄN</t>
        </is>
      </c>
      <c r="G105" t="inlineStr">
        <is>
          <t>VÄSTERÅS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31106-2025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46281</v>
      </c>
      <c r="F106" t="inlineStr">
        <is>
          <t>VÄSTMANLANDS LÄN</t>
        </is>
      </c>
      <c r="G106" t="inlineStr">
        <is>
          <t>VÄSTERÅS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46281</v>
      </c>
      <c r="F107" t="inlineStr">
        <is>
          <t>VÄSTMANLANDS LÄN</t>
        </is>
      </c>
      <c r="G107" t="inlineStr">
        <is>
          <t>VÄSTERÅS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39127-2022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44816</v>
      </c>
      <c r="E108" s="1" t="n">
        <v>46281</v>
      </c>
      <c r="F108" t="inlineStr">
        <is>
          <t>VÄSTMANLANDS LÄN</t>
        </is>
      </c>
      <c r="G108" t="inlineStr">
        <is>
          <t>VÄSTERÅS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46281</v>
      </c>
      <c r="F109" t="inlineStr">
        <is>
          <t>VÄSTMANLANDS LÄN</t>
        </is>
      </c>
      <c r="G109" t="inlineStr">
        <is>
          <t>VÄSTERÅS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64793-2023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46281</v>
      </c>
      <c r="F110" t="inlineStr">
        <is>
          <t>VÄSTMANLANDS LÄN</t>
        </is>
      </c>
      <c r="G110" t="inlineStr">
        <is>
          <t>VÄSTERÅS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46281</v>
      </c>
      <c r="F111" t="inlineStr">
        <is>
          <t>VÄSTMANLANDS LÄN</t>
        </is>
      </c>
      <c r="G111" t="inlineStr">
        <is>
          <t>VÄSTERÅS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18131-2025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46281</v>
      </c>
      <c r="F112" t="inlineStr">
        <is>
          <t>VÄSTMANLANDS LÄN</t>
        </is>
      </c>
      <c r="G112" t="inlineStr">
        <is>
          <t>VÄSTERÅS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44847</v>
      </c>
      <c r="E113" s="1" t="n">
        <v>46281</v>
      </c>
      <c r="F113" t="inlineStr">
        <is>
          <t>VÄSTMANLANDS LÄN</t>
        </is>
      </c>
      <c r="G113" t="inlineStr">
        <is>
          <t>VÄSTERÅS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46281</v>
      </c>
      <c r="F114" t="inlineStr">
        <is>
          <t>VÄSTMANLANDS LÄN</t>
        </is>
      </c>
      <c r="G114" t="inlineStr">
        <is>
          <t>VÄSTERÅS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46281</v>
      </c>
      <c r="F115" t="inlineStr">
        <is>
          <t>VÄSTMANLANDS LÄN</t>
        </is>
      </c>
      <c r="G115" t="inlineStr">
        <is>
          <t>VÄSTERÅS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45083</v>
      </c>
      <c r="E116" s="1" t="n">
        <v>46281</v>
      </c>
      <c r="F116" t="inlineStr">
        <is>
          <t>VÄSTMANLANDS LÄN</t>
        </is>
      </c>
      <c r="G116" t="inlineStr">
        <is>
          <t>VÄSTERÅS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46281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56980-2021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44482</v>
      </c>
      <c r="E118" s="1" t="n">
        <v>46281</v>
      </c>
      <c r="F118" t="inlineStr">
        <is>
          <t>VÄSTMANLANDS LÄN</t>
        </is>
      </c>
      <c r="G118" t="inlineStr">
        <is>
          <t>VÄSTERÅS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44961</v>
      </c>
      <c r="E119" s="1" t="n">
        <v>46281</v>
      </c>
      <c r="F119" t="inlineStr">
        <is>
          <t>VÄSTMANLANDS LÄN</t>
        </is>
      </c>
      <c r="G119" t="inlineStr">
        <is>
          <t>VÄSTERÅS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46281</v>
      </c>
      <c r="F120" t="inlineStr">
        <is>
          <t>VÄSTMANLANDS LÄN</t>
        </is>
      </c>
      <c r="G120" t="inlineStr">
        <is>
          <t>VÄSTERÅS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11072-2026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46079</v>
      </c>
      <c r="E121" s="1" t="n">
        <v>46281</v>
      </c>
      <c r="F121" t="inlineStr">
        <is>
          <t>VÄSTMANLANDS LÄN</t>
        </is>
      </c>
      <c r="G121" t="inlineStr">
        <is>
          <t>VÄSTERÅS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52027-2025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45952</v>
      </c>
      <c r="E122" s="1" t="n">
        <v>46281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Övriga statliga verk och myndigheter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45019</v>
      </c>
      <c r="E123" s="1" t="n">
        <v>46281</v>
      </c>
      <c r="F123" t="inlineStr">
        <is>
          <t>VÄSTMANLANDS LÄN</t>
        </is>
      </c>
      <c r="G123" t="inlineStr">
        <is>
          <t>VÄSTERÅS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44908</v>
      </c>
      <c r="E124" s="1" t="n">
        <v>46281</v>
      </c>
      <c r="F124" t="inlineStr">
        <is>
          <t>VÄSTMANLANDS LÄN</t>
        </is>
      </c>
      <c r="G124" t="inlineStr">
        <is>
          <t>VÄSTERÅS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46084</v>
      </c>
      <c r="E125" s="1" t="n">
        <v>46281</v>
      </c>
      <c r="F125" t="inlineStr">
        <is>
          <t>VÄSTMANLANDS LÄN</t>
        </is>
      </c>
      <c r="G125" t="inlineStr">
        <is>
          <t>VÄSTERÅS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46083</v>
      </c>
      <c r="E126" s="1" t="n">
        <v>46281</v>
      </c>
      <c r="F126" t="inlineStr">
        <is>
          <t>VÄSTMANLANDS LÄN</t>
        </is>
      </c>
      <c r="G126" t="inlineStr">
        <is>
          <t>VÄSTERÅS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46281</v>
      </c>
      <c r="F127" t="inlineStr">
        <is>
          <t>VÄSTMANLANDS LÄN</t>
        </is>
      </c>
      <c r="G127" t="inlineStr">
        <is>
          <t>VÄSTERÅS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46281</v>
      </c>
      <c r="F128" t="inlineStr">
        <is>
          <t>VÄSTMANLANDS LÄN</t>
        </is>
      </c>
      <c r="G128" t="inlineStr">
        <is>
          <t>VÄSTERÅS</t>
        </is>
      </c>
      <c r="I128" t="n">
        <v>13.9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46281</v>
      </c>
      <c r="F129" t="inlineStr">
        <is>
          <t>VÄSTMANLANDS LÄN</t>
        </is>
      </c>
      <c r="G129" t="inlineStr">
        <is>
          <t>VÄSTERÅS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44594</v>
      </c>
      <c r="E130" s="1" t="n">
        <v>46281</v>
      </c>
      <c r="F130" t="inlineStr">
        <is>
          <t>VÄSTMANLANDS LÄN</t>
        </is>
      </c>
      <c r="G130" t="inlineStr">
        <is>
          <t>VÄSTERÅS</t>
        </is>
      </c>
      <c r="I130" t="n">
        <v>20.3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46281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Övriga Aktiebolag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46281</v>
      </c>
      <c r="F132" t="inlineStr">
        <is>
          <t>VÄSTMANLANDS LÄN</t>
        </is>
      </c>
      <c r="G132" t="inlineStr">
        <is>
          <t>VÄSTERÅS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46281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18482-2023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45042</v>
      </c>
      <c r="E134" s="1" t="n">
        <v>46281</v>
      </c>
      <c r="F134" t="inlineStr">
        <is>
          <t>VÄSTMANLANDS LÄN</t>
        </is>
      </c>
      <c r="G134" t="inlineStr">
        <is>
          <t>VÄSTERÅS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55676-2023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45232</v>
      </c>
      <c r="E135" s="1" t="n">
        <v>46281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Övriga Aktiebolag</t>
        </is>
      </c>
      <c r="I135" t="n">
        <v>37.9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44875</v>
      </c>
      <c r="E136" s="1" t="n">
        <v>46281</v>
      </c>
      <c r="F136" t="inlineStr">
        <is>
          <t>VÄSTMANLANDS LÄN</t>
        </is>
      </c>
      <c r="G136" t="inlineStr">
        <is>
          <t>VÄSTERÅS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70642-2021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46281</v>
      </c>
      <c r="F137" t="inlineStr">
        <is>
          <t>VÄSTMANLANDS LÄN</t>
        </is>
      </c>
      <c r="G137" t="inlineStr">
        <is>
          <t>VÄSTERÅS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46281</v>
      </c>
      <c r="F138" t="inlineStr">
        <is>
          <t>VÄSTMANLANDS LÄN</t>
        </is>
      </c>
      <c r="G138" t="inlineStr">
        <is>
          <t>VÄSTERÅS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44899</v>
      </c>
      <c r="E139" s="1" t="n">
        <v>46281</v>
      </c>
      <c r="F139" t="inlineStr">
        <is>
          <t>VÄSTMANLANDS LÄN</t>
        </is>
      </c>
      <c r="G139" t="inlineStr">
        <is>
          <t>VÄSTERÅS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67352-2021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46281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Aktiebolag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46281</v>
      </c>
      <c r="F141" t="inlineStr">
        <is>
          <t>VÄSTMANLANDS LÄN</t>
        </is>
      </c>
      <c r="G141" t="inlineStr">
        <is>
          <t>VÄSTERÅS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46281</v>
      </c>
      <c r="F142" t="inlineStr">
        <is>
          <t>VÄSTMANLANDS LÄN</t>
        </is>
      </c>
      <c r="G142" t="inlineStr">
        <is>
          <t>VÄSTERÅS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46104</v>
      </c>
      <c r="E143" s="1" t="n">
        <v>46281</v>
      </c>
      <c r="F143" t="inlineStr">
        <is>
          <t>VÄSTMANLANDS LÄN</t>
        </is>
      </c>
      <c r="G143" t="inlineStr">
        <is>
          <t>VÄSTERÅS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46281</v>
      </c>
      <c r="F144" t="inlineStr">
        <is>
          <t>VÄSTMANLANDS LÄN</t>
        </is>
      </c>
      <c r="G144" t="inlineStr">
        <is>
          <t>VÄSTERÅS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45366</v>
      </c>
      <c r="E145" s="1" t="n">
        <v>46281</v>
      </c>
      <c r="F145" t="inlineStr">
        <is>
          <t>VÄSTMANLANDS LÄN</t>
        </is>
      </c>
      <c r="G145" t="inlineStr">
        <is>
          <t>VÄSTERÅS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60797-2022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44914</v>
      </c>
      <c r="E146" s="1" t="n">
        <v>46281</v>
      </c>
      <c r="F146" t="inlineStr">
        <is>
          <t>VÄSTMANLANDS LÄN</t>
        </is>
      </c>
      <c r="G146" t="inlineStr">
        <is>
          <t>VÄSTERÅS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46281</v>
      </c>
      <c r="F147" t="inlineStr">
        <is>
          <t>VÄSTMANLANDS LÄN</t>
        </is>
      </c>
      <c r="G147" t="inlineStr">
        <is>
          <t>VÄSTERÅS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16497-2022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44671</v>
      </c>
      <c r="E148" s="1" t="n">
        <v>46281</v>
      </c>
      <c r="F148" t="inlineStr">
        <is>
          <t>VÄSTMANLANDS LÄN</t>
        </is>
      </c>
      <c r="G148" t="inlineStr">
        <is>
          <t>VÄSTERÅS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16582-2026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46112</v>
      </c>
      <c r="E149" s="1" t="n">
        <v>46281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46112</v>
      </c>
      <c r="E150" s="1" t="n">
        <v>46281</v>
      </c>
      <c r="F150" t="inlineStr">
        <is>
          <t>VÄSTMANLANDS LÄN</t>
        </is>
      </c>
      <c r="G150" t="inlineStr">
        <is>
          <t>VÄSTERÅS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46112</v>
      </c>
      <c r="E151" s="1" t="n">
        <v>46281</v>
      </c>
      <c r="F151" t="inlineStr">
        <is>
          <t>VÄSTMANLANDS LÄN</t>
        </is>
      </c>
      <c r="G151" t="inlineStr">
        <is>
          <t>VÄSTERÅS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46112</v>
      </c>
      <c r="E152" s="1" t="n">
        <v>46281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Sveaskog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46112</v>
      </c>
      <c r="E153" s="1" t="n">
        <v>46281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12143-2022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46281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Kommuner</t>
        </is>
      </c>
      <c r="I154" t="n">
        <v>12.9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12148-2022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44636</v>
      </c>
      <c r="E155" s="1" t="n">
        <v>46281</v>
      </c>
      <c r="F155" t="inlineStr">
        <is>
          <t>VÄSTMANLANDS LÄN</t>
        </is>
      </c>
      <c r="G155" t="inlineStr">
        <is>
          <t>VÄSTERÅS</t>
        </is>
      </c>
      <c r="H155" t="inlineStr">
        <is>
          <t>Kommuner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46281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Kommuner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17499-2026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46120</v>
      </c>
      <c r="E157" s="1" t="n">
        <v>46281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Allmännings- och besparingsskogar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45448</v>
      </c>
      <c r="E158" s="1" t="n">
        <v>46281</v>
      </c>
      <c r="F158" t="inlineStr">
        <is>
          <t>VÄSTMANLANDS LÄN</t>
        </is>
      </c>
      <c r="G158" t="inlineStr">
        <is>
          <t>VÄSTERÅS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46281</v>
      </c>
      <c r="F159" t="inlineStr">
        <is>
          <t>VÄSTMANLANDS LÄN</t>
        </is>
      </c>
      <c r="G159" t="inlineStr">
        <is>
          <t>VÄSTERÅS</t>
        </is>
      </c>
      <c r="H159" t="inlineStr">
        <is>
          <t>Övriga statliga verk och myndigheter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17808-2023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45037</v>
      </c>
      <c r="E160" s="1" t="n">
        <v>46281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46135</v>
      </c>
      <c r="E161" s="1" t="n">
        <v>46281</v>
      </c>
      <c r="F161" t="inlineStr">
        <is>
          <t>VÄSTMANLANDS LÄN</t>
        </is>
      </c>
      <c r="G161" t="inlineStr">
        <is>
          <t>VÄSTERÅS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46281</v>
      </c>
      <c r="F162" t="inlineStr">
        <is>
          <t>VÄSTMANLANDS LÄN</t>
        </is>
      </c>
      <c r="G162" t="inlineStr">
        <is>
          <t>VÄSTERÅS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46281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44999</v>
      </c>
      <c r="E164" s="1" t="n">
        <v>46281</v>
      </c>
      <c r="F164" t="inlineStr">
        <is>
          <t>VÄSTMANLANDS LÄN</t>
        </is>
      </c>
      <c r="G164" t="inlineStr">
        <is>
          <t>VÄSTERÅS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46281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Övriga statliga verk och myndigheter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46281</v>
      </c>
      <c r="F166" t="inlineStr">
        <is>
          <t>VÄSTMANLANDS LÄN</t>
        </is>
      </c>
      <c r="G166" t="inlineStr">
        <is>
          <t>VÄSTERÅS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47101-2025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46281</v>
      </c>
      <c r="F167" t="inlineStr">
        <is>
          <t>VÄSTMANLANDS LÄN</t>
        </is>
      </c>
      <c r="G167" t="inlineStr">
        <is>
          <t>VÄSTERÅS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44717</v>
      </c>
      <c r="E168" s="1" t="n">
        <v>46281</v>
      </c>
      <c r="F168" t="inlineStr">
        <is>
          <t>VÄSTMANLANDS LÄN</t>
        </is>
      </c>
      <c r="G168" t="inlineStr">
        <is>
          <t>VÄSTERÅS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19927-2026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46136</v>
      </c>
      <c r="E169" s="1" t="n">
        <v>46281</v>
      </c>
      <c r="F169" t="inlineStr">
        <is>
          <t>VÄSTMANLANDS LÄN</t>
        </is>
      </c>
      <c r="G169" t="inlineStr">
        <is>
          <t>VÄSTERÅS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44662</v>
      </c>
      <c r="E170" s="1" t="n">
        <v>46281</v>
      </c>
      <c r="F170" t="inlineStr">
        <is>
          <t>VÄSTMANLANDS LÄN</t>
        </is>
      </c>
      <c r="G170" t="inlineStr">
        <is>
          <t>VÄSTERÅS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46281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44657</v>
      </c>
      <c r="E172" s="1" t="n">
        <v>46281</v>
      </c>
      <c r="F172" t="inlineStr">
        <is>
          <t>VÄSTMANLANDS LÄN</t>
        </is>
      </c>
      <c r="G172" t="inlineStr">
        <is>
          <t>VÄSTERÅS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63851-2021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44509</v>
      </c>
      <c r="E173" s="1" t="n">
        <v>46281</v>
      </c>
      <c r="F173" t="inlineStr">
        <is>
          <t>VÄSTMANLANDS LÄN</t>
        </is>
      </c>
      <c r="G173" t="inlineStr">
        <is>
          <t>VÄSTERÅS</t>
        </is>
      </c>
      <c r="I173" t="n">
        <v>11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45639</v>
      </c>
      <c r="E174" s="1" t="n">
        <v>46281</v>
      </c>
      <c r="F174" t="inlineStr">
        <is>
          <t>VÄSTMANLANDS LÄN</t>
        </is>
      </c>
      <c r="G174" t="inlineStr">
        <is>
          <t>VÄSTERÅS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46281</v>
      </c>
      <c r="F175" t="inlineStr">
        <is>
          <t>VÄSTMANLANDS LÄN</t>
        </is>
      </c>
      <c r="G175" t="inlineStr">
        <is>
          <t>VÄSTERÅS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46281</v>
      </c>
      <c r="F176" t="inlineStr">
        <is>
          <t>VÄSTMANLANDS LÄN</t>
        </is>
      </c>
      <c r="G176" t="inlineStr">
        <is>
          <t>VÄSTERÅS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46281</v>
      </c>
      <c r="F177" t="inlineStr">
        <is>
          <t>VÄSTMANLANDS LÄN</t>
        </is>
      </c>
      <c r="G177" t="inlineStr">
        <is>
          <t>VÄSTERÅS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44755</v>
      </c>
      <c r="E178" s="1" t="n">
        <v>46281</v>
      </c>
      <c r="F178" t="inlineStr">
        <is>
          <t>VÄSTMANLANDS LÄN</t>
        </is>
      </c>
      <c r="G178" t="inlineStr">
        <is>
          <t>VÄSTERÅS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11137-2023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44987</v>
      </c>
      <c r="E179" s="1" t="n">
        <v>46281</v>
      </c>
      <c r="F179" t="inlineStr">
        <is>
          <t>VÄSTMANLANDS LÄN</t>
        </is>
      </c>
      <c r="G179" t="inlineStr">
        <is>
          <t>VÄSTERÅS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45019</v>
      </c>
      <c r="E180" s="1" t="n">
        <v>46281</v>
      </c>
      <c r="F180" t="inlineStr">
        <is>
          <t>VÄSTMANLANDS LÄN</t>
        </is>
      </c>
      <c r="G180" t="inlineStr">
        <is>
          <t>VÄSTERÅS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44610</v>
      </c>
      <c r="E181" s="1" t="n">
        <v>46281</v>
      </c>
      <c r="F181" t="inlineStr">
        <is>
          <t>VÄSTMANLANDS LÄN</t>
        </is>
      </c>
      <c r="G181" t="inlineStr">
        <is>
          <t>VÄSTERÅS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45027</v>
      </c>
      <c r="E182" s="1" t="n">
        <v>46281</v>
      </c>
      <c r="F182" t="inlineStr">
        <is>
          <t>VÄSTMANLANDS LÄN</t>
        </is>
      </c>
      <c r="G182" t="inlineStr">
        <is>
          <t>VÄSTERÅS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45027</v>
      </c>
      <c r="E183" s="1" t="n">
        <v>46281</v>
      </c>
      <c r="F183" t="inlineStr">
        <is>
          <t>VÄSTMANLANDS LÄN</t>
        </is>
      </c>
      <c r="G183" t="inlineStr">
        <is>
          <t>VÄSTERÅS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45443</v>
      </c>
      <c r="E184" s="1" t="n">
        <v>46281</v>
      </c>
      <c r="F184" t="inlineStr">
        <is>
          <t>VÄSTMANLANDS LÄN</t>
        </is>
      </c>
      <c r="G184" t="inlineStr">
        <is>
          <t>VÄSTERÅS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46281</v>
      </c>
      <c r="F185" t="inlineStr">
        <is>
          <t>VÄSTMANLANDS LÄN</t>
        </is>
      </c>
      <c r="G185" t="inlineStr">
        <is>
          <t>VÄSTERÅS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46281</v>
      </c>
      <c r="F186" t="inlineStr">
        <is>
          <t>VÄSTMANLANDS LÄN</t>
        </is>
      </c>
      <c r="G186" t="inlineStr">
        <is>
          <t>VÄSTERÅS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45072</v>
      </c>
      <c r="E187" s="1" t="n">
        <v>46281</v>
      </c>
      <c r="F187" t="inlineStr">
        <is>
          <t>VÄSTMANLANDS LÄN</t>
        </is>
      </c>
      <c r="G187" t="inlineStr">
        <is>
          <t>VÄSTERÅS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46281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Kyrkan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44826</v>
      </c>
      <c r="E189" s="1" t="n">
        <v>46281</v>
      </c>
      <c r="F189" t="inlineStr">
        <is>
          <t>VÄSTMANLANDS LÄN</t>
        </is>
      </c>
      <c r="G189" t="inlineStr">
        <is>
          <t>VÄSTERÅS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12649-2023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46281</v>
      </c>
      <c r="F190" t="inlineStr">
        <is>
          <t>VÄSTMANLANDS LÄN</t>
        </is>
      </c>
      <c r="G190" t="inlineStr">
        <is>
          <t>VÄSTERÅS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46281</v>
      </c>
      <c r="F191" t="inlineStr">
        <is>
          <t>VÄSTMANLANDS LÄN</t>
        </is>
      </c>
      <c r="G191" t="inlineStr">
        <is>
          <t>VÄSTERÅS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46281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52015-2024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45607</v>
      </c>
      <c r="E193" s="1" t="n">
        <v>46281</v>
      </c>
      <c r="F193" t="inlineStr">
        <is>
          <t>VÄSTMANLANDS LÄN</t>
        </is>
      </c>
      <c r="G193" t="inlineStr">
        <is>
          <t>VÄSTERÅS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3118-2022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44582</v>
      </c>
      <c r="E194" s="1" t="n">
        <v>46281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Övriga Aktiebolag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15329-2023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46281</v>
      </c>
      <c r="F195" t="inlineStr">
        <is>
          <t>VÄSTMANLANDS LÄN</t>
        </is>
      </c>
      <c r="G195" t="inlineStr">
        <is>
          <t>VÄSTERÅS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44600</v>
      </c>
      <c r="E196" s="1" t="n">
        <v>46281</v>
      </c>
      <c r="F196" t="inlineStr">
        <is>
          <t>VÄSTMANLANDS LÄN</t>
        </is>
      </c>
      <c r="G196" t="inlineStr">
        <is>
          <t>VÄSTERÅS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46281</v>
      </c>
      <c r="F197" t="inlineStr">
        <is>
          <t>VÄSTMANLANDS LÄN</t>
        </is>
      </c>
      <c r="G197" t="inlineStr">
        <is>
          <t>VÄSTERÅS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46281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46281</v>
      </c>
      <c r="F199" t="inlineStr">
        <is>
          <t>VÄSTMANLANDS LÄN</t>
        </is>
      </c>
      <c r="G199" t="inlineStr">
        <is>
          <t>VÄSTERÅS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46281</v>
      </c>
      <c r="F200" t="inlineStr">
        <is>
          <t>VÄSTMANLANDS LÄN</t>
        </is>
      </c>
      <c r="G200" t="inlineStr">
        <is>
          <t>VÄSTERÅS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46281</v>
      </c>
      <c r="F201" t="inlineStr">
        <is>
          <t>VÄSTMANLANDS LÄN</t>
        </is>
      </c>
      <c r="G201" t="inlineStr">
        <is>
          <t>VÄSTERÅS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46281</v>
      </c>
      <c r="F202" t="inlineStr">
        <is>
          <t>VÄSTMANLANDS LÄN</t>
        </is>
      </c>
      <c r="G202" t="inlineStr">
        <is>
          <t>VÄSTERÅS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46281</v>
      </c>
      <c r="F203" t="inlineStr">
        <is>
          <t>VÄSTMANLANDS LÄN</t>
        </is>
      </c>
      <c r="G203" t="inlineStr">
        <is>
          <t>VÄSTERÅS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46281</v>
      </c>
      <c r="F204" t="inlineStr">
        <is>
          <t>VÄSTMANLANDS LÄN</t>
        </is>
      </c>
      <c r="G204" t="inlineStr">
        <is>
          <t>VÄSTERÅS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46281</v>
      </c>
      <c r="F205" t="inlineStr">
        <is>
          <t>VÄSTMANLANDS LÄN</t>
        </is>
      </c>
      <c r="G205" t="inlineStr">
        <is>
          <t>VÄSTERÅS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61249-2021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44498</v>
      </c>
      <c r="E206" s="1" t="n">
        <v>46281</v>
      </c>
      <c r="F206" t="inlineStr">
        <is>
          <t>VÄSTMANLANDS LÄN</t>
        </is>
      </c>
      <c r="G206" t="inlineStr">
        <is>
          <t>VÄSTERÅS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46281</v>
      </c>
      <c r="F207" t="inlineStr">
        <is>
          <t>VÄSTMANLANDS LÄN</t>
        </is>
      </c>
      <c r="G207" t="inlineStr">
        <is>
          <t>VÄSTERÅS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46030</v>
      </c>
      <c r="E208" s="1" t="n">
        <v>46281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Allmännings- och besparingsskogar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46281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46281</v>
      </c>
      <c r="F210" t="inlineStr">
        <is>
          <t>VÄSTMANLANDS LÄN</t>
        </is>
      </c>
      <c r="G210" t="inlineStr">
        <is>
          <t>VÄSTERÅS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46281</v>
      </c>
      <c r="F211" t="inlineStr">
        <is>
          <t>VÄSTMANLANDS LÄN</t>
        </is>
      </c>
      <c r="G211" t="inlineStr">
        <is>
          <t>VÄSTERÅS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46281</v>
      </c>
      <c r="F212" t="inlineStr">
        <is>
          <t>VÄSTMANLANDS LÄN</t>
        </is>
      </c>
      <c r="G212" t="inlineStr">
        <is>
          <t>VÄSTERÅS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46281</v>
      </c>
      <c r="F213" t="inlineStr">
        <is>
          <t>VÄSTMANLANDS LÄN</t>
        </is>
      </c>
      <c r="G213" t="inlineStr">
        <is>
          <t>VÄSTERÅS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46281</v>
      </c>
      <c r="F214" t="inlineStr">
        <is>
          <t>VÄSTMANLANDS LÄN</t>
        </is>
      </c>
      <c r="G214" t="inlineStr">
        <is>
          <t>VÄSTERÅS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8727-2023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44978</v>
      </c>
      <c r="E215" s="1" t="n">
        <v>46281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Kyrkan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63483-2023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45274</v>
      </c>
      <c r="E216" s="1" t="n">
        <v>46281</v>
      </c>
      <c r="F216" t="inlineStr">
        <is>
          <t>VÄSTMANLANDS LÄN</t>
        </is>
      </c>
      <c r="G216" t="inlineStr">
        <is>
          <t>VÄSTERÅS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46170</v>
      </c>
      <c r="E217" s="1" t="n">
        <v>46281</v>
      </c>
      <c r="F217" t="inlineStr">
        <is>
          <t>VÄSTMANLANDS LÄN</t>
        </is>
      </c>
      <c r="G217" t="inlineStr">
        <is>
          <t>VÄSTERÅS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46281</v>
      </c>
      <c r="F218" t="inlineStr">
        <is>
          <t>VÄSTMANLANDS LÄN</t>
        </is>
      </c>
      <c r="G218" t="inlineStr">
        <is>
          <t>VÄSTERÅS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46281</v>
      </c>
      <c r="F219" t="inlineStr">
        <is>
          <t>VÄSTMANLANDS LÄN</t>
        </is>
      </c>
      <c r="G219" t="inlineStr">
        <is>
          <t>VÄSTERÅS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46281</v>
      </c>
      <c r="F220" t="inlineStr">
        <is>
          <t>VÄSTMANLANDS LÄN</t>
        </is>
      </c>
      <c r="G220" t="inlineStr">
        <is>
          <t>VÄSTERÅS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58085-2022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46281</v>
      </c>
      <c r="F221" t="inlineStr">
        <is>
          <t>VÄSTMANLANDS LÄN</t>
        </is>
      </c>
      <c r="G221" t="inlineStr">
        <is>
          <t>VÄSTERÅS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45110</v>
      </c>
      <c r="E222" s="1" t="n">
        <v>46281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45279</v>
      </c>
      <c r="E223" s="1" t="n">
        <v>46281</v>
      </c>
      <c r="F223" t="inlineStr">
        <is>
          <t>VÄSTMANLANDS LÄN</t>
        </is>
      </c>
      <c r="G223" t="inlineStr">
        <is>
          <t>VÄSTERÅS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46281</v>
      </c>
      <c r="F224" t="inlineStr">
        <is>
          <t>VÄSTMANLANDS LÄN</t>
        </is>
      </c>
      <c r="G224" t="inlineStr">
        <is>
          <t>VÄSTERÅS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46281</v>
      </c>
      <c r="F225" t="inlineStr">
        <is>
          <t>VÄSTMANLANDS LÄN</t>
        </is>
      </c>
      <c r="G225" t="inlineStr">
        <is>
          <t>VÄSTERÅS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7797-2026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46062</v>
      </c>
      <c r="E226" s="1" t="n">
        <v>46281</v>
      </c>
      <c r="F226" t="inlineStr">
        <is>
          <t>VÄSTMANLANDS LÄN</t>
        </is>
      </c>
      <c r="G226" t="inlineStr">
        <is>
          <t>VÄSTERÅS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46281</v>
      </c>
      <c r="F227" t="inlineStr">
        <is>
          <t>VÄSTMANLANDS LÄN</t>
        </is>
      </c>
      <c r="G227" t="inlineStr">
        <is>
          <t>VÄSTERÅS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46281</v>
      </c>
      <c r="F228" t="inlineStr">
        <is>
          <t>VÄSTMANLANDS LÄN</t>
        </is>
      </c>
      <c r="G228" t="inlineStr">
        <is>
          <t>VÄSTERÅS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46281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Allmännings- och besparingsskogar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46281</v>
      </c>
      <c r="F230" t="inlineStr">
        <is>
          <t>VÄSTMANLANDS LÄN</t>
        </is>
      </c>
      <c r="G230" t="inlineStr">
        <is>
          <t>VÄSTERÅS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73601-2021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46281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46281</v>
      </c>
      <c r="F232" t="inlineStr">
        <is>
          <t>VÄSTMANLANDS LÄN</t>
        </is>
      </c>
      <c r="G232" t="inlineStr">
        <is>
          <t>VÄSTERÅS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46188</v>
      </c>
      <c r="E233" s="1" t="n">
        <v>46281</v>
      </c>
      <c r="F233" t="inlineStr">
        <is>
          <t>VÄSTMANLANDS LÄN</t>
        </is>
      </c>
      <c r="G233" t="inlineStr">
        <is>
          <t>VÄSTERÅS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32053-2023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45119</v>
      </c>
      <c r="E234" s="1" t="n">
        <v>46281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38381-2022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44812</v>
      </c>
      <c r="E235" s="1" t="n">
        <v>46281</v>
      </c>
      <c r="F235" t="inlineStr">
        <is>
          <t>VÄSTMANLANDS LÄN</t>
        </is>
      </c>
      <c r="G235" t="inlineStr">
        <is>
          <t>VÄSTERÅS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45457</v>
      </c>
      <c r="E236" s="1" t="n">
        <v>46281</v>
      </c>
      <c r="F236" t="inlineStr">
        <is>
          <t>VÄSTMANLANDS LÄN</t>
        </is>
      </c>
      <c r="G236" t="inlineStr">
        <is>
          <t>VÄSTERÅS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46281</v>
      </c>
      <c r="F237" t="inlineStr">
        <is>
          <t>VÄSTMANLANDS LÄN</t>
        </is>
      </c>
      <c r="G237" t="inlineStr">
        <is>
          <t>VÄSTERÅS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74314-2021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44559</v>
      </c>
      <c r="E238" s="1" t="n">
        <v>46281</v>
      </c>
      <c r="F238" t="inlineStr">
        <is>
          <t>VÄSTMANLANDS LÄN</t>
        </is>
      </c>
      <c r="G238" t="inlineStr">
        <is>
          <t>VÄSTERÅS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46281</v>
      </c>
      <c r="F239" t="inlineStr">
        <is>
          <t>VÄSTMANLANDS LÄN</t>
        </is>
      </c>
      <c r="G239" t="inlineStr">
        <is>
          <t>VÄSTERÅS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44595</v>
      </c>
      <c r="E240" s="1" t="n">
        <v>46281</v>
      </c>
      <c r="F240" t="inlineStr">
        <is>
          <t>VÄSTMANLANDS LÄN</t>
        </is>
      </c>
      <c r="G240" t="inlineStr">
        <is>
          <t>VÄSTERÅS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46281</v>
      </c>
      <c r="F241" t="inlineStr">
        <is>
          <t>VÄSTMANLANDS LÄN</t>
        </is>
      </c>
      <c r="G241" t="inlineStr">
        <is>
          <t>VÄSTERÅS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45251</v>
      </c>
      <c r="E242" s="1" t="n">
        <v>46281</v>
      </c>
      <c r="F242" t="inlineStr">
        <is>
          <t>VÄSTMANLANDS LÄN</t>
        </is>
      </c>
      <c r="G242" t="inlineStr">
        <is>
          <t>VÄSTERÅS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44659</v>
      </c>
      <c r="E243" s="1" t="n">
        <v>46281</v>
      </c>
      <c r="F243" t="inlineStr">
        <is>
          <t>VÄSTMANLANDS LÄN</t>
        </is>
      </c>
      <c r="G243" t="inlineStr">
        <is>
          <t>VÄSTERÅS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46281</v>
      </c>
      <c r="F244" t="inlineStr">
        <is>
          <t>VÄSTMANLANDS LÄN</t>
        </is>
      </c>
      <c r="G244" t="inlineStr">
        <is>
          <t>VÄSTERÅS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28341-2026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46196</v>
      </c>
      <c r="E245" s="1" t="n">
        <v>46281</v>
      </c>
      <c r="F245" t="inlineStr">
        <is>
          <t>VÄSTMANLANDS LÄN</t>
        </is>
      </c>
      <c r="G245" t="inlineStr">
        <is>
          <t>VÄSTERÅS</t>
        </is>
      </c>
      <c r="I245" t="n">
        <v>14.1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46281</v>
      </c>
      <c r="F246" t="inlineStr">
        <is>
          <t>VÄSTMANLANDS LÄN</t>
        </is>
      </c>
      <c r="G246" t="inlineStr">
        <is>
          <t>VÄSTERÅS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46281</v>
      </c>
      <c r="F247" t="inlineStr">
        <is>
          <t>VÄSTMANLANDS LÄN</t>
        </is>
      </c>
      <c r="G247" t="inlineStr">
        <is>
          <t>VÄSTERÅS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12258-2022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44637</v>
      </c>
      <c r="E248" s="1" t="n">
        <v>46281</v>
      </c>
      <c r="F248" t="inlineStr">
        <is>
          <t>VÄSTMANLANDS LÄN</t>
        </is>
      </c>
      <c r="G248" t="inlineStr">
        <is>
          <t>VÄSTERÅS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16214-2023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45028</v>
      </c>
      <c r="E249" s="1" t="n">
        <v>46281</v>
      </c>
      <c r="F249" t="inlineStr">
        <is>
          <t>VÄSTMANLANDS LÄN</t>
        </is>
      </c>
      <c r="G249" t="inlineStr">
        <is>
          <t>VÄSTERÅS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45160</v>
      </c>
      <c r="E250" s="1" t="n">
        <v>46281</v>
      </c>
      <c r="F250" t="inlineStr">
        <is>
          <t>VÄSTMANLANDS LÄN</t>
        </is>
      </c>
      <c r="G250" t="inlineStr">
        <is>
          <t>VÄSTERÅS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46281</v>
      </c>
      <c r="F251" t="inlineStr">
        <is>
          <t>VÄSTMANLANDS LÄN</t>
        </is>
      </c>
      <c r="G251" t="inlineStr">
        <is>
          <t>VÄSTERÅS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46281</v>
      </c>
      <c r="F252" t="inlineStr">
        <is>
          <t>VÄSTMANLANDS LÄN</t>
        </is>
      </c>
      <c r="G252" t="inlineStr">
        <is>
          <t>VÄSTERÅS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45125</v>
      </c>
      <c r="E253" s="1" t="n">
        <v>46281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50987-2024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46281</v>
      </c>
      <c r="F254" t="inlineStr">
        <is>
          <t>VÄSTMANLANDS LÄN</t>
        </is>
      </c>
      <c r="G254" t="inlineStr">
        <is>
          <t>VÄSTERÅS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45398</v>
      </c>
      <c r="E255" s="1" t="n">
        <v>46281</v>
      </c>
      <c r="F255" t="inlineStr">
        <is>
          <t>VÄSTMANLANDS LÄN</t>
        </is>
      </c>
      <c r="G255" t="inlineStr">
        <is>
          <t>VÄSTERÅS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18465-2023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45042</v>
      </c>
      <c r="E256" s="1" t="n">
        <v>46281</v>
      </c>
      <c r="F256" t="inlineStr">
        <is>
          <t>VÄSTMANLANDS LÄN</t>
        </is>
      </c>
      <c r="G256" t="inlineStr">
        <is>
          <t>VÄSTERÅS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73994-2021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44556</v>
      </c>
      <c r="E257" s="1" t="n">
        <v>46281</v>
      </c>
      <c r="F257" t="inlineStr">
        <is>
          <t>VÄSTMANLANDS LÄN</t>
        </is>
      </c>
      <c r="G257" t="inlineStr">
        <is>
          <t>VÄSTERÅS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45628</v>
      </c>
      <c r="E258" s="1" t="n">
        <v>46281</v>
      </c>
      <c r="F258" t="inlineStr">
        <is>
          <t>VÄSTMANLANDS LÄN</t>
        </is>
      </c>
      <c r="G258" t="inlineStr">
        <is>
          <t>VÄSTERÅS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46281</v>
      </c>
      <c r="F259" t="inlineStr">
        <is>
          <t>VÄSTMANLANDS LÄN</t>
        </is>
      </c>
      <c r="G259" t="inlineStr">
        <is>
          <t>VÄSTERÅS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73597-2021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44552</v>
      </c>
      <c r="E260" s="1" t="n">
        <v>46281</v>
      </c>
      <c r="F260" t="inlineStr">
        <is>
          <t>VÄSTMANLANDS LÄN</t>
        </is>
      </c>
      <c r="G260" t="inlineStr">
        <is>
          <t>VÄSTERÅS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44645</v>
      </c>
      <c r="E261" s="1" t="n">
        <v>46281</v>
      </c>
      <c r="F261" t="inlineStr">
        <is>
          <t>VÄSTMANLANDS LÄN</t>
        </is>
      </c>
      <c r="G261" t="inlineStr">
        <is>
          <t>VÄSTERÅS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31618-2024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45506</v>
      </c>
      <c r="E262" s="1" t="n">
        <v>46281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Kommuner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45110</v>
      </c>
      <c r="E263" s="1" t="n">
        <v>46281</v>
      </c>
      <c r="F263" t="inlineStr">
        <is>
          <t>VÄSTMANLANDS LÄN</t>
        </is>
      </c>
      <c r="G263" t="inlineStr">
        <is>
          <t>VÄSTERÅS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67350-2021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44523</v>
      </c>
      <c r="E264" s="1" t="n">
        <v>46281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46080</v>
      </c>
      <c r="E265" s="1" t="n">
        <v>46281</v>
      </c>
      <c r="F265" t="inlineStr">
        <is>
          <t>VÄSTMANLANDS LÄN</t>
        </is>
      </c>
      <c r="G265" t="inlineStr">
        <is>
          <t>VÄSTERÅS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44636</v>
      </c>
      <c r="E266" s="1" t="n">
        <v>46281</v>
      </c>
      <c r="F266" t="inlineStr">
        <is>
          <t>VÄSTMANLANDS LÄN</t>
        </is>
      </c>
      <c r="G266" t="inlineStr">
        <is>
          <t>VÄSTERÅS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55684-2023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45232</v>
      </c>
      <c r="E267" s="1" t="n">
        <v>46281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Övriga Aktiebolag</t>
        </is>
      </c>
      <c r="I267" t="n">
        <v>29.4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46281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39810-2024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45553</v>
      </c>
      <c r="E269" s="1" t="n">
        <v>46281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Kyrkan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45169</v>
      </c>
      <c r="E270" s="1" t="n">
        <v>46281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44623</v>
      </c>
      <c r="E271" s="1" t="n">
        <v>46281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15201-2022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44658</v>
      </c>
      <c r="E272" s="1" t="n">
        <v>46281</v>
      </c>
      <c r="F272" t="inlineStr">
        <is>
          <t>VÄSTMANLANDS LÄN</t>
        </is>
      </c>
      <c r="G272" t="inlineStr">
        <is>
          <t>VÄSTERÅS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11983-2022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44635</v>
      </c>
      <c r="E273" s="1" t="n">
        <v>46281</v>
      </c>
      <c r="F273" t="inlineStr">
        <is>
          <t>VÄSTMANLANDS LÄN</t>
        </is>
      </c>
      <c r="G273" t="inlineStr">
        <is>
          <t>VÄSTERÅS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11989-2022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44635</v>
      </c>
      <c r="E274" s="1" t="n">
        <v>46281</v>
      </c>
      <c r="F274" t="inlineStr">
        <is>
          <t>VÄSTMANLANDS LÄN</t>
        </is>
      </c>
      <c r="G274" t="inlineStr">
        <is>
          <t>VÄSTERÅS</t>
        </is>
      </c>
      <c r="I274" t="n">
        <v>12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8357-2022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44610</v>
      </c>
      <c r="E275" s="1" t="n">
        <v>46281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46215</v>
      </c>
      <c r="E276" s="1" t="n">
        <v>46281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46215</v>
      </c>
      <c r="E277" s="1" t="n">
        <v>46281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30970-2026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46213</v>
      </c>
      <c r="E278" s="1" t="n">
        <v>46281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46215</v>
      </c>
      <c r="E279" s="1" t="n">
        <v>46281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Sveaskog</t>
        </is>
      </c>
      <c r="I279" t="n">
        <v>9.800000000000001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46215</v>
      </c>
      <c r="E280" s="1" t="n">
        <v>46281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Sveaskog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46215</v>
      </c>
      <c r="E281" s="1" t="n">
        <v>46281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44635</v>
      </c>
      <c r="E282" s="1" t="n">
        <v>46281</v>
      </c>
      <c r="F282" t="inlineStr">
        <is>
          <t>VÄSTMANLANDS LÄN</t>
        </is>
      </c>
      <c r="G282" t="inlineStr">
        <is>
          <t>VÄSTERÅS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46281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46281</v>
      </c>
      <c r="F284" t="inlineStr">
        <is>
          <t>VÄSTMANLANDS LÄN</t>
        </is>
      </c>
      <c r="G284" t="inlineStr">
        <is>
          <t>VÄSTERÅS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21761-2022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44708</v>
      </c>
      <c r="E285" s="1" t="n">
        <v>46281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45705</v>
      </c>
      <c r="E286" s="1" t="n">
        <v>46281</v>
      </c>
      <c r="F286" t="inlineStr">
        <is>
          <t>VÄSTMANLANDS LÄN</t>
        </is>
      </c>
      <c r="G286" t="inlineStr">
        <is>
          <t>VÄSTERÅS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42257-2023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45180</v>
      </c>
      <c r="E287" s="1" t="n">
        <v>46281</v>
      </c>
      <c r="F287" t="inlineStr">
        <is>
          <t>VÄSTMANLANDS LÄN</t>
        </is>
      </c>
      <c r="G287" t="inlineStr">
        <is>
          <t>VÄSTERÅS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17725-2022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44680</v>
      </c>
      <c r="E288" s="1" t="n">
        <v>46281</v>
      </c>
      <c r="F288" t="inlineStr">
        <is>
          <t>VÄSTMANLANDS LÄN</t>
        </is>
      </c>
      <c r="G288" t="inlineStr">
        <is>
          <t>VÄSTERÅS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46281</v>
      </c>
      <c r="F289" t="inlineStr">
        <is>
          <t>VÄSTMANLANDS LÄN</t>
        </is>
      </c>
      <c r="G289" t="inlineStr">
        <is>
          <t>VÄSTERÅS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44743</v>
      </c>
      <c r="E290" s="1" t="n">
        <v>46281</v>
      </c>
      <c r="F290" t="inlineStr">
        <is>
          <t>VÄSTMANLANDS LÄN</t>
        </is>
      </c>
      <c r="G290" t="inlineStr">
        <is>
          <t>VÄSTERÅS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22287-2026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46281</v>
      </c>
      <c r="F291" t="inlineStr">
        <is>
          <t>VÄSTMANLANDS LÄN</t>
        </is>
      </c>
      <c r="G291" t="inlineStr">
        <is>
          <t>VÄSTERÅS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45019</v>
      </c>
      <c r="E292" s="1" t="n">
        <v>46281</v>
      </c>
      <c r="F292" t="inlineStr">
        <is>
          <t>VÄSTMANLANDS LÄN</t>
        </is>
      </c>
      <c r="G292" t="inlineStr">
        <is>
          <t>VÄSTERÅS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45153</v>
      </c>
      <c r="E293" s="1" t="n">
        <v>46281</v>
      </c>
      <c r="F293" t="inlineStr">
        <is>
          <t>VÄSTMANLANDS LÄN</t>
        </is>
      </c>
      <c r="G293" t="inlineStr">
        <is>
          <t>VÄSTERÅS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18467-2023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45042</v>
      </c>
      <c r="E294" s="1" t="n">
        <v>46281</v>
      </c>
      <c r="F294" t="inlineStr">
        <is>
          <t>VÄSTMANLANDS LÄN</t>
        </is>
      </c>
      <c r="G294" t="inlineStr">
        <is>
          <t>VÄSTERÅS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45033</v>
      </c>
      <c r="E295" s="1" t="n">
        <v>46281</v>
      </c>
      <c r="F295" t="inlineStr">
        <is>
          <t>VÄSTMANLANDS LÄN</t>
        </is>
      </c>
      <c r="G295" t="inlineStr">
        <is>
          <t>VÄSTERÅS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46265</v>
      </c>
      <c r="E296" s="1" t="n">
        <v>46281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10912-2024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45370</v>
      </c>
      <c r="E297" s="1" t="n">
        <v>46281</v>
      </c>
      <c r="F297" t="inlineStr">
        <is>
          <t>VÄSTMANLANDS LÄN</t>
        </is>
      </c>
      <c r="G297" t="inlineStr">
        <is>
          <t>VÄSTERÅS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45019</v>
      </c>
      <c r="E298" s="1" t="n">
        <v>46281</v>
      </c>
      <c r="F298" t="inlineStr">
        <is>
          <t>VÄSTMANLANDS LÄN</t>
        </is>
      </c>
      <c r="G298" t="inlineStr">
        <is>
          <t>VÄSTERÅS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46281</v>
      </c>
      <c r="F299" t="inlineStr">
        <is>
          <t>VÄSTMANLANDS LÄN</t>
        </is>
      </c>
      <c r="G299" t="inlineStr">
        <is>
          <t>VÄSTERÅS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46281</v>
      </c>
      <c r="F300" t="inlineStr">
        <is>
          <t>VÄSTMANLANDS LÄN</t>
        </is>
      </c>
      <c r="G300" t="inlineStr">
        <is>
          <t>VÄSTERÅS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46274</v>
      </c>
      <c r="E301" s="1" t="n">
        <v>46281</v>
      </c>
      <c r="F301" t="inlineStr">
        <is>
          <t>VÄSTMANLANDS LÄN</t>
        </is>
      </c>
      <c r="G301" t="inlineStr">
        <is>
          <t>VÄSTERÅS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46274</v>
      </c>
      <c r="E302" s="1" t="n">
        <v>46281</v>
      </c>
      <c r="F302" t="inlineStr">
        <is>
          <t>VÄSTMANLANDS LÄN</t>
        </is>
      </c>
      <c r="G302" t="inlineStr">
        <is>
          <t>VÄSTERÅS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46281</v>
      </c>
      <c r="F303" t="inlineStr">
        <is>
          <t>VÄSTMANLANDS LÄN</t>
        </is>
      </c>
      <c r="G303" t="inlineStr">
        <is>
          <t>VÄSTERÅS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46281</v>
      </c>
      <c r="F304" t="inlineStr">
        <is>
          <t>VÄSTMANLANDS LÄN</t>
        </is>
      </c>
      <c r="G304" t="inlineStr">
        <is>
          <t>VÄSTERÅS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46272</v>
      </c>
      <c r="E305" s="1" t="n">
        <v>46281</v>
      </c>
      <c r="F305" t="inlineStr">
        <is>
          <t>VÄSTMANLANDS LÄN</t>
        </is>
      </c>
      <c r="G305" t="inlineStr">
        <is>
          <t>VÄSTERÅS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45264</v>
      </c>
      <c r="E306" s="1" t="n">
        <v>46281</v>
      </c>
      <c r="F306" t="inlineStr">
        <is>
          <t>VÄSTMANLANDS LÄN</t>
        </is>
      </c>
      <c r="G306" t="inlineStr">
        <is>
          <t>VÄSTERÅS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46281</v>
      </c>
      <c r="F307" t="inlineStr">
        <is>
          <t>VÄSTMANLANDS LÄN</t>
        </is>
      </c>
      <c r="G307" t="inlineStr">
        <is>
          <t>VÄSTERÅS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46281</v>
      </c>
      <c r="F308" t="inlineStr">
        <is>
          <t>VÄSTMANLANDS LÄN</t>
        </is>
      </c>
      <c r="G308" t="inlineStr">
        <is>
          <t>VÄSTERÅS</t>
        </is>
      </c>
      <c r="I308" t="n">
        <v>15.4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46281</v>
      </c>
      <c r="F309" t="inlineStr">
        <is>
          <t>VÄSTMANLANDS LÄN</t>
        </is>
      </c>
      <c r="G309" t="inlineStr">
        <is>
          <t>VÄSTERÅS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46281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31623-2024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45506</v>
      </c>
      <c r="E311" s="1" t="n">
        <v>46281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Kommuner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46281</v>
      </c>
      <c r="F312" t="inlineStr">
        <is>
          <t>VÄSTMANLANDS LÄN</t>
        </is>
      </c>
      <c r="G312" t="inlineStr">
        <is>
          <t>VÄSTERÅS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56076-2023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45235</v>
      </c>
      <c r="E313" s="1" t="n">
        <v>46281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Övriga Aktiebolag</t>
        </is>
      </c>
      <c r="I313" t="n">
        <v>37.8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46281</v>
      </c>
      <c r="F314" t="inlineStr">
        <is>
          <t>VÄSTMANLANDS LÄN</t>
        </is>
      </c>
      <c r="G314" t="inlineStr">
        <is>
          <t>VÄSTERÅS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54537-2024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45617</v>
      </c>
      <c r="E315" s="1" t="n">
        <v>46281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46281</v>
      </c>
      <c r="F316" t="inlineStr">
        <is>
          <t>VÄSTMANLANDS LÄN</t>
        </is>
      </c>
      <c r="G316" t="inlineStr">
        <is>
          <t>VÄSTERÅS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45516</v>
      </c>
      <c r="E317" s="1" t="n">
        <v>46281</v>
      </c>
      <c r="F317" t="inlineStr">
        <is>
          <t>VÄSTMANLANDS LÄN</t>
        </is>
      </c>
      <c r="G317" t="inlineStr">
        <is>
          <t>VÄSTERÅS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44880</v>
      </c>
      <c r="E318" s="1" t="n">
        <v>46281</v>
      </c>
      <c r="F318" t="inlineStr">
        <is>
          <t>VÄSTMANLANDS LÄN</t>
        </is>
      </c>
      <c r="G318" t="inlineStr">
        <is>
          <t>VÄSTERÅS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44880</v>
      </c>
      <c r="E319" s="1" t="n">
        <v>46281</v>
      </c>
      <c r="F319" t="inlineStr">
        <is>
          <t>VÄSTMANLANDS LÄN</t>
        </is>
      </c>
      <c r="G319" t="inlineStr">
        <is>
          <t>VÄSTERÅS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46281</v>
      </c>
      <c r="F320" t="inlineStr">
        <is>
          <t>VÄSTMANLANDS LÄN</t>
        </is>
      </c>
      <c r="G320" t="inlineStr">
        <is>
          <t>VÄSTERÅS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46281</v>
      </c>
      <c r="F321" t="inlineStr">
        <is>
          <t>VÄSTMANLANDS LÄN</t>
        </is>
      </c>
      <c r="G321" t="inlineStr">
        <is>
          <t>VÄSTERÅS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46281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46281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46281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953-2023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45005</v>
      </c>
      <c r="E325" s="1" t="n">
        <v>46281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46281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46281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46281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2026-09-16T02:01:23Z</dcterms:created>
  <dcterms:modified xmlns:dcterms="http://purl.org/dc/terms/" xmlns:xsi="http://www.w3.org/2001/XMLSchema-instance" xsi:type="dcterms:W3CDTF">2026-09-16T02:01:23Z</dcterms:modified>
</cp:coreProperties>
</file>