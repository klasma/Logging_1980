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46294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46294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46294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46294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46294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46294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46294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46294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46294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46294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46294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46294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46294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46294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59143-2025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46294</v>
      </c>
      <c r="F26" t="inlineStr">
        <is>
          <t>VÄSTMANLANDS LÄN</t>
        </is>
      </c>
      <c r="G26" t="inlineStr">
        <is>
          <t>VÄSTERÅS</t>
        </is>
      </c>
      <c r="H26" t="inlineStr">
        <is>
          <t>Sveaskog</t>
        </is>
      </c>
      <c r="I26" t="n">
        <v>12.4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Grönpyrola
Järpe
Fiskgjuse</t>
        </is>
      </c>
      <c r="W26">
        <f>HYPERLINK("https://klasma.github.io/Logging_1980/artfynd/A 59143-2025 artfynd.xlsx", "A 59143-2025")</f>
        <v/>
      </c>
      <c r="X26">
        <f>HYPERLINK("https://klasma.github.io/Logging_1980/kartor/A 59143-2025 karta.png", "A 59143-2025")</f>
        <v/>
      </c>
      <c r="Y26">
        <f>HYPERLINK("https://klasma.github.io/Logging_1980/kartor_geotiff/A 59143-2025 georefererad karta.tif", "A 59143-2025")</f>
        <v/>
      </c>
      <c r="AA26">
        <f>HYPERLINK("https://klasma.github.io/Logging_1980/klagomål/A 59143-2025 FSC-klagomål.docx", "A 59143-2025")</f>
        <v/>
      </c>
      <c r="AB26">
        <f>HYPERLINK("https://klasma.github.io/Logging_1980/klagomålsmail/A 59143-2025 FSC-klagomål mail.docx", "A 59143-2025")</f>
        <v/>
      </c>
      <c r="AC26">
        <f>HYPERLINK("https://klasma.github.io/Logging_1980/tillsyn/A 59143-2025 tillsynsbegäran.docx", "A 59143-2025")</f>
        <v/>
      </c>
      <c r="AD26">
        <f>HYPERLINK("https://klasma.github.io/Logging_1980/tillsynsmail/A 59143-2025 tillsynsbegäran mail.docx", "A 59143-2025")</f>
        <v/>
      </c>
      <c r="AE26">
        <f>HYPERLINK("https://klasma.github.io/Logging_1980/fåglar/A 59143-2025 prioriterade fågelarter.docx", "A 59143-2025")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46294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46294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14265-2025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46294</v>
      </c>
      <c r="F29" t="inlineStr">
        <is>
          <t>VÄSTMANLANDS LÄN</t>
        </is>
      </c>
      <c r="G29" t="inlineStr">
        <is>
          <t>VÄSTERÅS</t>
        </is>
      </c>
      <c r="I29" t="n">
        <v>2.1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9</v>
      </c>
      <c r="U29" t="n">
        <v>0</v>
      </c>
      <c r="V29" s="2" t="inlineStr">
        <is>
          <t>Knärot
Tallticka
Blåsippa</t>
        </is>
      </c>
      <c r="W29">
        <f>HYPERLINK("https://klasma.github.io/Logging_1980/artfynd/A 14265-2025 artfynd.xlsx", "A 14265-2025")</f>
        <v/>
      </c>
      <c r="X29">
        <f>HYPERLINK("https://klasma.github.io/Logging_1980/kartor/A 14265-2025 karta.png", "A 14265-2025")</f>
        <v/>
      </c>
      <c r="Y29">
        <f>HYPERLINK("https://klasma.github.io/Logging_1980/kartor_geotiff/A 14265-2025 georefererad karta.tif", "A 14265-2025")</f>
        <v/>
      </c>
      <c r="Z29">
        <f>HYPERLINK("https://klasma.github.io/Logging_1980/knärot/A 14265-2025 karta knärot.png", "A 14265-2025")</f>
        <v/>
      </c>
      <c r="AA29">
        <f>HYPERLINK("https://klasma.github.io/Logging_1980/klagomål/A 14265-2025 FSC-klagomål.docx", "A 14265-2025")</f>
        <v/>
      </c>
      <c r="AB29">
        <f>HYPERLINK("https://klasma.github.io/Logging_1980/klagomålsmail/A 14265-2025 FSC-klagomål mail.docx", "A 14265-2025")</f>
        <v/>
      </c>
      <c r="AC29">
        <f>HYPERLINK("https://klasma.github.io/Logging_1980/tillsyn/A 14265-2025 tillsynsbegäran.docx", "A 14265-2025")</f>
        <v/>
      </c>
      <c r="AD29">
        <f>HYPERLINK("https://klasma.github.io/Logging_1980/tillsynsmail/A 14265-2025 tillsynsbegäran mail.docx", "A 14265-2025")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46294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11804-2022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44634</v>
      </c>
      <c r="E31" s="1" t="n">
        <v>46294</v>
      </c>
      <c r="F31" t="inlineStr">
        <is>
          <t>VÄSTMANLANDS LÄN</t>
        </is>
      </c>
      <c r="G31" t="inlineStr">
        <is>
          <t>VÄSTERÅS</t>
        </is>
      </c>
      <c r="I31" t="n">
        <v>10.6</v>
      </c>
      <c r="J31" t="n">
        <v>1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Ask
Svart trolldruva
Nattviol</t>
        </is>
      </c>
      <c r="W31">
        <f>HYPERLINK("https://klasma.github.io/Logging_1980/artfynd/A 11804-2022 artfynd.xlsx", "A 11804-2022")</f>
        <v/>
      </c>
      <c r="X31">
        <f>HYPERLINK("https://klasma.github.io/Logging_1980/kartor/A 11804-2022 karta.png", "A 11804-2022")</f>
        <v/>
      </c>
      <c r="Y31">
        <f>HYPERLINK("https://klasma.github.io/Logging_1980/kartor_geotiff/A 11804-2022 georefererad karta.tif", "A 11804-2022")</f>
        <v/>
      </c>
      <c r="AA31">
        <f>HYPERLINK("https://klasma.github.io/Logging_1980/klagomål/A 11804-2022 FSC-klagomål.docx", "A 11804-2022")</f>
        <v/>
      </c>
      <c r="AB31">
        <f>HYPERLINK("https://klasma.github.io/Logging_1980/klagomålsmail/A 11804-2022 FSC-klagomål mail.docx", "A 11804-2022")</f>
        <v/>
      </c>
      <c r="AC31">
        <f>HYPERLINK("https://klasma.github.io/Logging_1980/tillsyn/A 11804-2022 tillsynsbegäran.docx", "A 11804-2022")</f>
        <v/>
      </c>
      <c r="AD31">
        <f>HYPERLINK("https://klasma.github.io/Logging_1980/tillsynsmail/A 11804-2022 tillsynsbegäran mail.docx", "A 11804-2022")</f>
        <v/>
      </c>
    </row>
    <row r="32" ht="15" customHeight="1">
      <c r="A32" t="inlineStr">
        <is>
          <t>S 4578-2023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45281</v>
      </c>
      <c r="E32" s="1" t="n">
        <v>46294</v>
      </c>
      <c r="F32" t="inlineStr">
        <is>
          <t>VÄSTMANLANDS LÄN</t>
        </is>
      </c>
      <c r="G32" t="inlineStr">
        <is>
          <t>VÄSTERÅS</t>
        </is>
      </c>
      <c r="H32" t="inlineStr">
        <is>
          <t>Övriga Aktiebolag</t>
        </is>
      </c>
      <c r="I32" t="n">
        <v>4.1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Backsippa
Vårstarr
Gullviva</t>
        </is>
      </c>
      <c r="W32">
        <f>HYPERLINK("https://klasma.github.io/Logging_1980/artfynd/S 4578-2023 artfynd.xlsx", "S 4578-2023")</f>
        <v/>
      </c>
      <c r="X32">
        <f>HYPERLINK("https://klasma.github.io/Logging_1980/kartor/S 4578-2023 karta.png", "S 4578-2023")</f>
        <v/>
      </c>
      <c r="Y32">
        <f>HYPERLINK("https://klasma.github.io/Logging_1980/kartor_geotiff/S 4578-2023 georefererad karta.tif", "S 4578-2023")</f>
        <v/>
      </c>
      <c r="AA32">
        <f>HYPERLINK("https://klasma.github.io/Logging_1980/klagomål/S 4578-2023 FSC-klagomål.docx", "S 4578-2023")</f>
        <v/>
      </c>
      <c r="AB32">
        <f>HYPERLINK("https://klasma.github.io/Logging_1980/klagomålsmail/S 4578-2023 FSC-klagomål mail.docx", "S 4578-2023")</f>
        <v/>
      </c>
      <c r="AC32">
        <f>HYPERLINK("https://klasma.github.io/Logging_1980/tillsyn/S 4578-2023 tillsynsbegäran.docx", "S 4578-2023")</f>
        <v/>
      </c>
      <c r="AD32">
        <f>HYPERLINK("https://klasma.github.io/Logging_1980/tillsynsmail/S 4578-2023 tillsynsbegäran mail.docx", "S 4578-2023")</f>
        <v/>
      </c>
    </row>
    <row r="33" ht="15" customHeight="1">
      <c r="A33" t="inlineStr">
        <is>
          <t>A 17261-2022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44678</v>
      </c>
      <c r="E33" s="1" t="n">
        <v>46294</v>
      </c>
      <c r="F33" t="inlineStr">
        <is>
          <t>VÄSTMANLANDS LÄN</t>
        </is>
      </c>
      <c r="G33" t="inlineStr">
        <is>
          <t>VÄSTERÅS</t>
        </is>
      </c>
      <c r="I33" t="n">
        <v>1.1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Skumticka
Svartöra</t>
        </is>
      </c>
      <c r="W33">
        <f>HYPERLINK("https://klasma.github.io/Logging_1980/artfynd/A 17261-2022 artfynd.xlsx", "A 17261-2022")</f>
        <v/>
      </c>
      <c r="X33">
        <f>HYPERLINK("https://klasma.github.io/Logging_1980/kartor/A 17261-2022 karta.png", "A 17261-2022")</f>
        <v/>
      </c>
      <c r="Y33">
        <f>HYPERLINK("https://klasma.github.io/Logging_1980/kartor_geotiff/A 17261-2022 georefererad karta.tif", "A 17261-2022")</f>
        <v/>
      </c>
      <c r="AA33">
        <f>HYPERLINK("https://klasma.github.io/Logging_1980/klagomål/A 17261-2022 FSC-klagomål.docx", "A 17261-2022")</f>
        <v/>
      </c>
      <c r="AB33">
        <f>HYPERLINK("https://klasma.github.io/Logging_1980/klagomålsmail/A 17261-2022 FSC-klagomål mail.docx", "A 17261-2022")</f>
        <v/>
      </c>
      <c r="AC33">
        <f>HYPERLINK("https://klasma.github.io/Logging_1980/tillsyn/A 17261-2022 tillsynsbegäran.docx", "A 17261-2022")</f>
        <v/>
      </c>
      <c r="AD33">
        <f>HYPERLINK("https://klasma.github.io/Logging_1980/tillsynsmail/A 17261-2022 tillsynsbegäran mail.docx", "A 17261-2022")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46294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46294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59140-2025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46294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3.6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Järpe
Fiskgjuse</t>
        </is>
      </c>
      <c r="W36">
        <f>HYPERLINK("https://klasma.github.io/Logging_1980/artfynd/A 59140-2025 artfynd.xlsx", "A 59140-2025")</f>
        <v/>
      </c>
      <c r="X36">
        <f>HYPERLINK("https://klasma.github.io/Logging_1980/kartor/A 59140-2025 karta.png", "A 59140-2025")</f>
        <v/>
      </c>
      <c r="Y36">
        <f>HYPERLINK("https://klasma.github.io/Logging_1980/kartor_geotiff/A 59140-2025 georefererad karta.tif", "A 59140-2025")</f>
        <v/>
      </c>
      <c r="AA36">
        <f>HYPERLINK("https://klasma.github.io/Logging_1980/klagomål/A 59140-2025 FSC-klagomål.docx", "A 59140-2025")</f>
        <v/>
      </c>
      <c r="AB36">
        <f>HYPERLINK("https://klasma.github.io/Logging_1980/klagomålsmail/A 59140-2025 FSC-klagomål mail.docx", "A 59140-2025")</f>
        <v/>
      </c>
      <c r="AC36">
        <f>HYPERLINK("https://klasma.github.io/Logging_1980/tillsyn/A 59140-2025 tillsynsbegäran.docx", "A 59140-2025")</f>
        <v/>
      </c>
      <c r="AD36">
        <f>HYPERLINK("https://klasma.github.io/Logging_1980/tillsynsmail/A 59140-2025 tillsynsbegäran mail.docx", "A 59140-2025")</f>
        <v/>
      </c>
      <c r="AE36">
        <f>HYPERLINK("https://klasma.github.io/Logging_1980/fåglar/A 59140-2025 prioriterade fågelarter.docx", "A 59140-2025")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46294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46294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46294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S 2846-2025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45942</v>
      </c>
      <c r="E40" s="1" t="n">
        <v>46294</v>
      </c>
      <c r="F40" t="inlineStr">
        <is>
          <t>VÄSTMANLANDS LÄN</t>
        </is>
      </c>
      <c r="G40" t="inlineStr">
        <is>
          <t>VÄSTERÅS</t>
        </is>
      </c>
      <c r="I40" t="n">
        <v>3.7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Svart trolldruva</t>
        </is>
      </c>
      <c r="W40">
        <f>HYPERLINK("https://klasma.github.io/Logging_1980/artfynd/S 2846-2025 artfynd.xlsx", "S 2846-2025")</f>
        <v/>
      </c>
      <c r="X40">
        <f>HYPERLINK("https://klasma.github.io/Logging_1980/kartor/S 2846-2025 karta.png", "S 2846-2025")</f>
        <v/>
      </c>
      <c r="Y40">
        <f>HYPERLINK("https://klasma.github.io/Logging_1980/kartor_geotiff/S 2846-2025 georefererad karta.tif", "S 2846-2025")</f>
        <v/>
      </c>
      <c r="AA40">
        <f>HYPERLINK("https://klasma.github.io/Logging_1980/klagomål/S 2846-2025 FSC-klagomål.docx", "S 2846-2025")</f>
        <v/>
      </c>
      <c r="AB40">
        <f>HYPERLINK("https://klasma.github.io/Logging_1980/klagomålsmail/S 2846-2025 FSC-klagomål mail.docx", "S 2846-2025")</f>
        <v/>
      </c>
      <c r="AC40">
        <f>HYPERLINK("https://klasma.github.io/Logging_1980/tillsyn/S 2846-2025 tillsynsbegäran.docx", "S 2846-2025")</f>
        <v/>
      </c>
      <c r="AD40">
        <f>HYPERLINK("https://klasma.github.io/Logging_1980/tillsynsmail/S 2846-2025 tillsynsbegäran mail.docx", "S 2846-2025")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46294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46294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HYPERLINK("https://klasma.github.io/Logging_1980/artfynd/A 7534-2022 artfynd.xlsx", "A 7534-2022")</f>
        <v/>
      </c>
      <c r="X42">
        <f>HYPERLINK("https://klasma.github.io/Logging_1980/kartor/A 7534-2022 karta.png", "A 7534-2022")</f>
        <v/>
      </c>
      <c r="Y42">
        <f>HYPERLINK("https://klasma.github.io/Logging_1980/kartor_geotiff/A 7534-2022 georefererad karta.tif", "A 7534-2022")</f>
        <v/>
      </c>
      <c r="AA42">
        <f>HYPERLINK("https://klasma.github.io/Logging_1980/klagomål/A 7534-2022 FSC-klagomål.docx", "A 7534-2022")</f>
        <v/>
      </c>
      <c r="AB42">
        <f>HYPERLINK("https://klasma.github.io/Logging_1980/klagomålsmail/A 7534-2022 FSC-klagomål mail.docx", "A 7534-2022")</f>
        <v/>
      </c>
      <c r="AC42">
        <f>HYPERLINK("https://klasma.github.io/Logging_1980/tillsyn/A 7534-2022 tillsynsbegäran.docx", "A 7534-2022")</f>
        <v/>
      </c>
      <c r="AD42">
        <f>HYPERLINK("https://klasma.github.io/Logging_1980/tillsynsmail/A 7534-2022 tillsynsbegäran mail.docx", "A 7534-2022")</f>
        <v/>
      </c>
    </row>
    <row r="43" ht="15" customHeight="1">
      <c r="A43" t="inlineStr">
        <is>
          <t>A 55676-2023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45232</v>
      </c>
      <c r="E43" s="1" t="n">
        <v>46294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37.9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HYPERLINK("https://klasma.github.io/Logging_1980/artfynd/A 55676-2023 artfynd.xlsx", "A 55676-2023")</f>
        <v/>
      </c>
      <c r="X43">
        <f>HYPERLINK("https://klasma.github.io/Logging_1980/kartor/A 55676-2023 karta.png", "A 55676-2023")</f>
        <v/>
      </c>
      <c r="Y43">
        <f>HYPERLINK("https://klasma.github.io/Logging_1980/kartor_geotiff/A 55676-2023 georefererad karta.tif", "A 55676-2023")</f>
        <v/>
      </c>
      <c r="AA43">
        <f>HYPERLINK("https://klasma.github.io/Logging_1980/klagomål/A 55676-2023 FSC-klagomål.docx", "A 55676-2023")</f>
        <v/>
      </c>
      <c r="AB43">
        <f>HYPERLINK("https://klasma.github.io/Logging_1980/klagomålsmail/A 55676-2023 FSC-klagomål mail.docx", "A 55676-2023")</f>
        <v/>
      </c>
      <c r="AC43">
        <f>HYPERLINK("https://klasma.github.io/Logging_1980/tillsyn/A 55676-2023 tillsynsbegäran.docx", "A 55676-2023")</f>
        <v/>
      </c>
      <c r="AD43">
        <f>HYPERLINK("https://klasma.github.io/Logging_1980/tillsynsmail/A 55676-2023 tillsynsbegäran mail.docx", "A 55676-2023")</f>
        <v/>
      </c>
      <c r="AE43">
        <f>HYPERLINK("https://klasma.github.io/Logging_1980/fåglar/A 55676-2023 prioriterade fågelarter.docx", "A 55676-2023")</f>
        <v/>
      </c>
    </row>
    <row r="44" ht="15" customHeight="1">
      <c r="A44" t="inlineStr">
        <is>
          <t>A 50193-2022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46294</v>
      </c>
      <c r="F44" t="inlineStr">
        <is>
          <t>VÄSTMANLANDS LÄN</t>
        </is>
      </c>
      <c r="G44" t="inlineStr">
        <is>
          <t>VÄSTERÅS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HYPERLINK("https://klasma.github.io/Logging_1980/artfynd/A 50193-2022 artfynd.xlsx", "A 50193-2022")</f>
        <v/>
      </c>
      <c r="X44">
        <f>HYPERLINK("https://klasma.github.io/Logging_1980/kartor/A 50193-2022 karta.png", "A 50193-2022")</f>
        <v/>
      </c>
      <c r="Y44">
        <f>HYPERLINK("https://klasma.github.io/Logging_1980/kartor_geotiff/A 50193-2022 georefererad karta.tif", "A 50193-2022")</f>
        <v/>
      </c>
      <c r="AA44">
        <f>HYPERLINK("https://klasma.github.io/Logging_1980/klagomål/A 50193-2022 FSC-klagomål.docx", "A 50193-2022")</f>
        <v/>
      </c>
      <c r="AB44">
        <f>HYPERLINK("https://klasma.github.io/Logging_1980/klagomålsmail/A 50193-2022 FSC-klagomål mail.docx", "A 50193-2022")</f>
        <v/>
      </c>
      <c r="AC44">
        <f>HYPERLINK("https://klasma.github.io/Logging_1980/tillsyn/A 50193-2022 tillsynsbegäran.docx", "A 50193-2022")</f>
        <v/>
      </c>
      <c r="AD44">
        <f>HYPERLINK("https://klasma.github.io/Logging_1980/tillsynsmail/A 50193-2022 tillsynsbegäran mail.docx", "A 50193-2022")</f>
        <v/>
      </c>
    </row>
    <row r="45" ht="15" customHeight="1">
      <c r="A45" t="inlineStr">
        <is>
          <t>A 26568-2022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44739</v>
      </c>
      <c r="E45" s="1" t="n">
        <v>46294</v>
      </c>
      <c r="F45" t="inlineStr">
        <is>
          <t>VÄSTMANLANDS LÄN</t>
        </is>
      </c>
      <c r="G45" t="inlineStr">
        <is>
          <t>VÄSTERÅS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Mistel</t>
        </is>
      </c>
      <c r="W45">
        <f>HYPERLINK("https://klasma.github.io/Logging_1980/artfynd/A 26568-2022 artfynd.xlsx", "A 26568-2022")</f>
        <v/>
      </c>
      <c r="X45">
        <f>HYPERLINK("https://klasma.github.io/Logging_1980/kartor/A 26568-2022 karta.png", "A 26568-2022")</f>
        <v/>
      </c>
      <c r="Y45">
        <f>HYPERLINK("https://klasma.github.io/Logging_1980/kartor_geotiff/A 26568-2022 georefererad karta.tif", "A 26568-2022")</f>
        <v/>
      </c>
      <c r="AA45">
        <f>HYPERLINK("https://klasma.github.io/Logging_1980/klagomål/A 26568-2022 FSC-klagomål.docx", "A 26568-2022")</f>
        <v/>
      </c>
      <c r="AB45">
        <f>HYPERLINK("https://klasma.github.io/Logging_1980/klagomålsmail/A 26568-2022 FSC-klagomål mail.docx", "A 26568-2022")</f>
        <v/>
      </c>
      <c r="AC45">
        <f>HYPERLINK("https://klasma.github.io/Logging_1980/tillsyn/A 26568-2022 tillsynsbegäran.docx", "A 26568-2022")</f>
        <v/>
      </c>
      <c r="AD45">
        <f>HYPERLINK("https://klasma.github.io/Logging_1980/tillsynsmail/A 26568-2022 tillsynsbegäran mail.docx", "A 26568-2022")</f>
        <v/>
      </c>
    </row>
    <row r="46" ht="15" customHeight="1">
      <c r="A46" t="inlineStr">
        <is>
          <t>A 12905-2022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46294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23.9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HYPERLINK("https://klasma.github.io/Logging_1980/artfynd/A 12905-2022 artfynd.xlsx", "A 12905-2022")</f>
        <v/>
      </c>
      <c r="X46">
        <f>HYPERLINK("https://klasma.github.io/Logging_1980/kartor/A 12905-2022 karta.png", "A 12905-2022")</f>
        <v/>
      </c>
      <c r="Y46">
        <f>HYPERLINK("https://klasma.github.io/Logging_1980/kartor_geotiff/A 12905-2022 georefererad karta.tif", "A 12905-2022")</f>
        <v/>
      </c>
      <c r="AA46">
        <f>HYPERLINK("https://klasma.github.io/Logging_1980/klagomål/A 12905-2022 FSC-klagomål.docx", "A 12905-2022")</f>
        <v/>
      </c>
      <c r="AB46">
        <f>HYPERLINK("https://klasma.github.io/Logging_1980/klagomålsmail/A 12905-2022 FSC-klagomål mail.docx", "A 12905-2022")</f>
        <v/>
      </c>
      <c r="AC46">
        <f>HYPERLINK("https://klasma.github.io/Logging_1980/tillsyn/A 12905-2022 tillsynsbegäran.docx", "A 12905-2022")</f>
        <v/>
      </c>
      <c r="AD46">
        <f>HYPERLINK("https://klasma.github.io/Logging_1980/tillsynsmail/A 12905-2022 tillsynsbegäran mail.docx", "A 12905-2022")</f>
        <v/>
      </c>
    </row>
    <row r="47" ht="15" customHeight="1">
      <c r="A47" t="inlineStr">
        <is>
          <t>A 8362-2022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44610</v>
      </c>
      <c r="E47" s="1" t="n">
        <v>46294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3.7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Köpingfibbla</t>
        </is>
      </c>
      <c r="W47">
        <f>HYPERLINK("https://klasma.github.io/Logging_1980/artfynd/A 8362-2022 artfynd.xlsx", "A 8362-2022")</f>
        <v/>
      </c>
      <c r="X47">
        <f>HYPERLINK("https://klasma.github.io/Logging_1980/kartor/A 8362-2022 karta.png", "A 8362-2022")</f>
        <v/>
      </c>
      <c r="Y47">
        <f>HYPERLINK("https://klasma.github.io/Logging_1980/kartor_geotiff/A 8362-2022 georefererad karta.tif", "A 8362-2022")</f>
        <v/>
      </c>
      <c r="AA47">
        <f>HYPERLINK("https://klasma.github.io/Logging_1980/klagomål/A 8362-2022 FSC-klagomål.docx", "A 8362-2022")</f>
        <v/>
      </c>
      <c r="AB47">
        <f>HYPERLINK("https://klasma.github.io/Logging_1980/klagomålsmail/A 8362-2022 FSC-klagomål mail.docx", "A 8362-2022")</f>
        <v/>
      </c>
      <c r="AC47">
        <f>HYPERLINK("https://klasma.github.io/Logging_1980/tillsyn/A 8362-2022 tillsynsbegäran.docx", "A 8362-2022")</f>
        <v/>
      </c>
      <c r="AD47">
        <f>HYPERLINK("https://klasma.github.io/Logging_1980/tillsynsmail/A 8362-2022 tillsynsbegäran mail.docx", "A 8362-2022")</f>
        <v/>
      </c>
    </row>
    <row r="48" ht="15" customHeight="1">
      <c r="A48" t="inlineStr">
        <is>
          <t>A 40886-2025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46294</v>
      </c>
      <c r="F48" t="inlineStr">
        <is>
          <t>VÄSTMANLANDS LÄN</t>
        </is>
      </c>
      <c r="G48" t="inlineStr">
        <is>
          <t>VÄSTERÅS</t>
        </is>
      </c>
      <c r="I48" t="n">
        <v>1.5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Grönpyrola</t>
        </is>
      </c>
      <c r="W48">
        <f>HYPERLINK("https://klasma.github.io/Logging_1980/artfynd/A 40886-2025 artfynd.xlsx", "A 40886-2025")</f>
        <v/>
      </c>
      <c r="X48">
        <f>HYPERLINK("https://klasma.github.io/Logging_1980/kartor/A 40886-2025 karta.png", "A 40886-2025")</f>
        <v/>
      </c>
      <c r="Y48">
        <f>HYPERLINK("https://klasma.github.io/Logging_1980/kartor_geotiff/A 40886-2025 georefererad karta.tif", "A 40886-2025")</f>
        <v/>
      </c>
      <c r="AA48">
        <f>HYPERLINK("https://klasma.github.io/Logging_1980/klagomål/A 40886-2025 FSC-klagomål.docx", "A 40886-2025")</f>
        <v/>
      </c>
      <c r="AB48">
        <f>HYPERLINK("https://klasma.github.io/Logging_1980/klagomålsmail/A 40886-2025 FSC-klagomål mail.docx", "A 40886-2025")</f>
        <v/>
      </c>
      <c r="AC48">
        <f>HYPERLINK("https://klasma.github.io/Logging_1980/tillsyn/A 40886-2025 tillsynsbegäran.docx", "A 40886-2025")</f>
        <v/>
      </c>
      <c r="AD48">
        <f>HYPERLINK("https://klasma.github.io/Logging_1980/tillsynsmail/A 40886-2025 tillsynsbegäran mail.docx", "A 40886-2025")</f>
        <v/>
      </c>
    </row>
    <row r="49" ht="15" customHeight="1">
      <c r="A49" t="inlineStr">
        <is>
          <t>A 51147-2023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46294</v>
      </c>
      <c r="F49" t="inlineStr">
        <is>
          <t>VÄSTMANLANDS LÄN</t>
        </is>
      </c>
      <c r="G49" t="inlineStr">
        <is>
          <t>VÄSTERÅS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Mindre märgborre</t>
        </is>
      </c>
      <c r="W49">
        <f>HYPERLINK("https://klasma.github.io/Logging_1980/artfynd/A 51147-2023 artfynd.xlsx", "A 51147-2023")</f>
        <v/>
      </c>
      <c r="X49">
        <f>HYPERLINK("https://klasma.github.io/Logging_1980/kartor/A 51147-2023 karta.png", "A 51147-2023")</f>
        <v/>
      </c>
      <c r="Y49">
        <f>HYPERLINK("https://klasma.github.io/Logging_1980/kartor_geotiff/A 51147-2023 georefererad karta.tif", "A 51147-2023")</f>
        <v/>
      </c>
      <c r="AA49">
        <f>HYPERLINK("https://klasma.github.io/Logging_1980/klagomål/A 51147-2023 FSC-klagomål.docx", "A 51147-2023")</f>
        <v/>
      </c>
      <c r="AB49">
        <f>HYPERLINK("https://klasma.github.io/Logging_1980/klagomålsmail/A 51147-2023 FSC-klagomål mail.docx", "A 51147-2023")</f>
        <v/>
      </c>
      <c r="AC49">
        <f>HYPERLINK("https://klasma.github.io/Logging_1980/tillsyn/A 51147-2023 tillsynsbegäran.docx", "A 51147-2023")</f>
        <v/>
      </c>
      <c r="AD49">
        <f>HYPERLINK("https://klasma.github.io/Logging_1980/tillsynsmail/A 51147-2023 tillsynsbegäran mail.docx", "A 51147-2023")</f>
        <v/>
      </c>
    </row>
    <row r="50" ht="15" customHeight="1">
      <c r="A50" t="inlineStr">
        <is>
          <t>A 16374-2025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46294</v>
      </c>
      <c r="F50" t="inlineStr">
        <is>
          <t>VÄSTMANLANDS LÄN</t>
        </is>
      </c>
      <c r="G50" t="inlineStr">
        <is>
          <t>VÄSTERÅS</t>
        </is>
      </c>
      <c r="I50" t="n">
        <v>0.6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Lönnlav</t>
        </is>
      </c>
      <c r="W50">
        <f>HYPERLINK("https://klasma.github.io/Logging_1980/artfynd/A 16374-2025 artfynd.xlsx", "A 16374-2025")</f>
        <v/>
      </c>
      <c r="X50">
        <f>HYPERLINK("https://klasma.github.io/Logging_1980/kartor/A 16374-2025 karta.png", "A 16374-2025")</f>
        <v/>
      </c>
      <c r="Y50">
        <f>HYPERLINK("https://klasma.github.io/Logging_1980/kartor_geotiff/A 16374-2025 georefererad karta.tif", "A 16374-2025")</f>
        <v/>
      </c>
      <c r="AA50">
        <f>HYPERLINK("https://klasma.github.io/Logging_1980/klagomål/A 16374-2025 FSC-klagomål.docx", "A 16374-2025")</f>
        <v/>
      </c>
      <c r="AB50">
        <f>HYPERLINK("https://klasma.github.io/Logging_1980/klagomålsmail/A 16374-2025 FSC-klagomål mail.docx", "A 16374-2025")</f>
        <v/>
      </c>
      <c r="AC50">
        <f>HYPERLINK("https://klasma.github.io/Logging_1980/tillsyn/A 16374-2025 tillsynsbegäran.docx", "A 16374-2025")</f>
        <v/>
      </c>
      <c r="AD50">
        <f>HYPERLINK("https://klasma.github.io/Logging_1980/tillsynsmail/A 16374-2025 tillsynsbegäran mail.docx", "A 16374-2025")</f>
        <v/>
      </c>
    </row>
    <row r="51" ht="15" customHeight="1">
      <c r="A51" t="inlineStr">
        <is>
          <t>A 12950-2023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46294</v>
      </c>
      <c r="F51" t="inlineStr">
        <is>
          <t>VÄSTMANLANDS LÄN</t>
        </is>
      </c>
      <c r="G51" t="inlineStr">
        <is>
          <t>VÄSTERÅS</t>
        </is>
      </c>
      <c r="I51" t="n">
        <v>2.1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HYPERLINK("https://klasma.github.io/Logging_1980/artfynd/A 12950-2023 artfynd.xlsx", "A 12950-2023")</f>
        <v/>
      </c>
      <c r="X51">
        <f>HYPERLINK("https://klasma.github.io/Logging_1980/kartor/A 12950-2023 karta.png", "A 12950-2023")</f>
        <v/>
      </c>
      <c r="Y51">
        <f>HYPERLINK("https://klasma.github.io/Logging_1980/kartor_geotiff/A 12950-2023 georefererad karta.tif", "A 12950-2023")</f>
        <v/>
      </c>
      <c r="AA51">
        <f>HYPERLINK("https://klasma.github.io/Logging_1980/klagomål/A 12950-2023 FSC-klagomål.docx", "A 12950-2023")</f>
        <v/>
      </c>
      <c r="AB51">
        <f>HYPERLINK("https://klasma.github.io/Logging_1980/klagomålsmail/A 12950-2023 FSC-klagomål mail.docx", "A 12950-2023")</f>
        <v/>
      </c>
      <c r="AC51">
        <f>HYPERLINK("https://klasma.github.io/Logging_1980/tillsyn/A 12950-2023 tillsynsbegäran.docx", "A 12950-2023")</f>
        <v/>
      </c>
      <c r="AD51">
        <f>HYPERLINK("https://klasma.github.io/Logging_1980/tillsynsmail/A 12950-2023 tillsynsbegäran mail.docx", "A 12950-2023")</f>
        <v/>
      </c>
    </row>
    <row r="52" ht="15" customHeight="1">
      <c r="A52" t="inlineStr">
        <is>
          <t>A 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46294</v>
      </c>
      <c r="F52" t="inlineStr">
        <is>
          <t>VÄSTMANLANDS LÄN</t>
        </is>
      </c>
      <c r="G52" t="inlineStr">
        <is>
          <t>VÄSTERÅS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5363-2025 artfynd.xlsx", "A 5363-2025")</f>
        <v/>
      </c>
      <c r="X52">
        <f>HYPERLINK("https://klasma.github.io/Logging_1980/kartor/A 5363-2025 karta.png", "A 5363-2025")</f>
        <v/>
      </c>
      <c r="Y52">
        <f>HYPERLINK("https://klasma.github.io/Logging_1980/kartor_geotiff/A 5363-2025 georefererad karta.tif", "A 5363-2025")</f>
        <v/>
      </c>
      <c r="AA52">
        <f>HYPERLINK("https://klasma.github.io/Logging_1980/klagomål/A 5363-2025 FSC-klagomål.docx", "A 5363-2025")</f>
        <v/>
      </c>
      <c r="AB52">
        <f>HYPERLINK("https://klasma.github.io/Logging_1980/klagomålsmail/A 5363-2025 FSC-klagomål mail.docx", "A 5363-2025")</f>
        <v/>
      </c>
      <c r="AC52">
        <f>HYPERLINK("https://klasma.github.io/Logging_1980/tillsyn/A 5363-2025 tillsynsbegäran.docx", "A 5363-2025")</f>
        <v/>
      </c>
      <c r="AD52">
        <f>HYPERLINK("https://klasma.github.io/Logging_1980/tillsynsmail/A 5363-2025 tillsynsbegäran mail.docx", "A 5363-2025")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46294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61059-2024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46294</v>
      </c>
      <c r="F54" t="inlineStr">
        <is>
          <t>VÄSTMANLANDS LÄN</t>
        </is>
      </c>
      <c r="G54" t="inlineStr">
        <is>
          <t>VÄSTERÅS</t>
        </is>
      </c>
      <c r="I54" t="n">
        <v>4.7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Bandad skulderbock</t>
        </is>
      </c>
      <c r="W54">
        <f>HYPERLINK("https://klasma.github.io/Logging_1980/artfynd/A 61059-2024 artfynd.xlsx", "A 61059-2024")</f>
        <v/>
      </c>
      <c r="X54">
        <f>HYPERLINK("https://klasma.github.io/Logging_1980/kartor/A 61059-2024 karta.png", "A 61059-2024")</f>
        <v/>
      </c>
      <c r="Y54">
        <f>HYPERLINK("https://klasma.github.io/Logging_1980/kartor_geotiff/A 61059-2024 georefererad karta.tif", "A 61059-2024")</f>
        <v/>
      </c>
      <c r="AA54">
        <f>HYPERLINK("https://klasma.github.io/Logging_1980/klagomål/A 61059-2024 FSC-klagomål.docx", "A 61059-2024")</f>
        <v/>
      </c>
      <c r="AB54">
        <f>HYPERLINK("https://klasma.github.io/Logging_1980/klagomålsmail/A 61059-2024 FSC-klagomål mail.docx", "A 61059-2024")</f>
        <v/>
      </c>
      <c r="AC54">
        <f>HYPERLINK("https://klasma.github.io/Logging_1980/tillsyn/A 61059-2024 tillsynsbegäran.docx", "A 61059-2024")</f>
        <v/>
      </c>
      <c r="AD54">
        <f>HYPERLINK("https://klasma.github.io/Logging_1980/tillsynsmail/A 61059-2024 tillsynsbegäran mail.docx", "A 61059-2024")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46294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58395-2022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46294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HYPERLINK("https://klasma.github.io/Logging_1980/artfynd/A 58395-2022 artfynd.xlsx", "A 58395-2022")</f>
        <v/>
      </c>
      <c r="X56">
        <f>HYPERLINK("https://klasma.github.io/Logging_1980/kartor/A 58395-2022 karta.png", "A 58395-2022")</f>
        <v/>
      </c>
      <c r="Y56">
        <f>HYPERLINK("https://klasma.github.io/Logging_1980/kartor_geotiff/A 58395-2022 georefererad karta.tif", "A 58395-2022")</f>
        <v/>
      </c>
      <c r="AA56">
        <f>HYPERLINK("https://klasma.github.io/Logging_1980/klagomål/A 58395-2022 FSC-klagomål.docx", "A 58395-2022")</f>
        <v/>
      </c>
      <c r="AB56">
        <f>HYPERLINK("https://klasma.github.io/Logging_1980/klagomålsmail/A 58395-2022 FSC-klagomål mail.docx", "A 58395-2022")</f>
        <v/>
      </c>
      <c r="AC56">
        <f>HYPERLINK("https://klasma.github.io/Logging_1980/tillsyn/A 58395-2022 tillsynsbegäran.docx", "A 58395-2022")</f>
        <v/>
      </c>
      <c r="AD56">
        <f>HYPERLINK("https://klasma.github.io/Logging_1980/tillsynsmail/A 58395-2022 tillsynsbegäran mail.docx", "A 58395-2022")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46294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46294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46294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46294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46294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46294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46294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46294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6.5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Revlummer</t>
        </is>
      </c>
      <c r="W64">
        <f>HYPERLINK("https://klasma.github.io/Logging_1980/artfynd/A 39917-2026 artfynd.xlsx", "A 39917-2026")</f>
        <v/>
      </c>
      <c r="X64">
        <f>HYPERLINK("https://klasma.github.io/Logging_1980/kartor/A 39917-2026 karta.png", "A 39917-2026")</f>
        <v/>
      </c>
      <c r="Y64">
        <f>HYPERLINK("https://klasma.github.io/Logging_1980/kartor_geotiff/A 39917-2026 georefererad karta.tif", "A 39917-2026")</f>
        <v/>
      </c>
      <c r="AA64">
        <f>HYPERLINK("https://klasma.github.io/Logging_1980/klagomål/A 39917-2026 FSC-klagomål.docx", "A 39917-2026")</f>
        <v/>
      </c>
      <c r="AB64">
        <f>HYPERLINK("https://klasma.github.io/Logging_1980/klagomålsmail/A 39917-2026 FSC-klagomål mail.docx", "A 39917-2026")</f>
        <v/>
      </c>
      <c r="AC64">
        <f>HYPERLINK("https://klasma.github.io/Logging_1980/tillsyn/A 39917-2026 tillsynsbegäran.docx", "A 39917-2026")</f>
        <v/>
      </c>
      <c r="AD64">
        <f>HYPERLINK("https://klasma.github.io/Logging_1980/tillsynsmail/A 39917-2026 tillsynsbegäran mail.docx", "A 39917-2026")</f>
        <v/>
      </c>
    </row>
    <row r="65" ht="15" customHeight="1">
      <c r="A65" t="inlineStr">
        <is>
          <t>A 39918-2026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46294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HYPERLINK("https://klasma.github.io/Logging_1980/artfynd/A 39918-2026 artfynd.xlsx", "A 39918-2026")</f>
        <v/>
      </c>
      <c r="X65">
        <f>HYPERLINK("https://klasma.github.io/Logging_1980/kartor/A 39918-2026 karta.png", "A 39918-2026")</f>
        <v/>
      </c>
      <c r="Y65">
        <f>HYPERLINK("https://klasma.github.io/Logging_1980/kartor_geotiff/A 39918-2026 georefererad karta.tif", "A 39918-2026")</f>
        <v/>
      </c>
      <c r="AA65">
        <f>HYPERLINK("https://klasma.github.io/Logging_1980/klagomål/A 39918-2026 FSC-klagomål.docx", "A 39918-2026")</f>
        <v/>
      </c>
      <c r="AB65">
        <f>HYPERLINK("https://klasma.github.io/Logging_1980/klagomålsmail/A 39918-2026 FSC-klagomål mail.docx", "A 39918-2026")</f>
        <v/>
      </c>
      <c r="AC65">
        <f>HYPERLINK("https://klasma.github.io/Logging_1980/tillsyn/A 39918-2026 tillsynsbegäran.docx", "A 39918-2026")</f>
        <v/>
      </c>
      <c r="AD65">
        <f>HYPERLINK("https://klasma.github.io/Logging_1980/tillsynsmail/A 39918-2026 tillsynsbegäran mail.docx", "A 39918-2026")</f>
        <v/>
      </c>
    </row>
    <row r="66" ht="15" customHeight="1">
      <c r="A66" t="inlineStr">
        <is>
          <t>A 39915-2026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46294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Lopplummer (aggregat)</t>
        </is>
      </c>
      <c r="W66">
        <f>HYPERLINK("https://klasma.github.io/Logging_1980/artfynd/A 39915-2026 artfynd.xlsx", "A 39915-2026")</f>
        <v/>
      </c>
      <c r="X66">
        <f>HYPERLINK("https://klasma.github.io/Logging_1980/kartor/A 39915-2026 karta.png", "A 39915-2026")</f>
        <v/>
      </c>
      <c r="Y66">
        <f>HYPERLINK("https://klasma.github.io/Logging_1980/kartor_geotiff/A 39915-2026 georefererad karta.tif", "A 39915-2026")</f>
        <v/>
      </c>
      <c r="AA66">
        <f>HYPERLINK("https://klasma.github.io/Logging_1980/klagomål/A 39915-2026 FSC-klagomål.docx", "A 39915-2026")</f>
        <v/>
      </c>
      <c r="AB66">
        <f>HYPERLINK("https://klasma.github.io/Logging_1980/klagomålsmail/A 39915-2026 FSC-klagomål mail.docx", "A 39915-2026")</f>
        <v/>
      </c>
      <c r="AC66">
        <f>HYPERLINK("https://klasma.github.io/Logging_1980/tillsyn/A 39915-2026 tillsynsbegäran.docx", "A 39915-2026")</f>
        <v/>
      </c>
      <c r="AD66">
        <f>HYPERLINK("https://klasma.github.io/Logging_1980/tillsynsmail/A 39915-2026 tillsynsbegäran mail.docx", "A 39915-2026")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46294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21857-2022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46294</v>
      </c>
      <c r="F68" t="inlineStr">
        <is>
          <t>VÄSTMANLANDS LÄN</t>
        </is>
      </c>
      <c r="G68" t="inlineStr">
        <is>
          <t>VÄSTERÅS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46294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46294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46294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46294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46294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46294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46294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46294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46294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46294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46294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46294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46294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46294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46294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46294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46294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46294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46294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46294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46294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46294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46294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46294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46294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46294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46294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46294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46294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46294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46294</v>
      </c>
      <c r="F99" t="inlineStr">
        <is>
          <t>VÄSTMANLANDS LÄN</t>
        </is>
      </c>
      <c r="G99" t="inlineStr">
        <is>
          <t>VÄSTERÅS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73601-2021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46294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46294</v>
      </c>
      <c r="F101" t="inlineStr">
        <is>
          <t>VÄSTMANLANDS LÄN</t>
        </is>
      </c>
      <c r="G101" t="inlineStr">
        <is>
          <t>VÄSTERÅS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46294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46294</v>
      </c>
      <c r="F103" t="inlineStr">
        <is>
          <t>VÄSTMANLANDS LÄN</t>
        </is>
      </c>
      <c r="G103" t="inlineStr">
        <is>
          <t>VÄSTERÅS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46294</v>
      </c>
      <c r="F104" t="inlineStr">
        <is>
          <t>VÄSTMANLANDS LÄN</t>
        </is>
      </c>
      <c r="G104" t="inlineStr">
        <is>
          <t>VÄSTERÅS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74314-2021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46294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46294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46294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46294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46294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46294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46294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45506</v>
      </c>
      <c r="E112" s="1" t="n">
        <v>46294</v>
      </c>
      <c r="F112" t="inlineStr">
        <is>
          <t>VÄSTMANLANDS LÄN</t>
        </is>
      </c>
      <c r="G112" t="inlineStr">
        <is>
          <t>VÄSTERÅS</t>
        </is>
      </c>
      <c r="H112" t="inlineStr">
        <is>
          <t>Kommuner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46294</v>
      </c>
      <c r="F113" t="inlineStr">
        <is>
          <t>VÄSTMANLANDS LÄN</t>
        </is>
      </c>
      <c r="G113" t="inlineStr">
        <is>
          <t>VÄSTERÅS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45595</v>
      </c>
      <c r="E114" s="1" t="n">
        <v>46294</v>
      </c>
      <c r="F114" t="inlineStr">
        <is>
          <t>VÄSTMANLANDS LÄN</t>
        </is>
      </c>
      <c r="G114" t="inlineStr">
        <is>
          <t>VÄSTERÅS</t>
        </is>
      </c>
      <c r="H114" t="inlineStr">
        <is>
          <t>Övriga Aktiebolag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46294</v>
      </c>
      <c r="F115" t="inlineStr">
        <is>
          <t>VÄSTMANLANDS LÄN</t>
        </is>
      </c>
      <c r="G115" t="inlineStr">
        <is>
          <t>VÄSTERÅS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44961</v>
      </c>
      <c r="E116" s="1" t="n">
        <v>46294</v>
      </c>
      <c r="F116" t="inlineStr">
        <is>
          <t>VÄSTMANLANDS LÄN</t>
        </is>
      </c>
      <c r="G116" t="inlineStr">
        <is>
          <t>VÄSTERÅS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44662</v>
      </c>
      <c r="E117" s="1" t="n">
        <v>46294</v>
      </c>
      <c r="F117" t="inlineStr">
        <is>
          <t>VÄSTMANLANDS LÄN</t>
        </is>
      </c>
      <c r="G117" t="inlineStr">
        <is>
          <t>VÄSTERÅS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46294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46294</v>
      </c>
      <c r="F119" t="inlineStr">
        <is>
          <t>VÄSTMANLANDS LÄN</t>
        </is>
      </c>
      <c r="G119" t="inlineStr">
        <is>
          <t>VÄSTERÅS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45705</v>
      </c>
      <c r="E120" s="1" t="n">
        <v>46294</v>
      </c>
      <c r="F120" t="inlineStr">
        <is>
          <t>VÄSTMANLANDS LÄN</t>
        </is>
      </c>
      <c r="G120" t="inlineStr">
        <is>
          <t>VÄSTERÅS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45370</v>
      </c>
      <c r="E121" s="1" t="n">
        <v>46294</v>
      </c>
      <c r="F121" t="inlineStr">
        <is>
          <t>VÄSTMANLANDS LÄN</t>
        </is>
      </c>
      <c r="G121" t="inlineStr">
        <is>
          <t>VÄSTERÅS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46294</v>
      </c>
      <c r="F122" t="inlineStr">
        <is>
          <t>VÄSTMANLANDS LÄN</t>
        </is>
      </c>
      <c r="G122" t="inlineStr">
        <is>
          <t>VÄSTERÅS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46294</v>
      </c>
      <c r="F123" t="inlineStr">
        <is>
          <t>VÄSTMANLANDS LÄN</t>
        </is>
      </c>
      <c r="G123" t="inlineStr">
        <is>
          <t>VÄSTERÅS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46294</v>
      </c>
      <c r="F124" t="inlineStr">
        <is>
          <t>VÄSTMANLANDS LÄN</t>
        </is>
      </c>
      <c r="G124" t="inlineStr">
        <is>
          <t>VÄSTERÅS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45235</v>
      </c>
      <c r="E125" s="1" t="n">
        <v>46294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Övriga Aktiebolag</t>
        </is>
      </c>
      <c r="I125" t="n">
        <v>37.8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46294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46294</v>
      </c>
      <c r="F127" t="inlineStr">
        <is>
          <t>VÄSTMANLANDS LÄN</t>
        </is>
      </c>
      <c r="G127" t="inlineStr">
        <is>
          <t>VÄSTERÅS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45019</v>
      </c>
      <c r="E128" s="1" t="n">
        <v>46294</v>
      </c>
      <c r="F128" t="inlineStr">
        <is>
          <t>VÄSTMANLANDS LÄN</t>
        </is>
      </c>
      <c r="G128" t="inlineStr">
        <is>
          <t>VÄSTERÅS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45223</v>
      </c>
      <c r="E129" s="1" t="n">
        <v>46294</v>
      </c>
      <c r="F129" t="inlineStr">
        <is>
          <t>VÄSTMANLANDS LÄN</t>
        </is>
      </c>
      <c r="G129" t="inlineStr">
        <is>
          <t>VÄSTERÅS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45628</v>
      </c>
      <c r="E130" s="1" t="n">
        <v>46294</v>
      </c>
      <c r="F130" t="inlineStr">
        <is>
          <t>VÄSTMANLANDS LÄN</t>
        </is>
      </c>
      <c r="G130" t="inlineStr">
        <is>
          <t>VÄSTERÅS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45617</v>
      </c>
      <c r="E131" s="1" t="n">
        <v>46294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46294</v>
      </c>
      <c r="F132" t="inlineStr">
        <is>
          <t>VÄSTMANLANDS LÄN</t>
        </is>
      </c>
      <c r="G132" t="inlineStr">
        <is>
          <t>VÄSTERÅS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45453</v>
      </c>
      <c r="E133" s="1" t="n">
        <v>46294</v>
      </c>
      <c r="F133" t="inlineStr">
        <is>
          <t>VÄSTMANLANDS LÄN</t>
        </is>
      </c>
      <c r="G133" t="inlineStr">
        <is>
          <t>VÄSTERÅS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45506</v>
      </c>
      <c r="E134" s="1" t="n">
        <v>46294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Kommuner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44875</v>
      </c>
      <c r="E135" s="1" t="n">
        <v>46294</v>
      </c>
      <c r="F135" t="inlineStr">
        <is>
          <t>VÄSTMANLANDS LÄN</t>
        </is>
      </c>
      <c r="G135" t="inlineStr">
        <is>
          <t>VÄSTERÅS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44936</v>
      </c>
      <c r="E136" s="1" t="n">
        <v>46294</v>
      </c>
      <c r="F136" t="inlineStr">
        <is>
          <t>VÄSTMANLANDS LÄN</t>
        </is>
      </c>
      <c r="G136" t="inlineStr">
        <is>
          <t>VÄSTERÅS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46294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Övriga statliga verk och myndigheter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46294</v>
      </c>
      <c r="F138" t="inlineStr">
        <is>
          <t>VÄSTMANLANDS LÄN</t>
        </is>
      </c>
      <c r="G138" t="inlineStr">
        <is>
          <t>VÄSTERÅS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46294</v>
      </c>
      <c r="F139" t="inlineStr">
        <is>
          <t>VÄSTMANLANDS LÄN</t>
        </is>
      </c>
      <c r="G139" t="inlineStr">
        <is>
          <t>VÄSTERÅS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11137-2023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44987</v>
      </c>
      <c r="E140" s="1" t="n">
        <v>46294</v>
      </c>
      <c r="F140" t="inlineStr">
        <is>
          <t>VÄSTMANLANDS LÄN</t>
        </is>
      </c>
      <c r="G140" t="inlineStr">
        <is>
          <t>VÄSTERÅS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46294</v>
      </c>
      <c r="F141" t="inlineStr">
        <is>
          <t>VÄSTMANLANDS LÄN</t>
        </is>
      </c>
      <c r="G141" t="inlineStr">
        <is>
          <t>VÄSTERÅS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46294</v>
      </c>
      <c r="F142" t="inlineStr">
        <is>
          <t>VÄSTMANLANDS LÄN</t>
        </is>
      </c>
      <c r="G142" t="inlineStr">
        <is>
          <t>VÄSTERÅS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46294</v>
      </c>
      <c r="F143" t="inlineStr">
        <is>
          <t>VÄSTMANLANDS LÄN</t>
        </is>
      </c>
      <c r="G143" t="inlineStr">
        <is>
          <t>VÄSTERÅS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46294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statliga verk och myndigheter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46294</v>
      </c>
      <c r="F145" t="inlineStr">
        <is>
          <t>VÄSTMANLANDS LÄN</t>
        </is>
      </c>
      <c r="G145" t="inlineStr">
        <is>
          <t>VÄSTERÅS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46294</v>
      </c>
      <c r="F146" t="inlineStr">
        <is>
          <t>VÄSTMANLANDS LÄN</t>
        </is>
      </c>
      <c r="G146" t="inlineStr">
        <is>
          <t>VÄSTERÅS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46294</v>
      </c>
      <c r="F147" t="inlineStr">
        <is>
          <t>VÄSTMANLANDS LÄN</t>
        </is>
      </c>
      <c r="G147" t="inlineStr">
        <is>
          <t>VÄSTERÅS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44999</v>
      </c>
      <c r="E148" s="1" t="n">
        <v>46294</v>
      </c>
      <c r="F148" t="inlineStr">
        <is>
          <t>VÄSTMANLANDS LÄN</t>
        </is>
      </c>
      <c r="G148" t="inlineStr">
        <is>
          <t>VÄSTERÅS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46294</v>
      </c>
      <c r="F149" t="inlineStr">
        <is>
          <t>VÄSTMANLANDS LÄN</t>
        </is>
      </c>
      <c r="G149" t="inlineStr">
        <is>
          <t>VÄSTERÅS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46294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46294</v>
      </c>
      <c r="F151" t="inlineStr">
        <is>
          <t>VÄSTMANLANDS LÄN</t>
        </is>
      </c>
      <c r="G151" t="inlineStr">
        <is>
          <t>VÄSTERÅS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45456</v>
      </c>
      <c r="E152" s="1" t="n">
        <v>46294</v>
      </c>
      <c r="F152" t="inlineStr">
        <is>
          <t>VÄSTMANLANDS LÄN</t>
        </is>
      </c>
      <c r="G152" t="inlineStr">
        <is>
          <t>VÄSTERÅS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46294</v>
      </c>
      <c r="F153" t="inlineStr">
        <is>
          <t>VÄSTMANLANDS LÄN</t>
        </is>
      </c>
      <c r="G153" t="inlineStr">
        <is>
          <t>VÄSTERÅS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46294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Allmännings- och besparingsskogar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46294</v>
      </c>
      <c r="F155" t="inlineStr">
        <is>
          <t>VÄSTMANLANDS LÄN</t>
        </is>
      </c>
      <c r="G155" t="inlineStr">
        <is>
          <t>VÄSTERÅS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46294</v>
      </c>
      <c r="F156" t="inlineStr">
        <is>
          <t>VÄSTMANLANDS LÄN</t>
        </is>
      </c>
      <c r="G156" t="inlineStr">
        <is>
          <t>VÄSTERÅS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46294</v>
      </c>
      <c r="F157" t="inlineStr">
        <is>
          <t>VÄSTMANLANDS LÄN</t>
        </is>
      </c>
      <c r="G157" t="inlineStr">
        <is>
          <t>VÄSTERÅS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45125</v>
      </c>
      <c r="E158" s="1" t="n">
        <v>46294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46294</v>
      </c>
      <c r="F159" t="inlineStr">
        <is>
          <t>VÄSTMANLANDS LÄN</t>
        </is>
      </c>
      <c r="G159" t="inlineStr">
        <is>
          <t>VÄSTERÅS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45279</v>
      </c>
      <c r="E160" s="1" t="n">
        <v>46294</v>
      </c>
      <c r="F160" t="inlineStr">
        <is>
          <t>VÄSTMANLANDS LÄN</t>
        </is>
      </c>
      <c r="G160" t="inlineStr">
        <is>
          <t>VÄSTERÅS</t>
        </is>
      </c>
      <c r="I160" t="n">
        <v>13.9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57102-2025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45979</v>
      </c>
      <c r="E161" s="1" t="n">
        <v>46294</v>
      </c>
      <c r="F161" t="inlineStr">
        <is>
          <t>VÄSTMANLANDS LÄN</t>
        </is>
      </c>
      <c r="G161" t="inlineStr">
        <is>
          <t>VÄSTERÅS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45979</v>
      </c>
      <c r="E162" s="1" t="n">
        <v>46294</v>
      </c>
      <c r="F162" t="inlineStr">
        <is>
          <t>VÄSTMANLANDS LÄN</t>
        </is>
      </c>
      <c r="G162" t="inlineStr">
        <is>
          <t>VÄSTERÅS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39127-2022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44816</v>
      </c>
      <c r="E163" s="1" t="n">
        <v>46294</v>
      </c>
      <c r="F163" t="inlineStr">
        <is>
          <t>VÄSTMANLANDS LÄN</t>
        </is>
      </c>
      <c r="G163" t="inlineStr">
        <is>
          <t>VÄSTERÅS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46294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46294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44645</v>
      </c>
      <c r="E166" s="1" t="n">
        <v>46294</v>
      </c>
      <c r="F166" t="inlineStr">
        <is>
          <t>VÄSTMANLANDS LÄN</t>
        </is>
      </c>
      <c r="G166" t="inlineStr">
        <is>
          <t>VÄSTERÅS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44648</v>
      </c>
      <c r="E167" s="1" t="n">
        <v>46294</v>
      </c>
      <c r="F167" t="inlineStr">
        <is>
          <t>VÄSTMANLANDS LÄN</t>
        </is>
      </c>
      <c r="G167" t="inlineStr">
        <is>
          <t>VÄSTERÅS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46294</v>
      </c>
      <c r="F168" t="inlineStr">
        <is>
          <t>VÄSTMANLANDS LÄN</t>
        </is>
      </c>
      <c r="G168" t="inlineStr">
        <is>
          <t>VÄSTERÅS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44635</v>
      </c>
      <c r="E169" s="1" t="n">
        <v>46294</v>
      </c>
      <c r="F169" t="inlineStr">
        <is>
          <t>VÄSTMANLANDS LÄN</t>
        </is>
      </c>
      <c r="G169" t="inlineStr">
        <is>
          <t>VÄSTERÅS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11989-2022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44635</v>
      </c>
      <c r="E170" s="1" t="n">
        <v>46294</v>
      </c>
      <c r="F170" t="inlineStr">
        <is>
          <t>VÄSTMANLANDS LÄN</t>
        </is>
      </c>
      <c r="G170" t="inlineStr">
        <is>
          <t>VÄSTERÅS</t>
        </is>
      </c>
      <c r="I170" t="n">
        <v>12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46294</v>
      </c>
      <c r="F171" t="inlineStr">
        <is>
          <t>VÄSTMANLANDS LÄN</t>
        </is>
      </c>
      <c r="G171" t="inlineStr">
        <is>
          <t>VÄSTERÅS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7797-2026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46062</v>
      </c>
      <c r="E172" s="1" t="n">
        <v>46294</v>
      </c>
      <c r="F172" t="inlineStr">
        <is>
          <t>VÄSTMANLANDS LÄN</t>
        </is>
      </c>
      <c r="G172" t="inlineStr">
        <is>
          <t>VÄSTERÅS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46294</v>
      </c>
      <c r="F173" t="inlineStr">
        <is>
          <t>VÄSTMANLANDS LÄN</t>
        </is>
      </c>
      <c r="G173" t="inlineStr">
        <is>
          <t>VÄSTERÅS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52027-2025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45952</v>
      </c>
      <c r="E174" s="1" t="n">
        <v>46294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Övriga statliga verk och myndigheter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46294</v>
      </c>
      <c r="F175" t="inlineStr">
        <is>
          <t>VÄSTMANLANDS LÄN</t>
        </is>
      </c>
      <c r="G175" t="inlineStr">
        <is>
          <t>VÄSTERÅS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46294</v>
      </c>
      <c r="F176" t="inlineStr">
        <is>
          <t>VÄSTMANLANDS LÄN</t>
        </is>
      </c>
      <c r="G176" t="inlineStr">
        <is>
          <t>VÄSTERÅS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45174</v>
      </c>
      <c r="E177" s="1" t="n">
        <v>46294</v>
      </c>
      <c r="F177" t="inlineStr">
        <is>
          <t>VÄSTMANLANDS LÄN</t>
        </is>
      </c>
      <c r="G177" t="inlineStr">
        <is>
          <t>VÄSTERÅS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46294</v>
      </c>
      <c r="F178" t="inlineStr">
        <is>
          <t>VÄSTMANLANDS LÄN</t>
        </is>
      </c>
      <c r="G178" t="inlineStr">
        <is>
          <t>VÄSTERÅS</t>
        </is>
      </c>
      <c r="I178" t="n">
        <v>20.3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46294</v>
      </c>
      <c r="F179" t="inlineStr">
        <is>
          <t>VÄSTMANLANDS LÄN</t>
        </is>
      </c>
      <c r="G179" t="inlineStr">
        <is>
          <t>VÄSTERÅS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46078</v>
      </c>
      <c r="E180" s="1" t="n">
        <v>46294</v>
      </c>
      <c r="F180" t="inlineStr">
        <is>
          <t>VÄSTMANLANDS LÄN</t>
        </is>
      </c>
      <c r="G180" t="inlineStr">
        <is>
          <t>VÄSTERÅS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45027</v>
      </c>
      <c r="E181" s="1" t="n">
        <v>46294</v>
      </c>
      <c r="F181" t="inlineStr">
        <is>
          <t>VÄSTMANLANDS LÄN</t>
        </is>
      </c>
      <c r="G181" t="inlineStr">
        <is>
          <t>VÄSTERÅS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46294</v>
      </c>
      <c r="F182" t="inlineStr">
        <is>
          <t>VÄSTMANLANDS LÄN</t>
        </is>
      </c>
      <c r="G182" t="inlineStr">
        <is>
          <t>VÄSTERÅS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46083</v>
      </c>
      <c r="E183" s="1" t="n">
        <v>46294</v>
      </c>
      <c r="F183" t="inlineStr">
        <is>
          <t>VÄSTMANLANDS LÄN</t>
        </is>
      </c>
      <c r="G183" t="inlineStr">
        <is>
          <t>VÄSTERÅS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46294</v>
      </c>
      <c r="F184" t="inlineStr">
        <is>
          <t>VÄSTMANLANDS LÄN</t>
        </is>
      </c>
      <c r="G184" t="inlineStr">
        <is>
          <t>VÄSTERÅS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52015-2024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45607</v>
      </c>
      <c r="E185" s="1" t="n">
        <v>46294</v>
      </c>
      <c r="F185" t="inlineStr">
        <is>
          <t>VÄSTMANLANDS LÄN</t>
        </is>
      </c>
      <c r="G185" t="inlineStr">
        <is>
          <t>VÄSTERÅS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44999</v>
      </c>
      <c r="E186" s="1" t="n">
        <v>46294</v>
      </c>
      <c r="F186" t="inlineStr">
        <is>
          <t>VÄSTMANLANDS LÄN</t>
        </is>
      </c>
      <c r="G186" t="inlineStr">
        <is>
          <t>VÄSTERÅS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46294</v>
      </c>
      <c r="F187" t="inlineStr">
        <is>
          <t>VÄSTMANLANDS LÄN</t>
        </is>
      </c>
      <c r="G187" t="inlineStr">
        <is>
          <t>VÄSTERÅS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45219</v>
      </c>
      <c r="E188" s="1" t="n">
        <v>46294</v>
      </c>
      <c r="F188" t="inlineStr">
        <is>
          <t>VÄSTMANLANDS LÄN</t>
        </is>
      </c>
      <c r="G188" t="inlineStr">
        <is>
          <t>VÄSTERÅS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46294</v>
      </c>
      <c r="F189" t="inlineStr">
        <is>
          <t>VÄSTMANLANDS LÄN</t>
        </is>
      </c>
      <c r="G189" t="inlineStr">
        <is>
          <t>VÄSTERÅS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3118-2022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44582</v>
      </c>
      <c r="E190" s="1" t="n">
        <v>46294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Övriga Aktiebolag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46294</v>
      </c>
      <c r="F191" t="inlineStr">
        <is>
          <t>VÄSTMANLANDS LÄN</t>
        </is>
      </c>
      <c r="G191" t="inlineStr">
        <is>
          <t>VÄSTERÅS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46294</v>
      </c>
      <c r="F192" t="inlineStr">
        <is>
          <t>VÄSTMANLANDS LÄN</t>
        </is>
      </c>
      <c r="G192" t="inlineStr">
        <is>
          <t>VÄSTERÅS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16685-2026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46112</v>
      </c>
      <c r="E193" s="1" t="n">
        <v>46294</v>
      </c>
      <c r="F193" t="inlineStr">
        <is>
          <t>VÄSTMANLANDS LÄN</t>
        </is>
      </c>
      <c r="G193" t="inlineStr">
        <is>
          <t>VÄSTERÅS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46112</v>
      </c>
      <c r="E194" s="1" t="n">
        <v>46294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46112</v>
      </c>
      <c r="E195" s="1" t="n">
        <v>46294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46112</v>
      </c>
      <c r="E196" s="1" t="n">
        <v>46294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46294</v>
      </c>
      <c r="F197" t="inlineStr">
        <is>
          <t>VÄSTMANLANDS LÄN</t>
        </is>
      </c>
      <c r="G197" t="inlineStr">
        <is>
          <t>VÄSTERÅS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45414</v>
      </c>
      <c r="E198" s="1" t="n">
        <v>46294</v>
      </c>
      <c r="F198" t="inlineStr">
        <is>
          <t>VÄSTMANLANDS LÄN</t>
        </is>
      </c>
      <c r="G198" t="inlineStr">
        <is>
          <t>VÄSTERÅS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46294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Allmännings- och besparingsskogar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18465-2023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45042</v>
      </c>
      <c r="E200" s="1" t="n">
        <v>46294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64202-2023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45279</v>
      </c>
      <c r="E201" s="1" t="n">
        <v>46294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46294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Kommuner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46294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Kyrkan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45160</v>
      </c>
      <c r="E204" s="1" t="n">
        <v>46294</v>
      </c>
      <c r="F204" t="inlineStr">
        <is>
          <t>VÄSTMANLANDS LÄN</t>
        </is>
      </c>
      <c r="G204" t="inlineStr">
        <is>
          <t>VÄSTERÅS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44659</v>
      </c>
      <c r="E205" s="1" t="n">
        <v>46294</v>
      </c>
      <c r="F205" t="inlineStr">
        <is>
          <t>VÄSTMANLANDS LÄN</t>
        </is>
      </c>
      <c r="G205" t="inlineStr">
        <is>
          <t>VÄSTERÅS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46294</v>
      </c>
      <c r="F206" t="inlineStr">
        <is>
          <t>VÄSTMANLANDS LÄN</t>
        </is>
      </c>
      <c r="G206" t="inlineStr">
        <is>
          <t>VÄSTERÅS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46294</v>
      </c>
      <c r="F207" t="inlineStr">
        <is>
          <t>VÄSTMANLANDS LÄN</t>
        </is>
      </c>
      <c r="G207" t="inlineStr">
        <is>
          <t>VÄSTERÅS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19927-2026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46294</v>
      </c>
      <c r="F208" t="inlineStr">
        <is>
          <t>VÄSTMANLANDS LÄN</t>
        </is>
      </c>
      <c r="G208" t="inlineStr">
        <is>
          <t>VÄSTERÅS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63851-2021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44509</v>
      </c>
      <c r="E209" s="1" t="n">
        <v>46294</v>
      </c>
      <c r="F209" t="inlineStr">
        <is>
          <t>VÄSTMANLANDS LÄN</t>
        </is>
      </c>
      <c r="G209" t="inlineStr">
        <is>
          <t>VÄSTERÅS</t>
        </is>
      </c>
      <c r="I209" t="n">
        <v>11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46294</v>
      </c>
      <c r="F210" t="inlineStr">
        <is>
          <t>VÄSTMANLANDS LÄN</t>
        </is>
      </c>
      <c r="G210" t="inlineStr">
        <is>
          <t>VÄSTERÅS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46294</v>
      </c>
      <c r="F211" t="inlineStr">
        <is>
          <t>VÄSTMANLANDS LÄN</t>
        </is>
      </c>
      <c r="G211" t="inlineStr">
        <is>
          <t>VÄSTERÅS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18457-2023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45042</v>
      </c>
      <c r="E212" s="1" t="n">
        <v>46294</v>
      </c>
      <c r="F212" t="inlineStr">
        <is>
          <t>VÄSTMANLANDS LÄN</t>
        </is>
      </c>
      <c r="G212" t="inlineStr">
        <is>
          <t>VÄSTERÅS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44717</v>
      </c>
      <c r="E213" s="1" t="n">
        <v>46294</v>
      </c>
      <c r="F213" t="inlineStr">
        <is>
          <t>VÄSTMANLANDS LÄN</t>
        </is>
      </c>
      <c r="G213" t="inlineStr">
        <is>
          <t>VÄSTERÅS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46294</v>
      </c>
      <c r="F214" t="inlineStr">
        <is>
          <t>VÄSTMANLANDS LÄN</t>
        </is>
      </c>
      <c r="G214" t="inlineStr">
        <is>
          <t>VÄSTERÅS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17725-2022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44680</v>
      </c>
      <c r="E215" s="1" t="n">
        <v>46294</v>
      </c>
      <c r="F215" t="inlineStr">
        <is>
          <t>VÄSTMANLANDS LÄN</t>
        </is>
      </c>
      <c r="G215" t="inlineStr">
        <is>
          <t>VÄSTERÅS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46294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22370-2026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46294</v>
      </c>
      <c r="F217" t="inlineStr">
        <is>
          <t>VÄSTMANLANDS LÄN</t>
        </is>
      </c>
      <c r="G217" t="inlineStr">
        <is>
          <t>VÄSTERÅS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12131-2022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46294</v>
      </c>
      <c r="F218" t="inlineStr">
        <is>
          <t>VÄSTMANLANDS LÄN</t>
        </is>
      </c>
      <c r="G218" t="inlineStr">
        <is>
          <t>VÄSTERÅS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46294</v>
      </c>
      <c r="F219" t="inlineStr">
        <is>
          <t>VÄSTMANLANDS LÄN</t>
        </is>
      </c>
      <c r="G219" t="inlineStr">
        <is>
          <t>VÄSTERÅS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46294</v>
      </c>
      <c r="F220" t="inlineStr">
        <is>
          <t>VÄSTMANLANDS LÄN</t>
        </is>
      </c>
      <c r="G220" t="inlineStr">
        <is>
          <t>VÄSTERÅS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46294</v>
      </c>
      <c r="F221" t="inlineStr">
        <is>
          <t>VÄSTMANLANDS LÄN</t>
        </is>
      </c>
      <c r="G221" t="inlineStr">
        <is>
          <t>VÄSTERÅS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46294</v>
      </c>
      <c r="F222" t="inlineStr">
        <is>
          <t>VÄSTMANLANDS LÄN</t>
        </is>
      </c>
      <c r="G222" t="inlineStr">
        <is>
          <t>VÄSTERÅS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57873-2022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44899</v>
      </c>
      <c r="E223" s="1" t="n">
        <v>46294</v>
      </c>
      <c r="F223" t="inlineStr">
        <is>
          <t>VÄSTMANLANDS LÄN</t>
        </is>
      </c>
      <c r="G223" t="inlineStr">
        <is>
          <t>VÄSTERÅS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45019</v>
      </c>
      <c r="E224" s="1" t="n">
        <v>46294</v>
      </c>
      <c r="F224" t="inlineStr">
        <is>
          <t>VÄSTMANLANDS LÄN</t>
        </is>
      </c>
      <c r="G224" t="inlineStr">
        <is>
          <t>VÄSTERÅS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46294</v>
      </c>
      <c r="F225" t="inlineStr">
        <is>
          <t>VÄSTMANLANDS LÄN</t>
        </is>
      </c>
      <c r="G225" t="inlineStr">
        <is>
          <t>VÄSTERÅS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46294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44636</v>
      </c>
      <c r="E227" s="1" t="n">
        <v>46294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Kommuner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46294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Kommuner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46163</v>
      </c>
      <c r="E229" s="1" t="n">
        <v>46294</v>
      </c>
      <c r="F229" t="inlineStr">
        <is>
          <t>VÄSTMANLANDS LÄN</t>
        </is>
      </c>
      <c r="G229" t="inlineStr">
        <is>
          <t>VÄSTERÅS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44840</v>
      </c>
      <c r="E230" s="1" t="n">
        <v>46294</v>
      </c>
      <c r="F230" t="inlineStr">
        <is>
          <t>VÄSTMANLANDS LÄN</t>
        </is>
      </c>
      <c r="G230" t="inlineStr">
        <is>
          <t>VÄSTERÅS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44574</v>
      </c>
      <c r="E231" s="1" t="n">
        <v>46294</v>
      </c>
      <c r="F231" t="inlineStr">
        <is>
          <t>VÄSTMANLANDS LÄN</t>
        </is>
      </c>
      <c r="G231" t="inlineStr">
        <is>
          <t>VÄSTERÅS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46294</v>
      </c>
      <c r="F232" t="inlineStr">
        <is>
          <t>VÄSTMANLANDS LÄN</t>
        </is>
      </c>
      <c r="G232" t="inlineStr">
        <is>
          <t>VÄSTERÅS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44664</v>
      </c>
      <c r="E233" s="1" t="n">
        <v>46294</v>
      </c>
      <c r="F233" t="inlineStr">
        <is>
          <t>VÄSTMANLANDS LÄN</t>
        </is>
      </c>
      <c r="G233" t="inlineStr">
        <is>
          <t>VÄSTERÅS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46294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46294</v>
      </c>
      <c r="F235" t="inlineStr">
        <is>
          <t>VÄSTMANLANDS LÄN</t>
        </is>
      </c>
      <c r="G235" t="inlineStr">
        <is>
          <t>VÄSTERÅS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46294</v>
      </c>
      <c r="F236" t="inlineStr">
        <is>
          <t>VÄSTMANLANDS LÄN</t>
        </is>
      </c>
      <c r="G236" t="inlineStr">
        <is>
          <t>VÄSTERÅS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46294</v>
      </c>
      <c r="F237" t="inlineStr">
        <is>
          <t>VÄSTMANLANDS LÄN</t>
        </is>
      </c>
      <c r="G237" t="inlineStr">
        <is>
          <t>VÄSTERÅS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46294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46294</v>
      </c>
      <c r="F239" t="inlineStr">
        <is>
          <t>VÄSTMANLANDS LÄN</t>
        </is>
      </c>
      <c r="G239" t="inlineStr">
        <is>
          <t>VÄSTERÅS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46294</v>
      </c>
      <c r="F240" t="inlineStr">
        <is>
          <t>VÄSTMANLANDS LÄN</t>
        </is>
      </c>
      <c r="G240" t="inlineStr">
        <is>
          <t>VÄSTERÅS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45019</v>
      </c>
      <c r="E241" s="1" t="n">
        <v>46294</v>
      </c>
      <c r="F241" t="inlineStr">
        <is>
          <t>VÄSTMANLANDS LÄN</t>
        </is>
      </c>
      <c r="G241" t="inlineStr">
        <is>
          <t>VÄSTERÅS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45019</v>
      </c>
      <c r="E242" s="1" t="n">
        <v>46294</v>
      </c>
      <c r="F242" t="inlineStr">
        <is>
          <t>VÄSTMANLANDS LÄN</t>
        </is>
      </c>
      <c r="G242" t="inlineStr">
        <is>
          <t>VÄSTERÅS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18482-2023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45042</v>
      </c>
      <c r="E243" s="1" t="n">
        <v>46294</v>
      </c>
      <c r="F243" t="inlineStr">
        <is>
          <t>VÄSTMANLANDS LÄN</t>
        </is>
      </c>
      <c r="G243" t="inlineStr">
        <is>
          <t>VÄSTERÅS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46294</v>
      </c>
      <c r="F244" t="inlineStr">
        <is>
          <t>VÄSTMANLANDS LÄN</t>
        </is>
      </c>
      <c r="G244" t="inlineStr">
        <is>
          <t>VÄSTERÅS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46294</v>
      </c>
      <c r="F245" t="inlineStr">
        <is>
          <t>VÄSTMANLANDS LÄN</t>
        </is>
      </c>
      <c r="G245" t="inlineStr">
        <is>
          <t>VÄSTERÅS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45083</v>
      </c>
      <c r="E246" s="1" t="n">
        <v>46294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45400</v>
      </c>
      <c r="E247" s="1" t="n">
        <v>46294</v>
      </c>
      <c r="F247" t="inlineStr">
        <is>
          <t>VÄSTMANLANDS LÄN</t>
        </is>
      </c>
      <c r="G247" t="inlineStr">
        <is>
          <t>VÄSTERÅS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44606</v>
      </c>
      <c r="E248" s="1" t="n">
        <v>46294</v>
      </c>
      <c r="F248" t="inlineStr">
        <is>
          <t>VÄSTMANLANDS LÄN</t>
        </is>
      </c>
      <c r="G248" t="inlineStr">
        <is>
          <t>VÄSTERÅS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46294</v>
      </c>
      <c r="F249" t="inlineStr">
        <is>
          <t>VÄSTMANLANDS LÄN</t>
        </is>
      </c>
      <c r="G249" t="inlineStr">
        <is>
          <t>VÄSTERÅS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46294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Allmännings- och besparingsskogar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46294</v>
      </c>
      <c r="F251" t="inlineStr">
        <is>
          <t>VÄSTMANLANDS LÄN</t>
        </is>
      </c>
      <c r="G251" t="inlineStr">
        <is>
          <t>VÄSTERÅS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67352-2021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44523</v>
      </c>
      <c r="E252" s="1" t="n">
        <v>46294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Övriga Aktiebolag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46294</v>
      </c>
      <c r="F253" t="inlineStr">
        <is>
          <t>VÄSTMANLANDS LÄN</t>
        </is>
      </c>
      <c r="G253" t="inlineStr">
        <is>
          <t>VÄSTERÅS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27271-2026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46188</v>
      </c>
      <c r="E254" s="1" t="n">
        <v>46294</v>
      </c>
      <c r="F254" t="inlineStr">
        <is>
          <t>VÄSTMANLANDS LÄN</t>
        </is>
      </c>
      <c r="G254" t="inlineStr">
        <is>
          <t>VÄSTERÅS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46294</v>
      </c>
      <c r="F255" t="inlineStr">
        <is>
          <t>VÄSTMANLANDS LÄN</t>
        </is>
      </c>
      <c r="G255" t="inlineStr">
        <is>
          <t>VÄSTERÅS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52396-2022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44874</v>
      </c>
      <c r="E256" s="1" t="n">
        <v>46294</v>
      </c>
      <c r="F256" t="inlineStr">
        <is>
          <t>VÄSTMANLANDS LÄN</t>
        </is>
      </c>
      <c r="G256" t="inlineStr">
        <is>
          <t>VÄSTERÅS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46294</v>
      </c>
      <c r="F257" t="inlineStr">
        <is>
          <t>VÄSTMANLANDS LÄN</t>
        </is>
      </c>
      <c r="G257" t="inlineStr">
        <is>
          <t>VÄSTERÅS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46294</v>
      </c>
      <c r="F258" t="inlineStr">
        <is>
          <t>VÄSTMANLANDS LÄN</t>
        </is>
      </c>
      <c r="G258" t="inlineStr">
        <is>
          <t>VÄSTERÅS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46294</v>
      </c>
      <c r="F259" t="inlineStr">
        <is>
          <t>VÄSTMANLANDS LÄN</t>
        </is>
      </c>
      <c r="G259" t="inlineStr">
        <is>
          <t>VÄSTERÅS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46294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46294</v>
      </c>
      <c r="F261" t="inlineStr">
        <is>
          <t>VÄSTMANLANDS LÄN</t>
        </is>
      </c>
      <c r="G261" t="inlineStr">
        <is>
          <t>VÄSTERÅS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46294</v>
      </c>
      <c r="F262" t="inlineStr">
        <is>
          <t>VÄSTMANLANDS LÄN</t>
        </is>
      </c>
      <c r="G262" t="inlineStr">
        <is>
          <t>VÄSTERÅS</t>
        </is>
      </c>
      <c r="I262" t="n">
        <v>14.1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18467-2023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45042</v>
      </c>
      <c r="E263" s="1" t="n">
        <v>46294</v>
      </c>
      <c r="F263" t="inlineStr">
        <is>
          <t>VÄSTMANLANDS LÄN</t>
        </is>
      </c>
      <c r="G263" t="inlineStr">
        <is>
          <t>VÄSTERÅS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46294</v>
      </c>
      <c r="F264" t="inlineStr">
        <is>
          <t>VÄSTMANLANDS LÄN</t>
        </is>
      </c>
      <c r="G264" t="inlineStr">
        <is>
          <t>VÄSTERÅS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45457</v>
      </c>
      <c r="E265" s="1" t="n">
        <v>46294</v>
      </c>
      <c r="F265" t="inlineStr">
        <is>
          <t>VÄSTMANLANDS LÄN</t>
        </is>
      </c>
      <c r="G265" t="inlineStr">
        <is>
          <t>VÄSTERÅS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45553</v>
      </c>
      <c r="E266" s="1" t="n">
        <v>46294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Kyrkan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67350-2021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44523</v>
      </c>
      <c r="E267" s="1" t="n">
        <v>46294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Övriga Aktiebolag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44623</v>
      </c>
      <c r="E268" s="1" t="n">
        <v>46294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45033</v>
      </c>
      <c r="E269" s="1" t="n">
        <v>46294</v>
      </c>
      <c r="F269" t="inlineStr">
        <is>
          <t>VÄSTMANLANDS LÄN</t>
        </is>
      </c>
      <c r="G269" t="inlineStr">
        <is>
          <t>VÄSTERÅS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73994-2021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44556</v>
      </c>
      <c r="E270" s="1" t="n">
        <v>46294</v>
      </c>
      <c r="F270" t="inlineStr">
        <is>
          <t>VÄSTMANLANDS LÄN</t>
        </is>
      </c>
      <c r="G270" t="inlineStr">
        <is>
          <t>VÄSTERÅS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46080</v>
      </c>
      <c r="E271" s="1" t="n">
        <v>46294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61249-2021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44498</v>
      </c>
      <c r="E272" s="1" t="n">
        <v>46294</v>
      </c>
      <c r="F272" t="inlineStr">
        <is>
          <t>VÄSTMANLANDS LÄN</t>
        </is>
      </c>
      <c r="G272" t="inlineStr">
        <is>
          <t>VÄSTERÅS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46294</v>
      </c>
      <c r="F273" t="inlineStr">
        <is>
          <t>VÄSTMANLANDS LÄN</t>
        </is>
      </c>
      <c r="G273" t="inlineStr">
        <is>
          <t>VÄSTERÅS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46294</v>
      </c>
      <c r="F274" t="inlineStr">
        <is>
          <t>VÄSTMANLANDS LÄN</t>
        </is>
      </c>
      <c r="G274" t="inlineStr">
        <is>
          <t>VÄSTERÅS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44792</v>
      </c>
      <c r="E275" s="1" t="n">
        <v>46294</v>
      </c>
      <c r="F275" t="inlineStr">
        <is>
          <t>VÄSTMANLANDS LÄN</t>
        </is>
      </c>
      <c r="G275" t="inlineStr">
        <is>
          <t>VÄSTERÅS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45222</v>
      </c>
      <c r="E276" s="1" t="n">
        <v>46294</v>
      </c>
      <c r="F276" t="inlineStr">
        <is>
          <t>VÄSTMANLANDS LÄN</t>
        </is>
      </c>
      <c r="G276" t="inlineStr">
        <is>
          <t>VÄSTERÅS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44874</v>
      </c>
      <c r="E277" s="1" t="n">
        <v>46294</v>
      </c>
      <c r="F277" t="inlineStr">
        <is>
          <t>VÄSTMANLANDS LÄN</t>
        </is>
      </c>
      <c r="G277" t="inlineStr">
        <is>
          <t>VÄSTERÅS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44708</v>
      </c>
      <c r="E278" s="1" t="n">
        <v>46294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29746-2022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44755</v>
      </c>
      <c r="E279" s="1" t="n">
        <v>46294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67353-2021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44523</v>
      </c>
      <c r="E280" s="1" t="n">
        <v>46294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Övriga Aktiebolag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46294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46213</v>
      </c>
      <c r="E282" s="1" t="n">
        <v>46294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46294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46215</v>
      </c>
      <c r="E284" s="1" t="n">
        <v>46294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46294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46294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46294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46215</v>
      </c>
      <c r="E288" s="1" t="n">
        <v>46294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56980-2021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44482</v>
      </c>
      <c r="E289" s="1" t="n">
        <v>46294</v>
      </c>
      <c r="F289" t="inlineStr">
        <is>
          <t>VÄSTMANLANDS LÄN</t>
        </is>
      </c>
      <c r="G289" t="inlineStr">
        <is>
          <t>VÄSTERÅS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46294</v>
      </c>
      <c r="F290" t="inlineStr">
        <is>
          <t>VÄSTMANLANDS LÄN</t>
        </is>
      </c>
      <c r="G290" t="inlineStr">
        <is>
          <t>VÄSTERÅS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46294</v>
      </c>
      <c r="F291" t="inlineStr">
        <is>
          <t>VÄSTMANLANDS LÄN</t>
        </is>
      </c>
      <c r="G291" t="inlineStr">
        <is>
          <t>VÄSTERÅS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46217</v>
      </c>
      <c r="E292" s="1" t="n">
        <v>46294</v>
      </c>
      <c r="F292" t="inlineStr">
        <is>
          <t>VÄSTMANLANDS LÄN</t>
        </is>
      </c>
      <c r="G292" t="inlineStr">
        <is>
          <t>VÄSTERÅS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46294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15201-2022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44658</v>
      </c>
      <c r="E294" s="1" t="n">
        <v>46294</v>
      </c>
      <c r="F294" t="inlineStr">
        <is>
          <t>VÄSTMANLANDS LÄN</t>
        </is>
      </c>
      <c r="G294" t="inlineStr">
        <is>
          <t>VÄSTERÅS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58960-2022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44903</v>
      </c>
      <c r="E295" s="1" t="n">
        <v>46294</v>
      </c>
      <c r="F295" t="inlineStr">
        <is>
          <t>VÄSTMANLANDS LÄN</t>
        </is>
      </c>
      <c r="G295" t="inlineStr">
        <is>
          <t>VÄSTERÅS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46294</v>
      </c>
      <c r="F296" t="inlineStr">
        <is>
          <t>VÄSTMANLANDS LÄN</t>
        </is>
      </c>
      <c r="G296" t="inlineStr">
        <is>
          <t>VÄSTERÅS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46265</v>
      </c>
      <c r="E297" s="1" t="n">
        <v>46294</v>
      </c>
      <c r="F297" t="inlineStr">
        <is>
          <t>VÄSTMANLANDS LÄN</t>
        </is>
      </c>
      <c r="G297" t="inlineStr">
        <is>
          <t>VÄSTERÅS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8727-2023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44978</v>
      </c>
      <c r="E298" s="1" t="n">
        <v>46294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16214-2023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45028</v>
      </c>
      <c r="E299" s="1" t="n">
        <v>46294</v>
      </c>
      <c r="F299" t="inlineStr">
        <is>
          <t>VÄSTMANLANDS LÄN</t>
        </is>
      </c>
      <c r="G299" t="inlineStr">
        <is>
          <t>VÄSTERÅS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46294</v>
      </c>
      <c r="F300" t="inlineStr">
        <is>
          <t>VÄSTMANLANDS LÄN</t>
        </is>
      </c>
      <c r="G300" t="inlineStr">
        <is>
          <t>VÄSTERÅS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45398</v>
      </c>
      <c r="E301" s="1" t="n">
        <v>46294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51004-2024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46294</v>
      </c>
      <c r="F302" t="inlineStr">
        <is>
          <t>VÄSTMANLANDS LÄN</t>
        </is>
      </c>
      <c r="G302" t="inlineStr">
        <is>
          <t>VÄSTERÅS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45366</v>
      </c>
      <c r="E303" s="1" t="n">
        <v>46294</v>
      </c>
      <c r="F303" t="inlineStr">
        <is>
          <t>VÄSTMANLANDS LÄN</t>
        </is>
      </c>
      <c r="G303" t="inlineStr">
        <is>
          <t>VÄSTERÅS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44994</v>
      </c>
      <c r="E304" s="1" t="n">
        <v>46294</v>
      </c>
      <c r="F304" t="inlineStr">
        <is>
          <t>VÄSTMANLANDS LÄN</t>
        </is>
      </c>
      <c r="G304" t="inlineStr">
        <is>
          <t>VÄSTERÅS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70642-2021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44537</v>
      </c>
      <c r="E305" s="1" t="n">
        <v>46294</v>
      </c>
      <c r="F305" t="inlineStr">
        <is>
          <t>VÄSTMANLANDS LÄN</t>
        </is>
      </c>
      <c r="G305" t="inlineStr">
        <is>
          <t>VÄSTERÅS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44722</v>
      </c>
      <c r="E306" s="1" t="n">
        <v>46294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46294</v>
      </c>
      <c r="F307" t="inlineStr">
        <is>
          <t>VÄSTMANLANDS LÄN</t>
        </is>
      </c>
      <c r="G307" t="inlineStr">
        <is>
          <t>VÄSTERÅS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64793-2023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45282</v>
      </c>
      <c r="E308" s="1" t="n">
        <v>46294</v>
      </c>
      <c r="F308" t="inlineStr">
        <is>
          <t>VÄSTMANLANDS LÄN</t>
        </is>
      </c>
      <c r="G308" t="inlineStr">
        <is>
          <t>VÄSTERÅS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46294</v>
      </c>
      <c r="F309" t="inlineStr">
        <is>
          <t>VÄSTMANLANDS LÄN</t>
        </is>
      </c>
      <c r="G309" t="inlineStr">
        <is>
          <t>VÄSTERÅS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45296</v>
      </c>
      <c r="E310" s="1" t="n">
        <v>46294</v>
      </c>
      <c r="F310" t="inlineStr">
        <is>
          <t>VÄSTMANLANDS LÄN</t>
        </is>
      </c>
      <c r="G310" t="inlineStr">
        <is>
          <t>VÄSTERÅS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17808-2023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45037</v>
      </c>
      <c r="E311" s="1" t="n">
        <v>46294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46294</v>
      </c>
      <c r="F312" t="inlineStr">
        <is>
          <t>VÄSTMANLANDS LÄN</t>
        </is>
      </c>
      <c r="G312" t="inlineStr">
        <is>
          <t>VÄSTERÅS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73597-2021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44552</v>
      </c>
      <c r="E313" s="1" t="n">
        <v>46294</v>
      </c>
      <c r="F313" t="inlineStr">
        <is>
          <t>VÄSTMANLANDS LÄN</t>
        </is>
      </c>
      <c r="G313" t="inlineStr">
        <is>
          <t>VÄSTERÅS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46274</v>
      </c>
      <c r="E314" s="1" t="n">
        <v>46294</v>
      </c>
      <c r="F314" t="inlineStr">
        <is>
          <t>VÄSTMANLANDS LÄN</t>
        </is>
      </c>
      <c r="G314" t="inlineStr">
        <is>
          <t>VÄSTERÅS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46294</v>
      </c>
      <c r="F315" t="inlineStr">
        <is>
          <t>VÄSTMANLANDS LÄN</t>
        </is>
      </c>
      <c r="G315" t="inlineStr">
        <is>
          <t>VÄSTERÅS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46294</v>
      </c>
      <c r="F316" t="inlineStr">
        <is>
          <t>VÄSTMANLANDS LÄN</t>
        </is>
      </c>
      <c r="G316" t="inlineStr">
        <is>
          <t>VÄSTERÅS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46294</v>
      </c>
      <c r="F317" t="inlineStr">
        <is>
          <t>VÄSTMANLANDS LÄN</t>
        </is>
      </c>
      <c r="G317" t="inlineStr">
        <is>
          <t>VÄSTERÅS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14926-2022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44657</v>
      </c>
      <c r="E318" s="1" t="n">
        <v>46294</v>
      </c>
      <c r="F318" t="inlineStr">
        <is>
          <t>VÄSTMANLANDS LÄN</t>
        </is>
      </c>
      <c r="G318" t="inlineStr">
        <is>
          <t>VÄSTERÅS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45378</v>
      </c>
      <c r="E319" s="1" t="n">
        <v>46294</v>
      </c>
      <c r="F319" t="inlineStr">
        <is>
          <t>VÄSTMANLANDS LÄN</t>
        </is>
      </c>
      <c r="G319" t="inlineStr">
        <is>
          <t>VÄSTERÅS</t>
        </is>
      </c>
      <c r="I319" t="n">
        <v>15.4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39017-2026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46287</v>
      </c>
      <c r="E320" s="1" t="n">
        <v>46294</v>
      </c>
      <c r="F320" t="inlineStr">
        <is>
          <t>VÄSTMANLANDS LÄN</t>
        </is>
      </c>
      <c r="G320" t="inlineStr">
        <is>
          <t>VÄSTERÅS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46272</v>
      </c>
      <c r="E321" s="1" t="n">
        <v>46294</v>
      </c>
      <c r="F321" t="inlineStr">
        <is>
          <t>VÄSTMANLANDS LÄN</t>
        </is>
      </c>
      <c r="G321" t="inlineStr">
        <is>
          <t>VÄSTERÅS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46265</v>
      </c>
      <c r="E322" s="1" t="n">
        <v>46294</v>
      </c>
      <c r="F322" t="inlineStr">
        <is>
          <t>VÄSTMANLANDS LÄN</t>
        </is>
      </c>
      <c r="G322" t="inlineStr">
        <is>
          <t>VÄSTERÅS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46289</v>
      </c>
      <c r="E323" s="1" t="n">
        <v>46294</v>
      </c>
      <c r="F323" t="inlineStr">
        <is>
          <t>VÄSTMANLANDS LÄN</t>
        </is>
      </c>
      <c r="G323" t="inlineStr">
        <is>
          <t>VÄSTERÅS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46294</v>
      </c>
      <c r="F324" t="inlineStr">
        <is>
          <t>VÄSTMANLANDS LÄN</t>
        </is>
      </c>
      <c r="G324" t="inlineStr">
        <is>
          <t>VÄSTERÅS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46290</v>
      </c>
      <c r="E325" s="1" t="n">
        <v>46294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46290</v>
      </c>
      <c r="E326" s="1" t="n">
        <v>46294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46294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12.2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46294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46294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46294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46294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46294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46294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46294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2026-09-29T01:56:14Z</dcterms:created>
  <dcterms:modified xmlns:dcterms="http://purl.org/dc/terms/" xmlns:xsi="http://www.w3.org/2001/XMLSchema-instance" xsi:type="dcterms:W3CDTF">2026-09-29T01:56:15Z</dcterms:modified>
</cp:coreProperties>
</file>