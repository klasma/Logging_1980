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46280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46280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46280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46280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46280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46280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46280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46280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46280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46280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46280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46280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46280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46280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46280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46280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46280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46280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Nordfladdermus
Gråskimlig fladdermus
Större brunfladdermus
Vattenfladdermus</t>
        </is>
      </c>
      <c r="W20">
        <f>HYPERLINK("https://klasma.github.io/Logging_1980/artfynd/A 22449-2026 artfynd.xlsx", "A 22449-2026")</f>
        <v/>
      </c>
      <c r="X20">
        <f>HYPERLINK("https://klasma.github.io/Logging_1980/kartor/A 22449-2026 karta.png", "A 22449-2026")</f>
        <v/>
      </c>
      <c r="Y20">
        <f>HYPERLINK("https://klasma.github.io/Logging_1980/kartor_geotiff/A 22449-2026 georefererad karta.tif", "A 22449-2026")</f>
        <v/>
      </c>
      <c r="AA20">
        <f>HYPERLINK("https://klasma.github.io/Logging_1980/klagomål/A 22449-2026 FSC-klagomål.docx", "A 22449-2026")</f>
        <v/>
      </c>
      <c r="AB20">
        <f>HYPERLINK("https://klasma.github.io/Logging_1980/klagomålsmail/A 22449-2026 FSC-klagomål mail.docx", "A 22449-2026")</f>
        <v/>
      </c>
      <c r="AC20">
        <f>HYPERLINK("https://klasma.github.io/Logging_1980/tillsyn/A 22449-2026 tillsynsbegäran.docx", "A 22449-2026")</f>
        <v/>
      </c>
      <c r="AD20">
        <f>HYPERLINK("https://klasma.github.io/Logging_1980/tillsynsmail/A 22449-2026 tillsynsbegäran mail.docx", "A 22449-2026")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46280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47695-2023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46280</v>
      </c>
      <c r="F22" t="inlineStr">
        <is>
          <t>VÄSTMANLANDS LÄN</t>
        </is>
      </c>
      <c r="G22" t="inlineStr">
        <is>
          <t>VÄSTERÅS</t>
        </is>
      </c>
      <c r="I22" t="n">
        <v>6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Gullklöver
Svinrot
Hasselticka
Kopparödla</t>
        </is>
      </c>
      <c r="W22">
        <f>HYPERLINK("https://klasma.github.io/Logging_1980/artfynd/A 47695-2023 artfynd.xlsx", "A 47695-2023")</f>
        <v/>
      </c>
      <c r="X22">
        <f>HYPERLINK("https://klasma.github.io/Logging_1980/kartor/A 47695-2023 karta.png", "A 47695-2023")</f>
        <v/>
      </c>
      <c r="Y22">
        <f>HYPERLINK("https://klasma.github.io/Logging_1980/kartor_geotiff/A 47695-2023 georefererad karta.tif", "A 47695-2023")</f>
        <v/>
      </c>
      <c r="AA22">
        <f>HYPERLINK("https://klasma.github.io/Logging_1980/klagomål/A 47695-2023 FSC-klagomål.docx", "A 47695-2023")</f>
        <v/>
      </c>
      <c r="AB22">
        <f>HYPERLINK("https://klasma.github.io/Logging_1980/klagomålsmail/A 47695-2023 FSC-klagomål mail.docx", "A 47695-2023")</f>
        <v/>
      </c>
      <c r="AC22">
        <f>HYPERLINK("https://klasma.github.io/Logging_1980/tillsyn/A 47695-2023 tillsynsbegäran.docx", "A 47695-2023")</f>
        <v/>
      </c>
      <c r="AD22">
        <f>HYPERLINK("https://klasma.github.io/Logging_1980/tillsynsmail/A 47695-2023 tillsynsbegäran mail.docx", "A 47695-2023")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46280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46280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46280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46280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46280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46280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14265-2025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46280</v>
      </c>
      <c r="F29" t="inlineStr">
        <is>
          <t>VÄSTMANLANDS LÄN</t>
        </is>
      </c>
      <c r="G29" t="inlineStr">
        <is>
          <t>VÄSTERÅS</t>
        </is>
      </c>
      <c r="I29" t="n">
        <v>2.1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9</v>
      </c>
      <c r="U29" t="n">
        <v>0</v>
      </c>
      <c r="V29" s="2" t="inlineStr">
        <is>
          <t>Knärot
Tallticka
Blåsippa</t>
        </is>
      </c>
      <c r="W29">
        <f>HYPERLINK("https://klasma.github.io/Logging_1980/artfynd/A 14265-2025 artfynd.xlsx", "A 14265-2025")</f>
        <v/>
      </c>
      <c r="X29">
        <f>HYPERLINK("https://klasma.github.io/Logging_1980/kartor/A 14265-2025 karta.png", "A 14265-2025")</f>
        <v/>
      </c>
      <c r="Y29">
        <f>HYPERLINK("https://klasma.github.io/Logging_1980/kartor_geotiff/A 14265-2025 georefererad karta.tif", "A 14265-2025")</f>
        <v/>
      </c>
      <c r="Z29">
        <f>HYPERLINK("https://klasma.github.io/Logging_1980/knärot/A 14265-2025 karta knärot.png", "A 14265-2025")</f>
        <v/>
      </c>
      <c r="AA29">
        <f>HYPERLINK("https://klasma.github.io/Logging_1980/klagomål/A 14265-2025 FSC-klagomål.docx", "A 14265-2025")</f>
        <v/>
      </c>
      <c r="AB29">
        <f>HYPERLINK("https://klasma.github.io/Logging_1980/klagomålsmail/A 14265-2025 FSC-klagomål mail.docx", "A 14265-2025")</f>
        <v/>
      </c>
      <c r="AC29">
        <f>HYPERLINK("https://klasma.github.io/Logging_1980/tillsyn/A 14265-2025 tillsynsbegäran.docx", "A 14265-2025")</f>
        <v/>
      </c>
      <c r="AD29">
        <f>HYPERLINK("https://klasma.github.io/Logging_1980/tillsynsmail/A 14265-2025 tillsynsbegäran mail.docx", "A 14265-2025")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46280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46280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46280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46280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46280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46280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46280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46280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46280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46280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46280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46280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46280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46280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46280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46280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40886-2025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46280</v>
      </c>
      <c r="F46" t="inlineStr">
        <is>
          <t>VÄSTMANLANDS LÄN</t>
        </is>
      </c>
      <c r="G46" t="inlineStr">
        <is>
          <t>VÄSTERÅS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HYPERLINK("https://klasma.github.io/Logging_1980/artfynd/A 40886-2025 artfynd.xlsx", "A 40886-2025")</f>
        <v/>
      </c>
      <c r="X46">
        <f>HYPERLINK("https://klasma.github.io/Logging_1980/kartor/A 40886-2025 karta.png", "A 40886-2025")</f>
        <v/>
      </c>
      <c r="Y46">
        <f>HYPERLINK("https://klasma.github.io/Logging_1980/kartor_geotiff/A 40886-2025 georefererad karta.tif", "A 40886-2025")</f>
        <v/>
      </c>
      <c r="AA46">
        <f>HYPERLINK("https://klasma.github.io/Logging_1980/klagomål/A 40886-2025 FSC-klagomål.docx", "A 40886-2025")</f>
        <v/>
      </c>
      <c r="AB46">
        <f>HYPERLINK("https://klasma.github.io/Logging_1980/klagomålsmail/A 40886-2025 FSC-klagomål mail.docx", "A 40886-2025")</f>
        <v/>
      </c>
      <c r="AC46">
        <f>HYPERLINK("https://klasma.github.io/Logging_1980/tillsyn/A 40886-2025 tillsynsbegäran.docx", "A 40886-2025")</f>
        <v/>
      </c>
      <c r="AD46">
        <f>HYPERLINK("https://klasma.github.io/Logging_1980/tillsynsmail/A 40886-2025 tillsynsbegäran mail.docx", "A 40886-2025")</f>
        <v/>
      </c>
    </row>
    <row r="47" ht="15" customHeight="1">
      <c r="A47" t="inlineStr">
        <is>
          <t>A 51147-2023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46280</v>
      </c>
      <c r="F47" t="inlineStr">
        <is>
          <t>VÄSTMANLANDS LÄN</t>
        </is>
      </c>
      <c r="G47" t="inlineStr">
        <is>
          <t>VÄSTERÅS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Mindre märgborre</t>
        </is>
      </c>
      <c r="W47">
        <f>HYPERLINK("https://klasma.github.io/Logging_1980/artfynd/A 51147-2023 artfynd.xlsx", "A 51147-2023")</f>
        <v/>
      </c>
      <c r="X47">
        <f>HYPERLINK("https://klasma.github.io/Logging_1980/kartor/A 51147-2023 karta.png", "A 51147-2023")</f>
        <v/>
      </c>
      <c r="Y47">
        <f>HYPERLINK("https://klasma.github.io/Logging_1980/kartor_geotiff/A 51147-2023 georefererad karta.tif", "A 51147-2023")</f>
        <v/>
      </c>
      <c r="AA47">
        <f>HYPERLINK("https://klasma.github.io/Logging_1980/klagomål/A 51147-2023 FSC-klagomål.docx", "A 51147-2023")</f>
        <v/>
      </c>
      <c r="AB47">
        <f>HYPERLINK("https://klasma.github.io/Logging_1980/klagomålsmail/A 51147-2023 FSC-klagomål mail.docx", "A 51147-2023")</f>
        <v/>
      </c>
      <c r="AC47">
        <f>HYPERLINK("https://klasma.github.io/Logging_1980/tillsyn/A 51147-2023 tillsynsbegäran.docx", "A 51147-2023")</f>
        <v/>
      </c>
      <c r="AD47">
        <f>HYPERLINK("https://klasma.github.io/Logging_1980/tillsynsmail/A 51147-2023 tillsynsbegäran mail.docx", "A 51147-2023")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46280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12950-2023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45001</v>
      </c>
      <c r="E49" s="1" t="n">
        <v>46280</v>
      </c>
      <c r="F49" t="inlineStr">
        <is>
          <t>VÄSTMANLANDS LÄN</t>
        </is>
      </c>
      <c r="G49" t="inlineStr">
        <is>
          <t>VÄSTERÅS</t>
        </is>
      </c>
      <c r="I49" t="n">
        <v>2.1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HYPERLINK("https://klasma.github.io/Logging_1980/artfynd/A 12950-2023 artfynd.xlsx", "A 12950-2023")</f>
        <v/>
      </c>
      <c r="X49">
        <f>HYPERLINK("https://klasma.github.io/Logging_1980/kartor/A 12950-2023 karta.png", "A 12950-2023")</f>
        <v/>
      </c>
      <c r="Y49">
        <f>HYPERLINK("https://klasma.github.io/Logging_1980/kartor_geotiff/A 12950-2023 georefererad karta.tif", "A 12950-2023")</f>
        <v/>
      </c>
      <c r="AA49">
        <f>HYPERLINK("https://klasma.github.io/Logging_1980/klagomål/A 12950-2023 FSC-klagomål.docx", "A 12950-2023")</f>
        <v/>
      </c>
      <c r="AB49">
        <f>HYPERLINK("https://klasma.github.io/Logging_1980/klagomålsmail/A 12950-2023 FSC-klagomål mail.docx", "A 12950-2023")</f>
        <v/>
      </c>
      <c r="AC49">
        <f>HYPERLINK("https://klasma.github.io/Logging_1980/tillsyn/A 12950-2023 tillsynsbegäran.docx", "A 12950-2023")</f>
        <v/>
      </c>
      <c r="AD49">
        <f>HYPERLINK("https://klasma.github.io/Logging_1980/tillsynsmail/A 12950-2023 tillsynsbegäran mail.docx", "A 12950-2023")</f>
        <v/>
      </c>
    </row>
    <row r="50" ht="15" customHeight="1">
      <c r="A50" t="inlineStr">
        <is>
          <t>A 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46280</v>
      </c>
      <c r="F50" t="inlineStr">
        <is>
          <t>VÄSTMANLANDS LÄN</t>
        </is>
      </c>
      <c r="G50" t="inlineStr">
        <is>
          <t>VÄSTERÅS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Brunklöver</t>
        </is>
      </c>
      <c r="W50">
        <f>HYPERLINK("https://klasma.github.io/Logging_1980/artfynd/A 5363-2025 artfynd.xlsx", "A 5363-2025")</f>
        <v/>
      </c>
      <c r="X50">
        <f>HYPERLINK("https://klasma.github.io/Logging_1980/kartor/A 5363-2025 karta.png", "A 5363-2025")</f>
        <v/>
      </c>
      <c r="Y50">
        <f>HYPERLINK("https://klasma.github.io/Logging_1980/kartor_geotiff/A 5363-2025 georefererad karta.tif", "A 5363-2025")</f>
        <v/>
      </c>
      <c r="AA50">
        <f>HYPERLINK("https://klasma.github.io/Logging_1980/klagomål/A 5363-2025 FSC-klagomål.docx", "A 5363-2025")</f>
        <v/>
      </c>
      <c r="AB50">
        <f>HYPERLINK("https://klasma.github.io/Logging_1980/klagomålsmail/A 5363-2025 FSC-klagomål mail.docx", "A 5363-2025")</f>
        <v/>
      </c>
      <c r="AC50">
        <f>HYPERLINK("https://klasma.github.io/Logging_1980/tillsyn/A 5363-2025 tillsynsbegäran.docx", "A 5363-2025")</f>
        <v/>
      </c>
      <c r="AD50">
        <f>HYPERLINK("https://klasma.github.io/Logging_1980/tillsynsmail/A 5363-2025 tillsynsbegäran mail.docx", "A 5363-2025")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46280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1594-2023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46280</v>
      </c>
      <c r="F52" t="inlineStr">
        <is>
          <t>VÄSTMANLANDS LÄN</t>
        </is>
      </c>
      <c r="G52" t="inlineStr">
        <is>
          <t>VÄSTERÅS</t>
        </is>
      </c>
      <c r="I52" t="n">
        <v>10.9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Sparvuggla</t>
        </is>
      </c>
      <c r="W52">
        <f>HYPERLINK("https://klasma.github.io/Logging_1980/artfynd/A 1594-2023 artfynd.xlsx", "A 1594-2023")</f>
        <v/>
      </c>
      <c r="X52">
        <f>HYPERLINK("https://klasma.github.io/Logging_1980/kartor/A 1594-2023 karta.png", "A 1594-2023")</f>
        <v/>
      </c>
      <c r="Y52">
        <f>HYPERLINK("https://klasma.github.io/Logging_1980/kartor_geotiff/A 1594-2023 georefererad karta.tif", "A 1594-2023")</f>
        <v/>
      </c>
      <c r="AA52">
        <f>HYPERLINK("https://klasma.github.io/Logging_1980/klagomål/A 1594-2023 FSC-klagomål.docx", "A 1594-2023")</f>
        <v/>
      </c>
      <c r="AB52">
        <f>HYPERLINK("https://klasma.github.io/Logging_1980/klagomålsmail/A 1594-2023 FSC-klagomål mail.docx", "A 1594-2023")</f>
        <v/>
      </c>
      <c r="AC52">
        <f>HYPERLINK("https://klasma.github.io/Logging_1980/tillsyn/A 1594-2023 tillsynsbegäran.docx", "A 1594-2023")</f>
        <v/>
      </c>
      <c r="AD52">
        <f>HYPERLINK("https://klasma.github.io/Logging_1980/tillsynsmail/A 1594-2023 tillsynsbegäran mail.docx", "A 1594-2023")</f>
        <v/>
      </c>
      <c r="AE52">
        <f>HYPERLINK("https://klasma.github.io/Logging_1980/fåglar/A 1594-2023 prioriterade fågelarter.docx", "A 1594-2023")</f>
        <v/>
      </c>
    </row>
    <row r="53" ht="15" customHeight="1">
      <c r="A53" t="inlineStr">
        <is>
          <t>A 59140-2025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46280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HYPERLINK("https://klasma.github.io/Logging_1980/artfynd/A 59140-2025 artfynd.xlsx", "A 59140-2025")</f>
        <v/>
      </c>
      <c r="X53">
        <f>HYPERLINK("https://klasma.github.io/Logging_1980/kartor/A 59140-2025 karta.png", "A 59140-2025")</f>
        <v/>
      </c>
      <c r="Y53">
        <f>HYPERLINK("https://klasma.github.io/Logging_1980/kartor_geotiff/A 59140-2025 georefererad karta.tif", "A 59140-2025")</f>
        <v/>
      </c>
      <c r="AA53">
        <f>HYPERLINK("https://klasma.github.io/Logging_1980/klagomål/A 59140-2025 FSC-klagomål.docx", "A 59140-2025")</f>
        <v/>
      </c>
      <c r="AB53">
        <f>HYPERLINK("https://klasma.github.io/Logging_1980/klagomålsmail/A 59140-2025 FSC-klagomål mail.docx", "A 59140-2025")</f>
        <v/>
      </c>
      <c r="AC53">
        <f>HYPERLINK("https://klasma.github.io/Logging_1980/tillsyn/A 59140-2025 tillsynsbegäran.docx", "A 59140-2025")</f>
        <v/>
      </c>
      <c r="AD53">
        <f>HYPERLINK("https://klasma.github.io/Logging_1980/tillsynsmail/A 59140-2025 tillsynsbegäran mail.docx", "A 59140-2025")</f>
        <v/>
      </c>
      <c r="AE53">
        <f>HYPERLINK("https://klasma.github.io/Logging_1980/fåglar/A 59140-2025 prioriterade fågelarter.docx", "A 59140-2025")</f>
        <v/>
      </c>
    </row>
    <row r="54" ht="15" customHeight="1">
      <c r="A54" t="inlineStr">
        <is>
          <t>A 59144-2025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46280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HYPERLINK("https://klasma.github.io/Logging_1980/artfynd/A 59144-2025 artfynd.xlsx", "A 59144-2025")</f>
        <v/>
      </c>
      <c r="X54">
        <f>HYPERLINK("https://klasma.github.io/Logging_1980/kartor/A 59144-2025 karta.png", "A 59144-2025")</f>
        <v/>
      </c>
      <c r="Y54">
        <f>HYPERLINK("https://klasma.github.io/Logging_1980/kartor_geotiff/A 59144-2025 georefererad karta.tif", "A 59144-2025")</f>
        <v/>
      </c>
      <c r="AA54">
        <f>HYPERLINK("https://klasma.github.io/Logging_1980/klagomål/A 59144-2025 FSC-klagomål.docx", "A 59144-2025")</f>
        <v/>
      </c>
      <c r="AB54">
        <f>HYPERLINK("https://klasma.github.io/Logging_1980/klagomålsmail/A 59144-2025 FSC-klagomål mail.docx", "A 59144-2025")</f>
        <v/>
      </c>
      <c r="AC54">
        <f>HYPERLINK("https://klasma.github.io/Logging_1980/tillsyn/A 59144-2025 tillsynsbegäran.docx", "A 59144-2025")</f>
        <v/>
      </c>
      <c r="AD54">
        <f>HYPERLINK("https://klasma.github.io/Logging_1980/tillsynsmail/A 59144-2025 tillsynsbegäran mail.docx", "A 59144-2025")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46280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HYPERLINK("https://klasma.github.io/Logging_1980/artfynd/A 29787-2023 artfynd.xlsx", "A 29787-2023")</f>
        <v/>
      </c>
      <c r="X55">
        <f>HYPERLINK("https://klasma.github.io/Logging_1980/kartor/A 29787-2023 karta.png", "A 29787-2023")</f>
        <v/>
      </c>
      <c r="Y55">
        <f>HYPERLINK("https://klasma.github.io/Logging_1980/kartor_geotiff/A 29787-2023 georefererad karta.tif", "A 29787-2023")</f>
        <v/>
      </c>
      <c r="AA55">
        <f>HYPERLINK("https://klasma.github.io/Logging_1980/klagomål/A 29787-2023 FSC-klagomål.docx", "A 29787-2023")</f>
        <v/>
      </c>
      <c r="AB55">
        <f>HYPERLINK("https://klasma.github.io/Logging_1980/klagomålsmail/A 29787-2023 FSC-klagomål mail.docx", "A 29787-2023")</f>
        <v/>
      </c>
      <c r="AC55">
        <f>HYPERLINK("https://klasma.github.io/Logging_1980/tillsyn/A 29787-2023 tillsynsbegäran.docx", "A 29787-2023")</f>
        <v/>
      </c>
      <c r="AD55">
        <f>HYPERLINK("https://klasma.github.io/Logging_1980/tillsynsmail/A 29787-2023 tillsynsbegäran mail.docx", "A 29787-2023")</f>
        <v/>
      </c>
    </row>
    <row r="56" ht="15" customHeight="1">
      <c r="A56" t="inlineStr">
        <is>
          <t>A 22378-2026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46280</v>
      </c>
      <c r="F56" t="inlineStr">
        <is>
          <t>VÄSTMANLANDS LÄN</t>
        </is>
      </c>
      <c r="G56" t="inlineStr">
        <is>
          <t>VÄSTERÅS</t>
        </is>
      </c>
      <c r="I56" t="n">
        <v>5.6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HYPERLINK("https://klasma.github.io/Logging_1980/artfynd/A 22378-2026 artfynd.xlsx", "A 22378-2026")</f>
        <v/>
      </c>
      <c r="X56">
        <f>HYPERLINK("https://klasma.github.io/Logging_1980/kartor/A 22378-2026 karta.png", "A 22378-2026")</f>
        <v/>
      </c>
      <c r="Y56">
        <f>HYPERLINK("https://klasma.github.io/Logging_1980/kartor_geotiff/A 22378-2026 georefererad karta.tif", "A 22378-2026")</f>
        <v/>
      </c>
      <c r="AA56">
        <f>HYPERLINK("https://klasma.github.io/Logging_1980/klagomål/A 22378-2026 FSC-klagomål.docx", "A 22378-2026")</f>
        <v/>
      </c>
      <c r="AB56">
        <f>HYPERLINK("https://klasma.github.io/Logging_1980/klagomålsmail/A 22378-2026 FSC-klagomål mail.docx", "A 22378-2026")</f>
        <v/>
      </c>
      <c r="AC56">
        <f>HYPERLINK("https://klasma.github.io/Logging_1980/tillsyn/A 22378-2026 tillsynsbegäran.docx", "A 22378-2026")</f>
        <v/>
      </c>
      <c r="AD56">
        <f>HYPERLINK("https://klasma.github.io/Logging_1980/tillsynsmail/A 22378-2026 tillsynsbegäran mail.docx", "A 22378-2026")</f>
        <v/>
      </c>
    </row>
    <row r="57" ht="15" customHeight="1">
      <c r="A57" t="inlineStr">
        <is>
          <t>A 58395-2022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46280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HYPERLINK("https://klasma.github.io/Logging_1980/artfynd/A 58395-2022 artfynd.xlsx", "A 58395-2022")</f>
        <v/>
      </c>
      <c r="X57">
        <f>HYPERLINK("https://klasma.github.io/Logging_1980/kartor/A 58395-2022 karta.png", "A 58395-2022")</f>
        <v/>
      </c>
      <c r="Y57">
        <f>HYPERLINK("https://klasma.github.io/Logging_1980/kartor_geotiff/A 58395-2022 georefererad karta.tif", "A 58395-2022")</f>
        <v/>
      </c>
      <c r="AA57">
        <f>HYPERLINK("https://klasma.github.io/Logging_1980/klagomål/A 58395-2022 FSC-klagomål.docx", "A 58395-2022")</f>
        <v/>
      </c>
      <c r="AB57">
        <f>HYPERLINK("https://klasma.github.io/Logging_1980/klagomålsmail/A 58395-2022 FSC-klagomål mail.docx", "A 58395-2022")</f>
        <v/>
      </c>
      <c r="AC57">
        <f>HYPERLINK("https://klasma.github.io/Logging_1980/tillsyn/A 58395-2022 tillsynsbegäran.docx", "A 58395-2022")</f>
        <v/>
      </c>
      <c r="AD57">
        <f>HYPERLINK("https://klasma.github.io/Logging_1980/tillsynsmail/A 58395-2022 tillsynsbegäran mail.docx", "A 58395-2022")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46280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46280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46280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46280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46280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46280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46280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46280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46280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46280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46280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46280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46280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46280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46280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46280</v>
      </c>
      <c r="F73" t="inlineStr">
        <is>
          <t>VÄSTMANLANDS LÄN</t>
        </is>
      </c>
      <c r="G73" t="inlineStr">
        <is>
          <t>VÄSTERÅS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72019-2021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44540</v>
      </c>
      <c r="E74" s="1" t="n">
        <v>46280</v>
      </c>
      <c r="F74" t="inlineStr">
        <is>
          <t>VÄSTMANLANDS LÄN</t>
        </is>
      </c>
      <c r="G74" t="inlineStr">
        <is>
          <t>VÄSTERÅS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46280</v>
      </c>
      <c r="F75" t="inlineStr">
        <is>
          <t>VÄSTMANLANDS LÄN</t>
        </is>
      </c>
      <c r="G75" t="inlineStr">
        <is>
          <t>VÄSTERÅS</t>
        </is>
      </c>
      <c r="H75" t="inlineStr">
        <is>
          <t>Kommuner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19336-2022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44692</v>
      </c>
      <c r="E76" s="1" t="n">
        <v>46280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46280</v>
      </c>
      <c r="F77" t="inlineStr">
        <is>
          <t>VÄSTMANLANDS LÄN</t>
        </is>
      </c>
      <c r="G77" t="inlineStr">
        <is>
          <t>VÄSTERÅS</t>
        </is>
      </c>
      <c r="H77" t="inlineStr">
        <is>
          <t>Sveaskog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46280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46280</v>
      </c>
      <c r="F79" t="inlineStr">
        <is>
          <t>VÄSTMANLANDS LÄN</t>
        </is>
      </c>
      <c r="G79" t="inlineStr">
        <is>
          <t>VÄSTERÅS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46280</v>
      </c>
      <c r="F80" t="inlineStr">
        <is>
          <t>VÄSTMANLANDS LÄN</t>
        </is>
      </c>
      <c r="G80" t="inlineStr">
        <is>
          <t>VÄSTERÅS</t>
        </is>
      </c>
      <c r="I80" t="n">
        <v>11.3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44608</v>
      </c>
      <c r="E81" s="1" t="n">
        <v>46280</v>
      </c>
      <c r="F81" t="inlineStr">
        <is>
          <t>VÄSTMANLANDS LÄN</t>
        </is>
      </c>
      <c r="G81" t="inlineStr">
        <is>
          <t>VÄSTERÅS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44676</v>
      </c>
      <c r="E82" s="1" t="n">
        <v>46280</v>
      </c>
      <c r="F82" t="inlineStr">
        <is>
          <t>VÄSTMANLANDS LÄN</t>
        </is>
      </c>
      <c r="G82" t="inlineStr">
        <is>
          <t>VÄSTERÅS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46280</v>
      </c>
      <c r="F83" t="inlineStr">
        <is>
          <t>VÄSTMANLANDS LÄN</t>
        </is>
      </c>
      <c r="G83" t="inlineStr">
        <is>
          <t>VÄSTERÅS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46280</v>
      </c>
      <c r="F84" t="inlineStr">
        <is>
          <t>VÄSTMANLANDS LÄN</t>
        </is>
      </c>
      <c r="G84" t="inlineStr">
        <is>
          <t>VÄSTERÅS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44714</v>
      </c>
      <c r="E85" s="1" t="n">
        <v>46280</v>
      </c>
      <c r="F85" t="inlineStr">
        <is>
          <t>VÄSTMANLANDS LÄN</t>
        </is>
      </c>
      <c r="G85" t="inlineStr">
        <is>
          <t>VÄSTERÅS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46280</v>
      </c>
      <c r="F86" t="inlineStr">
        <is>
          <t>VÄSTMANLANDS LÄN</t>
        </is>
      </c>
      <c r="G86" t="inlineStr">
        <is>
          <t>VÄSTERÅS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44699</v>
      </c>
      <c r="E87" s="1" t="n">
        <v>46280</v>
      </c>
      <c r="F87" t="inlineStr">
        <is>
          <t>VÄSTMANLANDS LÄN</t>
        </is>
      </c>
      <c r="G87" t="inlineStr">
        <is>
          <t>VÄSTERÅS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10499-2022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44623</v>
      </c>
      <c r="E88" s="1" t="n">
        <v>46280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44761</v>
      </c>
      <c r="E89" s="1" t="n">
        <v>46280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46280</v>
      </c>
      <c r="F90" t="inlineStr">
        <is>
          <t>VÄSTMANLANDS LÄN</t>
        </is>
      </c>
      <c r="G90" t="inlineStr">
        <is>
          <t>VÄSTERÅS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46280</v>
      </c>
      <c r="F91" t="inlineStr">
        <is>
          <t>VÄSTMANLANDS LÄN</t>
        </is>
      </c>
      <c r="G91" t="inlineStr">
        <is>
          <t>VÄSTERÅS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44671</v>
      </c>
      <c r="E92" s="1" t="n">
        <v>46280</v>
      </c>
      <c r="F92" t="inlineStr">
        <is>
          <t>VÄSTMANLANDS LÄN</t>
        </is>
      </c>
      <c r="G92" t="inlineStr">
        <is>
          <t>VÄSTERÅS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46280</v>
      </c>
      <c r="F93" t="inlineStr">
        <is>
          <t>VÄSTMANLANDS LÄN</t>
        </is>
      </c>
      <c r="G93" t="inlineStr">
        <is>
          <t>VÄSTERÅS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73601-2021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44552</v>
      </c>
      <c r="E94" s="1" t="n">
        <v>46280</v>
      </c>
      <c r="F94" t="inlineStr">
        <is>
          <t>VÄSTMANLANDS LÄN</t>
        </is>
      </c>
      <c r="G94" t="inlineStr">
        <is>
          <t>VÄSTERÅS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55676-2023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45232</v>
      </c>
      <c r="E95" s="1" t="n">
        <v>46280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37.9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46280</v>
      </c>
      <c r="F96" t="inlineStr">
        <is>
          <t>VÄSTMANLANDS LÄN</t>
        </is>
      </c>
      <c r="G96" t="inlineStr">
        <is>
          <t>VÄSTERÅS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46280</v>
      </c>
      <c r="F97" t="inlineStr">
        <is>
          <t>VÄSTMANLANDS LÄN</t>
        </is>
      </c>
      <c r="G97" t="inlineStr">
        <is>
          <t>VÄSTERÅS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46280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29.4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46280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46280</v>
      </c>
      <c r="F100" t="inlineStr">
        <is>
          <t>VÄSTMANLANDS LÄN</t>
        </is>
      </c>
      <c r="G100" t="inlineStr">
        <is>
          <t>VÄSTERÅS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46280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46280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46280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46280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45639</v>
      </c>
      <c r="E105" s="1" t="n">
        <v>46280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45019</v>
      </c>
      <c r="E106" s="1" t="n">
        <v>46280</v>
      </c>
      <c r="F106" t="inlineStr">
        <is>
          <t>VÄSTMANLANDS LÄN</t>
        </is>
      </c>
      <c r="G106" t="inlineStr">
        <is>
          <t>VÄSTERÅS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44961</v>
      </c>
      <c r="E107" s="1" t="n">
        <v>46280</v>
      </c>
      <c r="F107" t="inlineStr">
        <is>
          <t>VÄSTMANLANDS LÄN</t>
        </is>
      </c>
      <c r="G107" t="inlineStr">
        <is>
          <t>VÄSTERÅS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45506</v>
      </c>
      <c r="E108" s="1" t="n">
        <v>46280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Kommuner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38345-2024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46280</v>
      </c>
      <c r="F109" t="inlineStr">
        <is>
          <t>VÄSTMANLANDS LÄN</t>
        </is>
      </c>
      <c r="G109" t="inlineStr">
        <is>
          <t>VÄSTERÅS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46280</v>
      </c>
      <c r="F110" t="inlineStr">
        <is>
          <t>VÄSTMANLANDS LÄN</t>
        </is>
      </c>
      <c r="G110" t="inlineStr">
        <is>
          <t>VÄSTERÅS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45798</v>
      </c>
      <c r="E111" s="1" t="n">
        <v>46280</v>
      </c>
      <c r="F111" t="inlineStr">
        <is>
          <t>VÄSTMANLANDS LÄN</t>
        </is>
      </c>
      <c r="G111" t="inlineStr">
        <is>
          <t>VÄSTERÅS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46280</v>
      </c>
      <c r="F112" t="inlineStr">
        <is>
          <t>VÄSTMANLANDS LÄN</t>
        </is>
      </c>
      <c r="G112" t="inlineStr">
        <is>
          <t>VÄSTERÅS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56076-2023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45235</v>
      </c>
      <c r="E113" s="1" t="n">
        <v>46280</v>
      </c>
      <c r="F113" t="inlineStr">
        <is>
          <t>VÄSTMANLANDS LÄN</t>
        </is>
      </c>
      <c r="G113" t="inlineStr">
        <is>
          <t>VÄSTERÅS</t>
        </is>
      </c>
      <c r="H113" t="inlineStr">
        <is>
          <t>Övriga Aktiebolag</t>
        </is>
      </c>
      <c r="I113" t="n">
        <v>37.8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46280</v>
      </c>
      <c r="F114" t="inlineStr">
        <is>
          <t>VÄSTMANLANDS LÄN</t>
        </is>
      </c>
      <c r="G114" t="inlineStr">
        <is>
          <t>VÄSTERÅS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45072</v>
      </c>
      <c r="E115" s="1" t="n">
        <v>46280</v>
      </c>
      <c r="F115" t="inlineStr">
        <is>
          <t>VÄSTMANLANDS LÄN</t>
        </is>
      </c>
      <c r="G115" t="inlineStr">
        <is>
          <t>VÄSTERÅS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46280</v>
      </c>
      <c r="F116" t="inlineStr">
        <is>
          <t>VÄSTMANLANDS LÄN</t>
        </is>
      </c>
      <c r="G116" t="inlineStr">
        <is>
          <t>VÄSTERÅS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45595</v>
      </c>
      <c r="E117" s="1" t="n">
        <v>46280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45705</v>
      </c>
      <c r="E118" s="1" t="n">
        <v>46280</v>
      </c>
      <c r="F118" t="inlineStr">
        <is>
          <t>VÄSTMANLANDS LÄN</t>
        </is>
      </c>
      <c r="G118" t="inlineStr">
        <is>
          <t>VÄSTERÅS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45370</v>
      </c>
      <c r="E119" s="1" t="n">
        <v>46280</v>
      </c>
      <c r="F119" t="inlineStr">
        <is>
          <t>VÄSTMANLANDS LÄN</t>
        </is>
      </c>
      <c r="G119" t="inlineStr">
        <is>
          <t>VÄSTERÅS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46280</v>
      </c>
      <c r="F120" t="inlineStr">
        <is>
          <t>VÄSTMANLANDS LÄN</t>
        </is>
      </c>
      <c r="G120" t="inlineStr">
        <is>
          <t>VÄSTERÅS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46280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Allmännings- och besparingsskogar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45019</v>
      </c>
      <c r="E122" s="1" t="n">
        <v>46280</v>
      </c>
      <c r="F122" t="inlineStr">
        <is>
          <t>VÄSTMANLANDS LÄN</t>
        </is>
      </c>
      <c r="G122" t="inlineStr">
        <is>
          <t>VÄSTERÅS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46280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45223</v>
      </c>
      <c r="E124" s="1" t="n">
        <v>46280</v>
      </c>
      <c r="F124" t="inlineStr">
        <is>
          <t>VÄSTMANLANDS LÄN</t>
        </is>
      </c>
      <c r="G124" t="inlineStr">
        <is>
          <t>VÄSTERÅS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45628</v>
      </c>
      <c r="E125" s="1" t="n">
        <v>46280</v>
      </c>
      <c r="F125" t="inlineStr">
        <is>
          <t>VÄSTMANLANDS LÄN</t>
        </is>
      </c>
      <c r="G125" t="inlineStr">
        <is>
          <t>VÄSTERÅS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45638</v>
      </c>
      <c r="E126" s="1" t="n">
        <v>46280</v>
      </c>
      <c r="F126" t="inlineStr">
        <is>
          <t>VÄSTMANLANDS LÄN</t>
        </is>
      </c>
      <c r="G126" t="inlineStr">
        <is>
          <t>VÄSTERÅS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46280</v>
      </c>
      <c r="F127" t="inlineStr">
        <is>
          <t>VÄSTMANLANDS LÄN</t>
        </is>
      </c>
      <c r="G127" t="inlineStr">
        <is>
          <t>VÄSTERÅS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46280</v>
      </c>
      <c r="F128" t="inlineStr">
        <is>
          <t>VÄSTMANLANDS LÄN</t>
        </is>
      </c>
      <c r="G128" t="inlineStr">
        <is>
          <t>VÄSTERÅS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45453</v>
      </c>
      <c r="E129" s="1" t="n">
        <v>46280</v>
      </c>
      <c r="F129" t="inlineStr">
        <is>
          <t>VÄSTMANLANDS LÄN</t>
        </is>
      </c>
      <c r="G129" t="inlineStr">
        <is>
          <t>VÄSTERÅS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45506</v>
      </c>
      <c r="E130" s="1" t="n">
        <v>46280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Kommuner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46280</v>
      </c>
      <c r="F131" t="inlineStr">
        <is>
          <t>VÄSTMANLANDS LÄN</t>
        </is>
      </c>
      <c r="G131" t="inlineStr">
        <is>
          <t>VÄSTERÅS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46280</v>
      </c>
      <c r="F132" t="inlineStr">
        <is>
          <t>VÄSTMANLANDS LÄN</t>
        </is>
      </c>
      <c r="G132" t="inlineStr">
        <is>
          <t>VÄSTERÅS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44936</v>
      </c>
      <c r="E133" s="1" t="n">
        <v>46280</v>
      </c>
      <c r="F133" t="inlineStr">
        <is>
          <t>VÄSTMANLANDS LÄN</t>
        </is>
      </c>
      <c r="G133" t="inlineStr">
        <is>
          <t>VÄSTERÅS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46280</v>
      </c>
      <c r="F134" t="inlineStr">
        <is>
          <t>VÄSTMANLANDS LÄN</t>
        </is>
      </c>
      <c r="G134" t="inlineStr">
        <is>
          <t>VÄSTERÅS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46280</v>
      </c>
      <c r="F135" t="inlineStr">
        <is>
          <t>VÄSTMANLANDS LÄN</t>
        </is>
      </c>
      <c r="G135" t="inlineStr">
        <is>
          <t>VÄSTERÅS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11137-2023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44987</v>
      </c>
      <c r="E136" s="1" t="n">
        <v>46280</v>
      </c>
      <c r="F136" t="inlineStr">
        <is>
          <t>VÄSTMANLANDS LÄN</t>
        </is>
      </c>
      <c r="G136" t="inlineStr">
        <is>
          <t>VÄSTERÅS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45516</v>
      </c>
      <c r="E137" s="1" t="n">
        <v>46280</v>
      </c>
      <c r="F137" t="inlineStr">
        <is>
          <t>VÄSTMANLANDS LÄN</t>
        </is>
      </c>
      <c r="G137" t="inlineStr">
        <is>
          <t>VÄSTERÅS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46280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46280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Övriga statliga verk och myndigheter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7797-2026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46062</v>
      </c>
      <c r="E140" s="1" t="n">
        <v>46280</v>
      </c>
      <c r="F140" t="inlineStr">
        <is>
          <t>VÄSTMANLANDS LÄN</t>
        </is>
      </c>
      <c r="G140" t="inlineStr">
        <is>
          <t>VÄSTERÅS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44880</v>
      </c>
      <c r="E141" s="1" t="n">
        <v>46280</v>
      </c>
      <c r="F141" t="inlineStr">
        <is>
          <t>VÄSTMANLANDS LÄN</t>
        </is>
      </c>
      <c r="G141" t="inlineStr">
        <is>
          <t>VÄSTERÅS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53833-2022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44880</v>
      </c>
      <c r="E142" s="1" t="n">
        <v>46280</v>
      </c>
      <c r="F142" t="inlineStr">
        <is>
          <t>VÄSTMANLANDS LÄN</t>
        </is>
      </c>
      <c r="G142" t="inlineStr">
        <is>
          <t>VÄSTERÅS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31361-2025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46280</v>
      </c>
      <c r="F143" t="inlineStr">
        <is>
          <t>VÄSTMANLANDS LÄN</t>
        </is>
      </c>
      <c r="G143" t="inlineStr">
        <is>
          <t>VÄSTERÅS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46280</v>
      </c>
      <c r="F144" t="inlineStr">
        <is>
          <t>VÄSTMANLANDS LÄN</t>
        </is>
      </c>
      <c r="G144" t="inlineStr">
        <is>
          <t>VÄSTERÅS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44999</v>
      </c>
      <c r="E145" s="1" t="n">
        <v>46280</v>
      </c>
      <c r="F145" t="inlineStr">
        <is>
          <t>VÄSTMANLANDS LÄN</t>
        </is>
      </c>
      <c r="G145" t="inlineStr">
        <is>
          <t>VÄSTERÅS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46280</v>
      </c>
      <c r="F146" t="inlineStr">
        <is>
          <t>VÄSTMANLANDS LÄN</t>
        </is>
      </c>
      <c r="G146" t="inlineStr">
        <is>
          <t>VÄSTERÅS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52027-2025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45952</v>
      </c>
      <c r="E147" s="1" t="n">
        <v>46280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Övriga statliga verk och myndigheter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45456</v>
      </c>
      <c r="E148" s="1" t="n">
        <v>46280</v>
      </c>
      <c r="F148" t="inlineStr">
        <is>
          <t>VÄSTMANLANDS LÄN</t>
        </is>
      </c>
      <c r="G148" t="inlineStr">
        <is>
          <t>VÄSTERÅS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11950-2022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44635</v>
      </c>
      <c r="E149" s="1" t="n">
        <v>46280</v>
      </c>
      <c r="F149" t="inlineStr">
        <is>
          <t>VÄSTMANLANDS LÄN</t>
        </is>
      </c>
      <c r="G149" t="inlineStr">
        <is>
          <t>VÄSTERÅS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46280</v>
      </c>
      <c r="F150" t="inlineStr">
        <is>
          <t>VÄSTMANLANDS LÄN</t>
        </is>
      </c>
      <c r="G150" t="inlineStr">
        <is>
          <t>VÄSTERÅS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46079</v>
      </c>
      <c r="E151" s="1" t="n">
        <v>46280</v>
      </c>
      <c r="F151" t="inlineStr">
        <is>
          <t>VÄSTMANLANDS LÄN</t>
        </is>
      </c>
      <c r="G151" t="inlineStr">
        <is>
          <t>VÄSTERÅS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46280</v>
      </c>
      <c r="F152" t="inlineStr">
        <is>
          <t>VÄSTMANLANDS LÄN</t>
        </is>
      </c>
      <c r="G152" t="inlineStr">
        <is>
          <t>VÄSTERÅS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44594</v>
      </c>
      <c r="E153" s="1" t="n">
        <v>46280</v>
      </c>
      <c r="F153" t="inlineStr">
        <is>
          <t>VÄSTMANLANDS LÄN</t>
        </is>
      </c>
      <c r="G153" t="inlineStr">
        <is>
          <t>VÄSTERÅS</t>
        </is>
      </c>
      <c r="I153" t="n">
        <v>20.3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46280</v>
      </c>
      <c r="F154" t="inlineStr">
        <is>
          <t>VÄSTMANLANDS LÄN</t>
        </is>
      </c>
      <c r="G154" t="inlineStr">
        <is>
          <t>VÄSTERÅS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11739-2026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46280</v>
      </c>
      <c r="F155" t="inlineStr">
        <is>
          <t>VÄSTMANLANDS LÄN</t>
        </is>
      </c>
      <c r="G155" t="inlineStr">
        <is>
          <t>VÄSTERÅS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46280</v>
      </c>
      <c r="F156" t="inlineStr">
        <is>
          <t>VÄSTMANLANDS LÄN</t>
        </is>
      </c>
      <c r="G156" t="inlineStr">
        <is>
          <t>VÄSTERÅS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10870-2026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46280</v>
      </c>
      <c r="F157" t="inlineStr">
        <is>
          <t>VÄSTMANLANDS LÄN</t>
        </is>
      </c>
      <c r="G157" t="inlineStr">
        <is>
          <t>VÄSTERÅS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46083</v>
      </c>
      <c r="E158" s="1" t="n">
        <v>46280</v>
      </c>
      <c r="F158" t="inlineStr">
        <is>
          <t>VÄSTMANLANDS LÄN</t>
        </is>
      </c>
      <c r="G158" t="inlineStr">
        <is>
          <t>VÄSTERÅS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46280</v>
      </c>
      <c r="F159" t="inlineStr">
        <is>
          <t>VÄSTMANLANDS LÄN</t>
        </is>
      </c>
      <c r="G159" t="inlineStr">
        <is>
          <t>VÄSTERÅS</t>
        </is>
      </c>
      <c r="H159" t="inlineStr">
        <is>
          <t>Övriga statliga verk och myndigheter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46280</v>
      </c>
      <c r="F160" t="inlineStr">
        <is>
          <t>VÄSTMANLANDS LÄN</t>
        </is>
      </c>
      <c r="G160" t="inlineStr">
        <is>
          <t>VÄSTERÅS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46280</v>
      </c>
      <c r="F161" t="inlineStr">
        <is>
          <t>VÄSTMANLANDS LÄN</t>
        </is>
      </c>
      <c r="G161" t="inlineStr">
        <is>
          <t>VÄSTERÅS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45125</v>
      </c>
      <c r="E162" s="1" t="n">
        <v>46280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44743</v>
      </c>
      <c r="E163" s="1" t="n">
        <v>46280</v>
      </c>
      <c r="F163" t="inlineStr">
        <is>
          <t>VÄSTMANLANDS LÄN</t>
        </is>
      </c>
      <c r="G163" t="inlineStr">
        <is>
          <t>VÄSTERÅS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64208-2023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45279</v>
      </c>
      <c r="E164" s="1" t="n">
        <v>46280</v>
      </c>
      <c r="F164" t="inlineStr">
        <is>
          <t>VÄSTMANLANDS LÄN</t>
        </is>
      </c>
      <c r="G164" t="inlineStr">
        <is>
          <t>VÄSTERÅS</t>
        </is>
      </c>
      <c r="I164" t="n">
        <v>13.9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39127-2022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44816</v>
      </c>
      <c r="E165" s="1" t="n">
        <v>46280</v>
      </c>
      <c r="F165" t="inlineStr">
        <is>
          <t>VÄSTMANLANDS LÄN</t>
        </is>
      </c>
      <c r="G165" t="inlineStr">
        <is>
          <t>VÄSTERÅS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46280</v>
      </c>
      <c r="F166" t="inlineStr">
        <is>
          <t>VÄSTMANLANDS LÄN</t>
        </is>
      </c>
      <c r="G166" t="inlineStr">
        <is>
          <t>VÄSTERÅS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46280</v>
      </c>
      <c r="F167" t="inlineStr">
        <is>
          <t>VÄSTMANLANDS LÄN</t>
        </is>
      </c>
      <c r="G167" t="inlineStr">
        <is>
          <t>VÄSTERÅS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46280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16583-2026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46280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Sveaskog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46280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46280</v>
      </c>
      <c r="F171" t="inlineStr">
        <is>
          <t>VÄSTMANLANDS LÄN</t>
        </is>
      </c>
      <c r="G171" t="inlineStr">
        <is>
          <t>VÄSTERÅS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46280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Sveaskog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46120</v>
      </c>
      <c r="E173" s="1" t="n">
        <v>46280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Allmännings- och besparingsskogar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44645</v>
      </c>
      <c r="E174" s="1" t="n">
        <v>46280</v>
      </c>
      <c r="F174" t="inlineStr">
        <is>
          <t>VÄSTMANLANDS LÄN</t>
        </is>
      </c>
      <c r="G174" t="inlineStr">
        <is>
          <t>VÄSTERÅS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46280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Kommuner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46280</v>
      </c>
      <c r="F176" t="inlineStr">
        <is>
          <t>VÄSTMANLANDS LÄN</t>
        </is>
      </c>
      <c r="G176" t="inlineStr">
        <is>
          <t>VÄSTERÅS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46280</v>
      </c>
      <c r="F177" t="inlineStr">
        <is>
          <t>VÄSTMANLANDS LÄN</t>
        </is>
      </c>
      <c r="G177" t="inlineStr">
        <is>
          <t>VÄSTERÅS</t>
        </is>
      </c>
      <c r="I177" t="n">
        <v>7.7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46280</v>
      </c>
      <c r="F178" t="inlineStr">
        <is>
          <t>VÄSTMANLANDS LÄN</t>
        </is>
      </c>
      <c r="G178" t="inlineStr">
        <is>
          <t>VÄSTERÅS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46135</v>
      </c>
      <c r="E179" s="1" t="n">
        <v>46280</v>
      </c>
      <c r="F179" t="inlineStr">
        <is>
          <t>VÄSTMANLANDS LÄN</t>
        </is>
      </c>
      <c r="G179" t="inlineStr">
        <is>
          <t>VÄSTERÅS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44635</v>
      </c>
      <c r="E180" s="1" t="n">
        <v>46280</v>
      </c>
      <c r="F180" t="inlineStr">
        <is>
          <t>VÄSTMANLANDS LÄN</t>
        </is>
      </c>
      <c r="G180" t="inlineStr">
        <is>
          <t>VÄSTERÅS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44635</v>
      </c>
      <c r="E181" s="1" t="n">
        <v>46280</v>
      </c>
      <c r="F181" t="inlineStr">
        <is>
          <t>VÄSTMANLANDS LÄN</t>
        </is>
      </c>
      <c r="G181" t="inlineStr">
        <is>
          <t>VÄSTERÅS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46280</v>
      </c>
      <c r="F182" t="inlineStr">
        <is>
          <t>VÄSTMANLANDS LÄN</t>
        </is>
      </c>
      <c r="G182" t="inlineStr">
        <is>
          <t>VÄSTERÅS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45979</v>
      </c>
      <c r="E183" s="1" t="n">
        <v>46280</v>
      </c>
      <c r="F183" t="inlineStr">
        <is>
          <t>VÄSTMANLANDS LÄN</t>
        </is>
      </c>
      <c r="G183" t="inlineStr">
        <is>
          <t>VÄSTERÅS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46280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46280</v>
      </c>
      <c r="F185" t="inlineStr">
        <is>
          <t>VÄSTMANLANDS LÄN</t>
        </is>
      </c>
      <c r="G185" t="inlineStr">
        <is>
          <t>VÄSTERÅS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46280</v>
      </c>
      <c r="F186" t="inlineStr">
        <is>
          <t>VÄSTMANLANDS LÄN</t>
        </is>
      </c>
      <c r="G186" t="inlineStr">
        <is>
          <t>VÄSTERÅS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44908</v>
      </c>
      <c r="E187" s="1" t="n">
        <v>46280</v>
      </c>
      <c r="F187" t="inlineStr">
        <is>
          <t>VÄSTMANLANDS LÄN</t>
        </is>
      </c>
      <c r="G187" t="inlineStr">
        <is>
          <t>VÄSTERÅS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45174</v>
      </c>
      <c r="E188" s="1" t="n">
        <v>46280</v>
      </c>
      <c r="F188" t="inlineStr">
        <is>
          <t>VÄSTMANLANDS LÄN</t>
        </is>
      </c>
      <c r="G188" t="inlineStr">
        <is>
          <t>VÄSTERÅS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46280</v>
      </c>
      <c r="F189" t="inlineStr">
        <is>
          <t>VÄSTMANLANDS LÄN</t>
        </is>
      </c>
      <c r="G189" t="inlineStr">
        <is>
          <t>VÄSTERÅS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45027</v>
      </c>
      <c r="E190" s="1" t="n">
        <v>46280</v>
      </c>
      <c r="F190" t="inlineStr">
        <is>
          <t>VÄSTMANLANDS LÄN</t>
        </is>
      </c>
      <c r="G190" t="inlineStr">
        <is>
          <t>VÄSTERÅS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45027</v>
      </c>
      <c r="E191" s="1" t="n">
        <v>46280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46280</v>
      </c>
      <c r="F192" t="inlineStr">
        <is>
          <t>VÄSTMANLANDS LÄN</t>
        </is>
      </c>
      <c r="G192" t="inlineStr">
        <is>
          <t>VÄSTERÅS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52015-2024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45607</v>
      </c>
      <c r="E193" s="1" t="n">
        <v>46280</v>
      </c>
      <c r="F193" t="inlineStr">
        <is>
          <t>VÄSTMANLANDS LÄN</t>
        </is>
      </c>
      <c r="G193" t="inlineStr">
        <is>
          <t>VÄSTERÅS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46280</v>
      </c>
      <c r="F194" t="inlineStr">
        <is>
          <t>VÄSTMANLANDS LÄN</t>
        </is>
      </c>
      <c r="G194" t="inlineStr">
        <is>
          <t>VÄSTERÅS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45219</v>
      </c>
      <c r="E195" s="1" t="n">
        <v>46280</v>
      </c>
      <c r="F195" t="inlineStr">
        <is>
          <t>VÄSTMANLANDS LÄN</t>
        </is>
      </c>
      <c r="G195" t="inlineStr">
        <is>
          <t>VÄSTERÅS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46280</v>
      </c>
      <c r="F196" t="inlineStr">
        <is>
          <t>VÄSTMANLANDS LÄN</t>
        </is>
      </c>
      <c r="G196" t="inlineStr">
        <is>
          <t>VÄSTERÅS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44582</v>
      </c>
      <c r="E197" s="1" t="n">
        <v>46280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Övriga Aktiebolag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44812</v>
      </c>
      <c r="E198" s="1" t="n">
        <v>46280</v>
      </c>
      <c r="F198" t="inlineStr">
        <is>
          <t>VÄSTMANLANDS LÄN</t>
        </is>
      </c>
      <c r="G198" t="inlineStr">
        <is>
          <t>VÄSTERÅS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44600</v>
      </c>
      <c r="E199" s="1" t="n">
        <v>46280</v>
      </c>
      <c r="F199" t="inlineStr">
        <is>
          <t>VÄSTMANLANDS LÄN</t>
        </is>
      </c>
      <c r="G199" t="inlineStr">
        <is>
          <t>VÄSTERÅS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46280</v>
      </c>
      <c r="F200" t="inlineStr">
        <is>
          <t>VÄSTMANLANDS LÄN</t>
        </is>
      </c>
      <c r="G200" t="inlineStr">
        <is>
          <t>VÄSTERÅS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45414</v>
      </c>
      <c r="E201" s="1" t="n">
        <v>46280</v>
      </c>
      <c r="F201" t="inlineStr">
        <is>
          <t>VÄSTMANLANDS LÄN</t>
        </is>
      </c>
      <c r="G201" t="inlineStr">
        <is>
          <t>VÄSTERÅS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18465-2023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45042</v>
      </c>
      <c r="E202" s="1" t="n">
        <v>46280</v>
      </c>
      <c r="F202" t="inlineStr">
        <is>
          <t>VÄSTMANLANDS LÄN</t>
        </is>
      </c>
      <c r="G202" t="inlineStr">
        <is>
          <t>VÄSTERÅS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22291-2026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46280</v>
      </c>
      <c r="F203" t="inlineStr">
        <is>
          <t>VÄSTMANLANDS LÄN</t>
        </is>
      </c>
      <c r="G203" t="inlineStr">
        <is>
          <t>VÄSTERÅS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46280</v>
      </c>
      <c r="F204" t="inlineStr">
        <is>
          <t>VÄSTMANLANDS LÄN</t>
        </is>
      </c>
      <c r="G204" t="inlineStr">
        <is>
          <t>VÄSTERÅS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64202-2023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46280</v>
      </c>
      <c r="F205" t="inlineStr">
        <is>
          <t>VÄSTMANLANDS LÄN</t>
        </is>
      </c>
      <c r="G205" t="inlineStr">
        <is>
          <t>VÄSTERÅS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45761</v>
      </c>
      <c r="E206" s="1" t="n">
        <v>46280</v>
      </c>
      <c r="F206" t="inlineStr">
        <is>
          <t>VÄSTMANLANDS LÄN</t>
        </is>
      </c>
      <c r="G206" t="inlineStr">
        <is>
          <t>VÄSTERÅS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46162</v>
      </c>
      <c r="E207" s="1" t="n">
        <v>46280</v>
      </c>
      <c r="F207" t="inlineStr">
        <is>
          <t>VÄSTMANLANDS LÄN</t>
        </is>
      </c>
      <c r="G207" t="inlineStr">
        <is>
          <t>VÄSTERÅS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46280</v>
      </c>
      <c r="F208" t="inlineStr">
        <is>
          <t>VÄSTMANLANDS LÄN</t>
        </is>
      </c>
      <c r="G208" t="inlineStr">
        <is>
          <t>VÄSTERÅS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46169</v>
      </c>
      <c r="E209" s="1" t="n">
        <v>46280</v>
      </c>
      <c r="F209" t="inlineStr">
        <is>
          <t>VÄSTMANLANDS LÄN</t>
        </is>
      </c>
      <c r="G209" t="inlineStr">
        <is>
          <t>VÄSTERÅS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46280</v>
      </c>
      <c r="F210" t="inlineStr">
        <is>
          <t>VÄSTMANLANDS LÄN</t>
        </is>
      </c>
      <c r="G210" t="inlineStr">
        <is>
          <t>VÄSTERÅS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46280</v>
      </c>
      <c r="F211" t="inlineStr">
        <is>
          <t>VÄSTMANLANDS LÄN</t>
        </is>
      </c>
      <c r="G211" t="inlineStr">
        <is>
          <t>VÄSTERÅS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45274</v>
      </c>
      <c r="E212" s="1" t="n">
        <v>46280</v>
      </c>
      <c r="F212" t="inlineStr">
        <is>
          <t>VÄSTMANLANDS LÄN</t>
        </is>
      </c>
      <c r="G212" t="inlineStr">
        <is>
          <t>VÄSTERÅS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46280</v>
      </c>
      <c r="F213" t="inlineStr">
        <is>
          <t>VÄSTMANLANDS LÄN</t>
        </is>
      </c>
      <c r="G213" t="inlineStr">
        <is>
          <t>VÄSTERÅS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46280</v>
      </c>
      <c r="F214" t="inlineStr">
        <is>
          <t>VÄSTMANLANDS LÄN</t>
        </is>
      </c>
      <c r="G214" t="inlineStr">
        <is>
          <t>VÄSTERÅS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46184</v>
      </c>
      <c r="E215" s="1" t="n">
        <v>46280</v>
      </c>
      <c r="F215" t="inlineStr">
        <is>
          <t>VÄSTMANLANDS LÄN</t>
        </is>
      </c>
      <c r="G215" t="inlineStr">
        <is>
          <t>VÄSTERÅS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46280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Allmännings- och besparingsskogar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46280</v>
      </c>
      <c r="F217" t="inlineStr">
        <is>
          <t>VÄSTMANLANDS LÄN</t>
        </is>
      </c>
      <c r="G217" t="inlineStr">
        <is>
          <t>VÄSTERÅS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46280</v>
      </c>
      <c r="F218" t="inlineStr">
        <is>
          <t>VÄSTMANLANDS LÄN</t>
        </is>
      </c>
      <c r="G218" t="inlineStr">
        <is>
          <t>VÄSTERÅS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46190</v>
      </c>
      <c r="E219" s="1" t="n">
        <v>46280</v>
      </c>
      <c r="F219" t="inlineStr">
        <is>
          <t>VÄSTMANLANDS LÄN</t>
        </is>
      </c>
      <c r="G219" t="inlineStr">
        <is>
          <t>VÄSTERÅS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28341-2026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46196</v>
      </c>
      <c r="E220" s="1" t="n">
        <v>46280</v>
      </c>
      <c r="F220" t="inlineStr">
        <is>
          <t>VÄSTMANLANDS LÄN</t>
        </is>
      </c>
      <c r="G220" t="inlineStr">
        <is>
          <t>VÄSTERÅS</t>
        </is>
      </c>
      <c r="I220" t="n">
        <v>14.1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46280</v>
      </c>
      <c r="F221" t="inlineStr">
        <is>
          <t>VÄSTMANLANDS LÄN</t>
        </is>
      </c>
      <c r="G221" t="inlineStr">
        <is>
          <t>VÄSTERÅS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45553</v>
      </c>
      <c r="E222" s="1" t="n">
        <v>46280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Kyrkan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45160</v>
      </c>
      <c r="E223" s="1" t="n">
        <v>46280</v>
      </c>
      <c r="F223" t="inlineStr">
        <is>
          <t>VÄSTMANLANDS LÄN</t>
        </is>
      </c>
      <c r="G223" t="inlineStr">
        <is>
          <t>VÄSTERÅS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15316-2022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44659</v>
      </c>
      <c r="E224" s="1" t="n">
        <v>46280</v>
      </c>
      <c r="F224" t="inlineStr">
        <is>
          <t>VÄSTMANLANDS LÄN</t>
        </is>
      </c>
      <c r="G224" t="inlineStr">
        <is>
          <t>VÄSTERÅS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44595</v>
      </c>
      <c r="E225" s="1" t="n">
        <v>46280</v>
      </c>
      <c r="F225" t="inlineStr">
        <is>
          <t>VÄSTMANLANDS LÄN</t>
        </is>
      </c>
      <c r="G225" t="inlineStr">
        <is>
          <t>VÄSTERÅS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46080</v>
      </c>
      <c r="E226" s="1" t="n">
        <v>46280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46080</v>
      </c>
      <c r="E227" s="1" t="n">
        <v>46280</v>
      </c>
      <c r="F227" t="inlineStr">
        <is>
          <t>VÄSTMANLANDS LÄN</t>
        </is>
      </c>
      <c r="G227" t="inlineStr">
        <is>
          <t>VÄSTERÅS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46213</v>
      </c>
      <c r="E228" s="1" t="n">
        <v>46280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46215</v>
      </c>
      <c r="E229" s="1" t="n">
        <v>46280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46215</v>
      </c>
      <c r="E230" s="1" t="n">
        <v>46280</v>
      </c>
      <c r="F230" t="inlineStr">
        <is>
          <t>VÄSTMANLANDS LÄN</t>
        </is>
      </c>
      <c r="G230" t="inlineStr">
        <is>
          <t>VÄSTERÅS</t>
        </is>
      </c>
      <c r="H230" t="inlineStr">
        <is>
          <t>Sveaskog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46215</v>
      </c>
      <c r="E231" s="1" t="n">
        <v>46280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46215</v>
      </c>
      <c r="E232" s="1" t="n">
        <v>46280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46215</v>
      </c>
      <c r="E233" s="1" t="n">
        <v>46280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Sveaskog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46215</v>
      </c>
      <c r="E234" s="1" t="n">
        <v>46280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46280</v>
      </c>
      <c r="F235" t="inlineStr">
        <is>
          <t>VÄSTMANLANDS LÄN</t>
        </is>
      </c>
      <c r="G235" t="inlineStr">
        <is>
          <t>VÄSTERÅS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31232-2026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46217</v>
      </c>
      <c r="E236" s="1" t="n">
        <v>46280</v>
      </c>
      <c r="F236" t="inlineStr">
        <is>
          <t>VÄSTMANLANDS LÄN</t>
        </is>
      </c>
      <c r="G236" t="inlineStr">
        <is>
          <t>VÄSTERÅS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46265</v>
      </c>
      <c r="E237" s="1" t="n">
        <v>46280</v>
      </c>
      <c r="F237" t="inlineStr">
        <is>
          <t>VÄSTMANLANDS LÄN</t>
        </is>
      </c>
      <c r="G237" t="inlineStr">
        <is>
          <t>VÄSTERÅS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46265</v>
      </c>
      <c r="E238" s="1" t="n">
        <v>46280</v>
      </c>
      <c r="F238" t="inlineStr">
        <is>
          <t>VÄSTMANLANDS LÄN</t>
        </is>
      </c>
      <c r="G238" t="inlineStr">
        <is>
          <t>VÄSTERÅS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46280</v>
      </c>
      <c r="F239" t="inlineStr">
        <is>
          <t>VÄSTMANLANDS LÄN</t>
        </is>
      </c>
      <c r="G239" t="inlineStr">
        <is>
          <t>VÄSTERÅS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63851-2021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44509</v>
      </c>
      <c r="E240" s="1" t="n">
        <v>46280</v>
      </c>
      <c r="F240" t="inlineStr">
        <is>
          <t>VÄSTMANLANDS LÄN</t>
        </is>
      </c>
      <c r="G240" t="inlineStr">
        <is>
          <t>VÄSTERÅS</t>
        </is>
      </c>
      <c r="I240" t="n">
        <v>11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45077</v>
      </c>
      <c r="E241" s="1" t="n">
        <v>46280</v>
      </c>
      <c r="F241" t="inlineStr">
        <is>
          <t>VÄSTMANLANDS LÄN</t>
        </is>
      </c>
      <c r="G241" t="inlineStr">
        <is>
          <t>VÄSTERÅS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60797-2022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44914</v>
      </c>
      <c r="E242" s="1" t="n">
        <v>46280</v>
      </c>
      <c r="F242" t="inlineStr">
        <is>
          <t>VÄSTMANLANDS LÄN</t>
        </is>
      </c>
      <c r="G242" t="inlineStr">
        <is>
          <t>VÄSTERÅS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46280</v>
      </c>
      <c r="F243" t="inlineStr">
        <is>
          <t>VÄSTMANLANDS LÄN</t>
        </is>
      </c>
      <c r="G243" t="inlineStr">
        <is>
          <t>VÄSTERÅS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8870-2026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46280</v>
      </c>
      <c r="F244" t="inlineStr">
        <is>
          <t>VÄSTMANLANDS LÄN</t>
        </is>
      </c>
      <c r="G244" t="inlineStr">
        <is>
          <t>VÄSTERÅS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18457-2023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45042</v>
      </c>
      <c r="E245" s="1" t="n">
        <v>46280</v>
      </c>
      <c r="F245" t="inlineStr">
        <is>
          <t>VÄSTMANLANDS LÄN</t>
        </is>
      </c>
      <c r="G245" t="inlineStr">
        <is>
          <t>VÄSTERÅS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46272</v>
      </c>
      <c r="E246" s="1" t="n">
        <v>46280</v>
      </c>
      <c r="F246" t="inlineStr">
        <is>
          <t>VÄSTMANLANDS LÄN</t>
        </is>
      </c>
      <c r="G246" t="inlineStr">
        <is>
          <t>VÄSTERÅS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22978-2022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44717</v>
      </c>
      <c r="E247" s="1" t="n">
        <v>46280</v>
      </c>
      <c r="F247" t="inlineStr">
        <is>
          <t>VÄSTMANLANDS LÄN</t>
        </is>
      </c>
      <c r="G247" t="inlineStr">
        <is>
          <t>VÄSTERÅS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37159-2026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46274</v>
      </c>
      <c r="E248" s="1" t="n">
        <v>46280</v>
      </c>
      <c r="F248" t="inlineStr">
        <is>
          <t>VÄSTMANLANDS LÄN</t>
        </is>
      </c>
      <c r="G248" t="inlineStr">
        <is>
          <t>VÄSTERÅS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46274</v>
      </c>
      <c r="E249" s="1" t="n">
        <v>46280</v>
      </c>
      <c r="F249" t="inlineStr">
        <is>
          <t>VÄSTMANLANDS LÄN</t>
        </is>
      </c>
      <c r="G249" t="inlineStr">
        <is>
          <t>VÄSTERÅS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46280</v>
      </c>
      <c r="F250" t="inlineStr">
        <is>
          <t>VÄSTMANLANDS LÄN</t>
        </is>
      </c>
      <c r="G250" t="inlineStr">
        <is>
          <t>VÄSTERÅS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17725-2022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44680</v>
      </c>
      <c r="E251" s="1" t="n">
        <v>46280</v>
      </c>
      <c r="F251" t="inlineStr">
        <is>
          <t>VÄSTMANLANDS LÄN</t>
        </is>
      </c>
      <c r="G251" t="inlineStr">
        <is>
          <t>VÄSTERÅS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46280</v>
      </c>
      <c r="F252" t="inlineStr">
        <is>
          <t>VÄSTMANLANDS LÄN</t>
        </is>
      </c>
      <c r="G252" t="inlineStr">
        <is>
          <t>VÄSTERÅS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46280</v>
      </c>
      <c r="F253" t="inlineStr">
        <is>
          <t>VÄSTMANLANDS LÄN</t>
        </is>
      </c>
      <c r="G253" t="inlineStr">
        <is>
          <t>VÄSTERÅS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46280</v>
      </c>
      <c r="F254" t="inlineStr">
        <is>
          <t>VÄSTMANLANDS LÄN</t>
        </is>
      </c>
      <c r="G254" t="inlineStr">
        <is>
          <t>VÄSTERÅS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46280</v>
      </c>
      <c r="F255" t="inlineStr">
        <is>
          <t>VÄSTMANLANDS LÄN</t>
        </is>
      </c>
      <c r="G255" t="inlineStr">
        <is>
          <t>VÄSTERÅS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44986</v>
      </c>
      <c r="E256" s="1" t="n">
        <v>46280</v>
      </c>
      <c r="F256" t="inlineStr">
        <is>
          <t>VÄSTMANLANDS LÄN</t>
        </is>
      </c>
      <c r="G256" t="inlineStr">
        <is>
          <t>VÄSTERÅS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57873-2022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44899</v>
      </c>
      <c r="E257" s="1" t="n">
        <v>46280</v>
      </c>
      <c r="F257" t="inlineStr">
        <is>
          <t>VÄSTMANLANDS LÄN</t>
        </is>
      </c>
      <c r="G257" t="inlineStr">
        <is>
          <t>VÄSTERÅS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45019</v>
      </c>
      <c r="E258" s="1" t="n">
        <v>46280</v>
      </c>
      <c r="F258" t="inlineStr">
        <is>
          <t>VÄSTMANLANDS LÄN</t>
        </is>
      </c>
      <c r="G258" t="inlineStr">
        <is>
          <t>VÄSTERÅS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12143-2022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44636</v>
      </c>
      <c r="E259" s="1" t="n">
        <v>46280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Kommuner</t>
        </is>
      </c>
      <c r="I259" t="n">
        <v>12.9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44636</v>
      </c>
      <c r="E260" s="1" t="n">
        <v>46280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Kommuner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44840</v>
      </c>
      <c r="E261" s="1" t="n">
        <v>46280</v>
      </c>
      <c r="F261" t="inlineStr">
        <is>
          <t>VÄSTMANLANDS LÄN</t>
        </is>
      </c>
      <c r="G261" t="inlineStr">
        <is>
          <t>VÄSTERÅS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44574</v>
      </c>
      <c r="E262" s="1" t="n">
        <v>46280</v>
      </c>
      <c r="F262" t="inlineStr">
        <is>
          <t>VÄSTMANLANDS LÄN</t>
        </is>
      </c>
      <c r="G262" t="inlineStr">
        <is>
          <t>VÄSTERÅS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56532-2022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44893</v>
      </c>
      <c r="E263" s="1" t="n">
        <v>46280</v>
      </c>
      <c r="F263" t="inlineStr">
        <is>
          <t>VÄSTMANLANDS LÄN</t>
        </is>
      </c>
      <c r="G263" t="inlineStr">
        <is>
          <t>VÄSTERÅS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15889-2022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44664</v>
      </c>
      <c r="E264" s="1" t="n">
        <v>46280</v>
      </c>
      <c r="F264" t="inlineStr">
        <is>
          <t>VÄSTMANLANDS LÄN</t>
        </is>
      </c>
      <c r="G264" t="inlineStr">
        <is>
          <t>VÄSTERÅS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45110</v>
      </c>
      <c r="E265" s="1" t="n">
        <v>46280</v>
      </c>
      <c r="F265" t="inlineStr">
        <is>
          <t>VÄSTMANLANDS LÄN</t>
        </is>
      </c>
      <c r="G265" t="inlineStr">
        <is>
          <t>VÄSTERÅS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45019</v>
      </c>
      <c r="E266" s="1" t="n">
        <v>46280</v>
      </c>
      <c r="F266" t="inlineStr">
        <is>
          <t>VÄSTMANLANDS LÄN</t>
        </is>
      </c>
      <c r="G266" t="inlineStr">
        <is>
          <t>VÄSTERÅS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45019</v>
      </c>
      <c r="E267" s="1" t="n">
        <v>46280</v>
      </c>
      <c r="F267" t="inlineStr">
        <is>
          <t>VÄSTMANLANDS LÄN</t>
        </is>
      </c>
      <c r="G267" t="inlineStr">
        <is>
          <t>VÄSTERÅS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18482-2023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45042</v>
      </c>
      <c r="E268" s="1" t="n">
        <v>46280</v>
      </c>
      <c r="F268" t="inlineStr">
        <is>
          <t>VÄSTMANLANDS LÄN</t>
        </is>
      </c>
      <c r="G268" t="inlineStr">
        <is>
          <t>VÄSTERÅS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58085-2022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46280</v>
      </c>
      <c r="F269" t="inlineStr">
        <is>
          <t>VÄSTMANLANDS LÄN</t>
        </is>
      </c>
      <c r="G269" t="inlineStr">
        <is>
          <t>VÄSTERÅS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45761</v>
      </c>
      <c r="E270" s="1" t="n">
        <v>46280</v>
      </c>
      <c r="F270" t="inlineStr">
        <is>
          <t>VÄSTMANLANDS LÄN</t>
        </is>
      </c>
      <c r="G270" t="inlineStr">
        <is>
          <t>VÄSTERÅS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45083</v>
      </c>
      <c r="E271" s="1" t="n">
        <v>46280</v>
      </c>
      <c r="F271" t="inlineStr">
        <is>
          <t>VÄSTMANLANDS LÄN</t>
        </is>
      </c>
      <c r="G271" t="inlineStr">
        <is>
          <t>VÄSTERÅS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45400</v>
      </c>
      <c r="E272" s="1" t="n">
        <v>46280</v>
      </c>
      <c r="F272" t="inlineStr">
        <is>
          <t>VÄSTMANLANDS LÄN</t>
        </is>
      </c>
      <c r="G272" t="inlineStr">
        <is>
          <t>VÄSTERÅS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7378-2022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44606</v>
      </c>
      <c r="E273" s="1" t="n">
        <v>46280</v>
      </c>
      <c r="F273" t="inlineStr">
        <is>
          <t>VÄSTMANLANDS LÄN</t>
        </is>
      </c>
      <c r="G273" t="inlineStr">
        <is>
          <t>VÄSTERÅS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13388-2025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45735</v>
      </c>
      <c r="E274" s="1" t="n">
        <v>46280</v>
      </c>
      <c r="F274" t="inlineStr">
        <is>
          <t>VÄSTMANLANDS LÄN</t>
        </is>
      </c>
      <c r="G274" t="inlineStr">
        <is>
          <t>VÄSTERÅS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44978</v>
      </c>
      <c r="E275" s="1" t="n">
        <v>46280</v>
      </c>
      <c r="F275" t="inlineStr">
        <is>
          <t>VÄSTMANLANDS LÄN</t>
        </is>
      </c>
      <c r="G275" t="inlineStr">
        <is>
          <t>VÄSTERÅS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67352-2021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44523</v>
      </c>
      <c r="E276" s="1" t="n">
        <v>46280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Övriga Aktiebolag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46280</v>
      </c>
      <c r="F277" t="inlineStr">
        <is>
          <t>VÄSTMANLANDS LÄN</t>
        </is>
      </c>
      <c r="G277" t="inlineStr">
        <is>
          <t>VÄSTERÅS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45579</v>
      </c>
      <c r="E278" s="1" t="n">
        <v>46280</v>
      </c>
      <c r="F278" t="inlineStr">
        <is>
          <t>VÄSTMANLANDS LÄN</t>
        </is>
      </c>
      <c r="G278" t="inlineStr">
        <is>
          <t>VÄSTERÅS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52396-2022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44874</v>
      </c>
      <c r="E279" s="1" t="n">
        <v>46280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58231-2022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44901</v>
      </c>
      <c r="E280" s="1" t="n">
        <v>46280</v>
      </c>
      <c r="F280" t="inlineStr">
        <is>
          <t>VÄSTMANLANDS LÄN</t>
        </is>
      </c>
      <c r="G280" t="inlineStr">
        <is>
          <t>VÄSTERÅS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45218</v>
      </c>
      <c r="E281" s="1" t="n">
        <v>46280</v>
      </c>
      <c r="F281" t="inlineStr">
        <is>
          <t>VÄSTMANLANDS LÄN</t>
        </is>
      </c>
      <c r="G281" t="inlineStr">
        <is>
          <t>VÄSTERÅS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61258-2023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45264</v>
      </c>
      <c r="E282" s="1" t="n">
        <v>46280</v>
      </c>
      <c r="F282" t="inlineStr">
        <is>
          <t>VÄSTMANLANDS LÄN</t>
        </is>
      </c>
      <c r="G282" t="inlineStr">
        <is>
          <t>VÄSTERÅS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18467-2023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45042</v>
      </c>
      <c r="E283" s="1" t="n">
        <v>46280</v>
      </c>
      <c r="F283" t="inlineStr">
        <is>
          <t>VÄSTMANLANDS LÄN</t>
        </is>
      </c>
      <c r="G283" t="inlineStr">
        <is>
          <t>VÄSTERÅS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45457</v>
      </c>
      <c r="E284" s="1" t="n">
        <v>46280</v>
      </c>
      <c r="F284" t="inlineStr">
        <is>
          <t>VÄSTMANLANDS LÄN</t>
        </is>
      </c>
      <c r="G284" t="inlineStr">
        <is>
          <t>VÄSTERÅS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46280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67350-2021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44523</v>
      </c>
      <c r="E286" s="1" t="n">
        <v>46280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Övriga Aktiebolag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10496-2022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44623</v>
      </c>
      <c r="E287" s="1" t="n">
        <v>46280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45033</v>
      </c>
      <c r="E288" s="1" t="n">
        <v>46280</v>
      </c>
      <c r="F288" t="inlineStr">
        <is>
          <t>VÄSTMANLANDS LÄN</t>
        </is>
      </c>
      <c r="G288" t="inlineStr">
        <is>
          <t>VÄSTERÅS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73994-2021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44556</v>
      </c>
      <c r="E289" s="1" t="n">
        <v>46280</v>
      </c>
      <c r="F289" t="inlineStr">
        <is>
          <t>VÄSTMANLANDS LÄN</t>
        </is>
      </c>
      <c r="G289" t="inlineStr">
        <is>
          <t>VÄSTERÅS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61249-2021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46280</v>
      </c>
      <c r="F290" t="inlineStr">
        <is>
          <t>VÄSTMANLANDS LÄN</t>
        </is>
      </c>
      <c r="G290" t="inlineStr">
        <is>
          <t>VÄSTERÅS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50987-2024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46280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44792</v>
      </c>
      <c r="E292" s="1" t="n">
        <v>46280</v>
      </c>
      <c r="F292" t="inlineStr">
        <is>
          <t>VÄSTMANLANDS LÄN</t>
        </is>
      </c>
      <c r="G292" t="inlineStr">
        <is>
          <t>VÄSTERÅS</t>
        </is>
      </c>
      <c r="I292" t="n">
        <v>9.6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45222</v>
      </c>
      <c r="E293" s="1" t="n">
        <v>46280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44874</v>
      </c>
      <c r="E294" s="1" t="n">
        <v>46280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21761-2022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44708</v>
      </c>
      <c r="E295" s="1" t="n">
        <v>46280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44755</v>
      </c>
      <c r="E296" s="1" t="n">
        <v>46280</v>
      </c>
      <c r="F296" t="inlineStr">
        <is>
          <t>VÄSTMANLANDS LÄN</t>
        </is>
      </c>
      <c r="G296" t="inlineStr">
        <is>
          <t>VÄSTERÅS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67353-2021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44523</v>
      </c>
      <c r="E297" s="1" t="n">
        <v>46280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Övriga Aktiebolag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46280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56980-2021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44482</v>
      </c>
      <c r="E299" s="1" t="n">
        <v>46280</v>
      </c>
      <c r="F299" t="inlineStr">
        <is>
          <t>VÄSTMANLANDS LÄN</t>
        </is>
      </c>
      <c r="G299" t="inlineStr">
        <is>
          <t>VÄSTERÅS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45705</v>
      </c>
      <c r="E300" s="1" t="n">
        <v>46280</v>
      </c>
      <c r="F300" t="inlineStr">
        <is>
          <t>VÄSTMANLANDS LÄN</t>
        </is>
      </c>
      <c r="G300" t="inlineStr">
        <is>
          <t>VÄSTERÅS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46280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15201-2022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44658</v>
      </c>
      <c r="E302" s="1" t="n">
        <v>46280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44903</v>
      </c>
      <c r="E303" s="1" t="n">
        <v>46280</v>
      </c>
      <c r="F303" t="inlineStr">
        <is>
          <t>VÄSTMANLANDS LÄN</t>
        </is>
      </c>
      <c r="G303" t="inlineStr">
        <is>
          <t>VÄSTERÅS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46280</v>
      </c>
      <c r="F304" t="inlineStr">
        <is>
          <t>VÄSTMANLANDS LÄN</t>
        </is>
      </c>
      <c r="G304" t="inlineStr">
        <is>
          <t>VÄSTERÅS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8727-2023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44978</v>
      </c>
      <c r="E305" s="1" t="n">
        <v>46280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Kyrkan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16214-2023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45028</v>
      </c>
      <c r="E306" s="1" t="n">
        <v>46280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14851-2024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45398</v>
      </c>
      <c r="E307" s="1" t="n">
        <v>46280</v>
      </c>
      <c r="F307" t="inlineStr">
        <is>
          <t>VÄSTMANLANDS LÄN</t>
        </is>
      </c>
      <c r="G307" t="inlineStr">
        <is>
          <t>VÄSTERÅS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46280</v>
      </c>
      <c r="F308" t="inlineStr">
        <is>
          <t>VÄSTMANLANDS LÄN</t>
        </is>
      </c>
      <c r="G308" t="inlineStr">
        <is>
          <t>VÄSTERÅS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45366</v>
      </c>
      <c r="E309" s="1" t="n">
        <v>46280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44994</v>
      </c>
      <c r="E310" s="1" t="n">
        <v>46280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70642-2021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44537</v>
      </c>
      <c r="E311" s="1" t="n">
        <v>46280</v>
      </c>
      <c r="F311" t="inlineStr">
        <is>
          <t>VÄSTMANLANDS LÄN</t>
        </is>
      </c>
      <c r="G311" t="inlineStr">
        <is>
          <t>VÄSTERÅS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23765-2022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46280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46280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45296</v>
      </c>
      <c r="E314" s="1" t="n">
        <v>46280</v>
      </c>
      <c r="F314" t="inlineStr">
        <is>
          <t>VÄSTMANLANDS LÄN</t>
        </is>
      </c>
      <c r="G314" t="inlineStr">
        <is>
          <t>VÄSTERÅS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17808-2023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45037</v>
      </c>
      <c r="E315" s="1" t="n">
        <v>46280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45223</v>
      </c>
      <c r="E316" s="1" t="n">
        <v>46280</v>
      </c>
      <c r="F316" t="inlineStr">
        <is>
          <t>VÄSTMANLANDS LÄN</t>
        </is>
      </c>
      <c r="G316" t="inlineStr">
        <is>
          <t>VÄSTERÅS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73597-2021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44552</v>
      </c>
      <c r="E317" s="1" t="n">
        <v>46280</v>
      </c>
      <c r="F317" t="inlineStr">
        <is>
          <t>VÄSTMANLANDS LÄN</t>
        </is>
      </c>
      <c r="G317" t="inlineStr">
        <is>
          <t>VÄSTERÅS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36641-2023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46280</v>
      </c>
      <c r="F318" t="inlineStr">
        <is>
          <t>VÄSTMANLANDS LÄN</t>
        </is>
      </c>
      <c r="G318" t="inlineStr">
        <is>
          <t>VÄSTERÅS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45448</v>
      </c>
      <c r="E319" s="1" t="n">
        <v>46280</v>
      </c>
      <c r="F319" t="inlineStr">
        <is>
          <t>VÄSTMANLANDS LÄN</t>
        </is>
      </c>
      <c r="G319" t="inlineStr">
        <is>
          <t>VÄSTERÅS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44657</v>
      </c>
      <c r="E320" s="1" t="n">
        <v>46280</v>
      </c>
      <c r="F320" t="inlineStr">
        <is>
          <t>VÄSTMANLANDS LÄN</t>
        </is>
      </c>
      <c r="G320" t="inlineStr">
        <is>
          <t>VÄSTERÅS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46280</v>
      </c>
      <c r="F321" t="inlineStr">
        <is>
          <t>VÄSTMANLANDS LÄN</t>
        </is>
      </c>
      <c r="G321" t="inlineStr">
        <is>
          <t>VÄSTERÅS</t>
        </is>
      </c>
      <c r="I321" t="n">
        <v>15.4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46280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46280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953-2023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45005</v>
      </c>
      <c r="E324" s="1" t="n">
        <v>46280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1415-2022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44634</v>
      </c>
      <c r="E325" s="1" t="n">
        <v>46280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Kyrkan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46280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46280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46280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2026-09-15T08:13:58Z</dcterms:created>
  <dcterms:modified xmlns:dcterms="http://purl.org/dc/terms/" xmlns:xsi="http://www.w3.org/2001/XMLSchema-instance" xsi:type="dcterms:W3CDTF">2026-09-15T08:13:59Z</dcterms:modified>
</cp:coreProperties>
</file>