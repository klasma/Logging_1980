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46265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46265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46265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46265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46265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46265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46265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46265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46265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46265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46265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46265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46265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46265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46265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46265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46265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46265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Vithornad barkskinnbagge
Xyletinus ater
Mindre märgborre
Fiskgjuse</t>
        </is>
      </c>
      <c r="W19">
        <f>HYPERLINK("https://klasma.github.io/Logging_1980/artfynd/A 47228-2022 artfynd.xlsx", "A 47228-2022")</f>
        <v/>
      </c>
      <c r="X19">
        <f>HYPERLINK("https://klasma.github.io/Logging_1980/kartor/A 47228-2022 karta.png", "A 47228-2022")</f>
        <v/>
      </c>
      <c r="Y19">
        <f>HYPERLINK("https://klasma.github.io/Logging_1980/kartor_geotiff/A 47228-2022 georefererad karta.tif", "A 47228-2022")</f>
        <v/>
      </c>
      <c r="AA19">
        <f>HYPERLINK("https://klasma.github.io/Logging_1980/klagomål/A 47228-2022 FSC-klagomål.docx", "A 47228-2022")</f>
        <v/>
      </c>
      <c r="AB19">
        <f>HYPERLINK("https://klasma.github.io/Logging_1980/klagomålsmail/A 47228-2022 FSC-klagomål mail.docx", "A 47228-2022")</f>
        <v/>
      </c>
      <c r="AC19">
        <f>HYPERLINK("https://klasma.github.io/Logging_1980/tillsyn/A 47228-2022 tillsynsbegäran.docx", "A 47228-2022")</f>
        <v/>
      </c>
      <c r="AD19">
        <f>HYPERLINK("https://klasma.github.io/Logging_1980/tillsynsmail/A 47228-2022 tillsynsbegäran mail.docx", "A 47228-2022")</f>
        <v/>
      </c>
      <c r="AE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46265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46265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46265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Gullklöver
Svinrot
Hasselticka
Kopparödla</t>
        </is>
      </c>
      <c r="W22">
        <f>HYPERLINK("https://klasma.github.io/Logging_1980/artfynd/A 47695-2023 artfynd.xlsx", "A 47695-2023")</f>
        <v/>
      </c>
      <c r="X22">
        <f>HYPERLINK("https://klasma.github.io/Logging_1980/kartor/A 47695-2023 karta.png", "A 47695-2023")</f>
        <v/>
      </c>
      <c r="Y22">
        <f>HYPERLINK("https://klasma.github.io/Logging_1980/kartor_geotiff/A 47695-2023 georefererad karta.tif", "A 47695-2023")</f>
        <v/>
      </c>
      <c r="AA22">
        <f>HYPERLINK("https://klasma.github.io/Logging_1980/klagomål/A 47695-2023 FSC-klagomål.docx", "A 47695-2023")</f>
        <v/>
      </c>
      <c r="AB22">
        <f>HYPERLINK("https://klasma.github.io/Logging_1980/klagomålsmail/A 47695-2023 FSC-klagomål mail.docx", "A 47695-2023")</f>
        <v/>
      </c>
      <c r="AC22">
        <f>HYPERLINK("https://klasma.github.io/Logging_1980/tillsyn/A 47695-2023 tillsynsbegäran.docx", "A 47695-2023")</f>
        <v/>
      </c>
      <c r="AD22">
        <f>HYPERLINK("https://klasma.github.io/Logging_1980/tillsynsmail/A 47695-2023 tillsynsbegäran mail.docx", "A 47695-2023")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46265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46265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46265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46265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46265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46265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Källpraktmossa
Stubbspretmossa
Vanlig rörsvepemossa</t>
        </is>
      </c>
      <c r="W28">
        <f>HYPERLINK("https://klasma.github.io/Logging_1980/artfynd/A 64201-2023 artfynd.xlsx", "A 64201-2023")</f>
        <v/>
      </c>
      <c r="X28">
        <f>HYPERLINK("https://klasma.github.io/Logging_1980/kartor/A 64201-2023 karta.png", "A 64201-2023")</f>
        <v/>
      </c>
      <c r="Y28">
        <f>HYPERLINK("https://klasma.github.io/Logging_1980/kartor_geotiff/A 64201-2023 georefererad karta.tif", "A 64201-2023")</f>
        <v/>
      </c>
      <c r="AA28">
        <f>HYPERLINK("https://klasma.github.io/Logging_1980/klagomål/A 64201-2023 FSC-klagomål.docx", "A 64201-2023")</f>
        <v/>
      </c>
      <c r="AB28">
        <f>HYPERLINK("https://klasma.github.io/Logging_1980/klagomålsmail/A 64201-2023 FSC-klagomål mail.docx", "A 64201-2023")</f>
        <v/>
      </c>
      <c r="AC28">
        <f>HYPERLINK("https://klasma.github.io/Logging_1980/tillsyn/A 64201-2023 tillsynsbegäran.docx", "A 64201-2023")</f>
        <v/>
      </c>
      <c r="AD28">
        <f>HYPERLINK("https://klasma.github.io/Logging_1980/tillsynsmail/A 64201-2023 tillsynsbegäran mail.docx", "A 64201-2023")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46265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46265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46265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46265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59143-2025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46265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12.4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Grönpyrola
Fiskgjuse</t>
        </is>
      </c>
      <c r="W33">
        <f>HYPERLINK("https://klasma.github.io/Logging_1980/artfynd/A 59143-2025 artfynd.xlsx", "A 59143-2025")</f>
        <v/>
      </c>
      <c r="X33">
        <f>HYPERLINK("https://klasma.github.io/Logging_1980/kartor/A 59143-2025 karta.png", "A 59143-2025")</f>
        <v/>
      </c>
      <c r="Y33">
        <f>HYPERLINK("https://klasma.github.io/Logging_1980/kartor_geotiff/A 59143-2025 georefererad karta.tif", "A 59143-2025")</f>
        <v/>
      </c>
      <c r="AA33">
        <f>HYPERLINK("https://klasma.github.io/Logging_1980/klagomål/A 59143-2025 FSC-klagomål.docx", "A 59143-2025")</f>
        <v/>
      </c>
      <c r="AB33">
        <f>HYPERLINK("https://klasma.github.io/Logging_1980/klagomålsmail/A 59143-2025 FSC-klagomål mail.docx", "A 59143-2025")</f>
        <v/>
      </c>
      <c r="AC33">
        <f>HYPERLINK("https://klasma.github.io/Logging_1980/tillsyn/A 59143-2025 tillsynsbegäran.docx", "A 59143-2025")</f>
        <v/>
      </c>
      <c r="AD33">
        <f>HYPERLINK("https://klasma.github.io/Logging_1980/tillsynsmail/A 59143-2025 tillsynsbegäran mail.docx", "A 59143-2025")</f>
        <v/>
      </c>
      <c r="AE33">
        <f>HYPERLINK("https://klasma.github.io/Logging_1980/fåglar/A 59143-2025 prioriterade fågelarter.docx", "A 59143-2025")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46265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46265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46265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46265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46265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46265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46265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46265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40886-2025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46265</v>
      </c>
      <c r="F42" t="inlineStr">
        <is>
          <t>VÄSTMANLANDS LÄN</t>
        </is>
      </c>
      <c r="G42" t="inlineStr">
        <is>
          <t>VÄSTERÅS</t>
        </is>
      </c>
      <c r="I42" t="n">
        <v>1.5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HYPERLINK("https://klasma.github.io/Logging_1980/artfynd/A 40886-2025 artfynd.xlsx", "A 40886-2025")</f>
        <v/>
      </c>
      <c r="X42">
        <f>HYPERLINK("https://klasma.github.io/Logging_1980/kartor/A 40886-2025 karta.png", "A 40886-2025")</f>
        <v/>
      </c>
      <c r="Y42">
        <f>HYPERLINK("https://klasma.github.io/Logging_1980/kartor_geotiff/A 40886-2025 georefererad karta.tif", "A 40886-2025")</f>
        <v/>
      </c>
      <c r="AA42">
        <f>HYPERLINK("https://klasma.github.io/Logging_1980/klagomål/A 40886-2025 FSC-klagomål.docx", "A 40886-2025")</f>
        <v/>
      </c>
      <c r="AB42">
        <f>HYPERLINK("https://klasma.github.io/Logging_1980/klagomålsmail/A 40886-2025 FSC-klagomål mail.docx", "A 40886-2025")</f>
        <v/>
      </c>
      <c r="AC42">
        <f>HYPERLINK("https://klasma.github.io/Logging_1980/tillsyn/A 40886-2025 tillsynsbegäran.docx", "A 40886-2025")</f>
        <v/>
      </c>
      <c r="AD42">
        <f>HYPERLINK("https://klasma.github.io/Logging_1980/tillsynsmail/A 40886-2025 tillsynsbegäran mail.docx", "A 40886-2025")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46265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HYPERLINK("https://klasma.github.io/Logging_1980/artfynd/A 12905-2022 artfynd.xlsx", "A 12905-2022")</f>
        <v/>
      </c>
      <c r="X43">
        <f>HYPERLINK("https://klasma.github.io/Logging_1980/kartor/A 12905-2022 karta.png", "A 12905-2022")</f>
        <v/>
      </c>
      <c r="Y43">
        <f>HYPERLINK("https://klasma.github.io/Logging_1980/kartor_geotiff/A 12905-2022 georefererad karta.tif", "A 12905-2022")</f>
        <v/>
      </c>
      <c r="AA43">
        <f>HYPERLINK("https://klasma.github.io/Logging_1980/klagomål/A 12905-2022 FSC-klagomål.docx", "A 12905-2022")</f>
        <v/>
      </c>
      <c r="AB43">
        <f>HYPERLINK("https://klasma.github.io/Logging_1980/klagomålsmail/A 12905-2022 FSC-klagomål mail.docx", "A 12905-2022")</f>
        <v/>
      </c>
      <c r="AC43">
        <f>HYPERLINK("https://klasma.github.io/Logging_1980/tillsyn/A 12905-2022 tillsynsbegäran.docx", "A 12905-2022")</f>
        <v/>
      </c>
      <c r="AD43">
        <f>HYPERLINK("https://klasma.github.io/Logging_1980/tillsynsmail/A 12905-2022 tillsynsbegäran mail.docx", "A 12905-2022")</f>
        <v/>
      </c>
    </row>
    <row r="44" ht="15" customHeight="1">
      <c r="A44" t="inlineStr">
        <is>
          <t>A 16374-2025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46265</v>
      </c>
      <c r="F44" t="inlineStr">
        <is>
          <t>VÄSTMANLANDS LÄN</t>
        </is>
      </c>
      <c r="G44" t="inlineStr">
        <is>
          <t>VÄSTERÅS</t>
        </is>
      </c>
      <c r="I44" t="n">
        <v>0.6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Lönnlav</t>
        </is>
      </c>
      <c r="W44">
        <f>HYPERLINK("https://klasma.github.io/Logging_1980/artfynd/A 16374-2025 artfynd.xlsx", "A 16374-2025")</f>
        <v/>
      </c>
      <c r="X44">
        <f>HYPERLINK("https://klasma.github.io/Logging_1980/kartor/A 16374-2025 karta.png", "A 16374-2025")</f>
        <v/>
      </c>
      <c r="Y44">
        <f>HYPERLINK("https://klasma.github.io/Logging_1980/kartor_geotiff/A 16374-2025 georefererad karta.tif", "A 16374-2025")</f>
        <v/>
      </c>
      <c r="AA44">
        <f>HYPERLINK("https://klasma.github.io/Logging_1980/klagomål/A 16374-2025 FSC-klagomål.docx", "A 16374-2025")</f>
        <v/>
      </c>
      <c r="AB44">
        <f>HYPERLINK("https://klasma.github.io/Logging_1980/klagomålsmail/A 16374-2025 FSC-klagomål mail.docx", "A 16374-2025")</f>
        <v/>
      </c>
      <c r="AC44">
        <f>HYPERLINK("https://klasma.github.io/Logging_1980/tillsyn/A 16374-2025 tillsynsbegäran.docx", "A 16374-2025")</f>
        <v/>
      </c>
      <c r="AD44">
        <f>HYPERLINK("https://klasma.github.io/Logging_1980/tillsynsmail/A 16374-2025 tillsynsbegäran mail.docx", "A 16374-2025")</f>
        <v/>
      </c>
    </row>
    <row r="45" ht="15" customHeight="1">
      <c r="A45" t="inlineStr">
        <is>
          <t>A 59144-2025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46265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HYPERLINK("https://klasma.github.io/Logging_1980/artfynd/A 59144-2025 artfynd.xlsx", "A 59144-2025")</f>
        <v/>
      </c>
      <c r="X45">
        <f>HYPERLINK("https://klasma.github.io/Logging_1980/kartor/A 59144-2025 karta.png", "A 59144-2025")</f>
        <v/>
      </c>
      <c r="Y45">
        <f>HYPERLINK("https://klasma.github.io/Logging_1980/kartor_geotiff/A 59144-2025 georefererad karta.tif", "A 59144-2025")</f>
        <v/>
      </c>
      <c r="AA45">
        <f>HYPERLINK("https://klasma.github.io/Logging_1980/klagomål/A 59144-2025 FSC-klagomål.docx", "A 59144-2025")</f>
        <v/>
      </c>
      <c r="AB45">
        <f>HYPERLINK("https://klasma.github.io/Logging_1980/klagomålsmail/A 59144-2025 FSC-klagomål mail.docx", "A 59144-2025")</f>
        <v/>
      </c>
      <c r="AC45">
        <f>HYPERLINK("https://klasma.github.io/Logging_1980/tillsyn/A 59144-2025 tillsynsbegäran.docx", "A 59144-2025")</f>
        <v/>
      </c>
      <c r="AD45">
        <f>HYPERLINK("https://klasma.github.io/Logging_1980/tillsynsmail/A 59144-2025 tillsynsbegäran mail.docx", "A 59144-2025")</f>
        <v/>
      </c>
    </row>
    <row r="46" ht="15" customHeight="1">
      <c r="A46" t="inlineStr">
        <is>
          <t>A 59140-2025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46265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HYPERLINK("https://klasma.github.io/Logging_1980/artfynd/A 59140-2025 artfynd.xlsx", "A 59140-2025")</f>
        <v/>
      </c>
      <c r="X46">
        <f>HYPERLINK("https://klasma.github.io/Logging_1980/kartor/A 59140-2025 karta.png", "A 59140-2025")</f>
        <v/>
      </c>
      <c r="Y46">
        <f>HYPERLINK("https://klasma.github.io/Logging_1980/kartor_geotiff/A 59140-2025 georefererad karta.tif", "A 59140-2025")</f>
        <v/>
      </c>
      <c r="AA46">
        <f>HYPERLINK("https://klasma.github.io/Logging_1980/klagomål/A 59140-2025 FSC-klagomål.docx", "A 59140-2025")</f>
        <v/>
      </c>
      <c r="AB46">
        <f>HYPERLINK("https://klasma.github.io/Logging_1980/klagomålsmail/A 59140-2025 FSC-klagomål mail.docx", "A 59140-2025")</f>
        <v/>
      </c>
      <c r="AC46">
        <f>HYPERLINK("https://klasma.github.io/Logging_1980/tillsyn/A 59140-2025 tillsynsbegäran.docx", "A 59140-2025")</f>
        <v/>
      </c>
      <c r="AD46">
        <f>HYPERLINK("https://klasma.github.io/Logging_1980/tillsynsmail/A 59140-2025 tillsynsbegäran mail.docx", "A 59140-2025")</f>
        <v/>
      </c>
      <c r="AE46">
        <f>HYPERLINK("https://klasma.github.io/Logging_1980/fåglar/A 59140-2025 prioriterade fågelarter.docx", "A 59140-2025")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46265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46265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12950-2023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45001</v>
      </c>
      <c r="E49" s="1" t="n">
        <v>46265</v>
      </c>
      <c r="F49" t="inlineStr">
        <is>
          <t>VÄSTMANLANDS LÄN</t>
        </is>
      </c>
      <c r="G49" t="inlineStr">
        <is>
          <t>VÄSTERÅS</t>
        </is>
      </c>
      <c r="I49" t="n">
        <v>2.1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HYPERLINK("https://klasma.github.io/Logging_1980/artfynd/A 12950-2023 artfynd.xlsx", "A 12950-2023")</f>
        <v/>
      </c>
      <c r="X49">
        <f>HYPERLINK("https://klasma.github.io/Logging_1980/kartor/A 12950-2023 karta.png", "A 12950-2023")</f>
        <v/>
      </c>
      <c r="Y49">
        <f>HYPERLINK("https://klasma.github.io/Logging_1980/kartor_geotiff/A 12950-2023 georefererad karta.tif", "A 12950-2023")</f>
        <v/>
      </c>
      <c r="AA49">
        <f>HYPERLINK("https://klasma.github.io/Logging_1980/klagomål/A 12950-2023 FSC-klagomål.docx", "A 12950-2023")</f>
        <v/>
      </c>
      <c r="AB49">
        <f>HYPERLINK("https://klasma.github.io/Logging_1980/klagomålsmail/A 12950-2023 FSC-klagomål mail.docx", "A 12950-2023")</f>
        <v/>
      </c>
      <c r="AC49">
        <f>HYPERLINK("https://klasma.github.io/Logging_1980/tillsyn/A 12950-2023 tillsynsbegäran.docx", "A 12950-2023")</f>
        <v/>
      </c>
      <c r="AD49">
        <f>HYPERLINK("https://klasma.github.io/Logging_1980/tillsynsmail/A 12950-2023 tillsynsbegäran mail.docx", "A 12950-2023")</f>
        <v/>
      </c>
    </row>
    <row r="50" ht="15" customHeight="1">
      <c r="A50" t="inlineStr">
        <is>
          <t>A 58395-2022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46265</v>
      </c>
      <c r="F50" t="inlineStr">
        <is>
          <t>VÄSTMANLANDS LÄN</t>
        </is>
      </c>
      <c r="G50" t="inlineStr">
        <is>
          <t>VÄSTERÅS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Korskovall</t>
        </is>
      </c>
      <c r="W50">
        <f>HYPERLINK("https://klasma.github.io/Logging_1980/artfynd/A 58395-2022 artfynd.xlsx", "A 58395-2022")</f>
        <v/>
      </c>
      <c r="X50">
        <f>HYPERLINK("https://klasma.github.io/Logging_1980/kartor/A 58395-2022 karta.png", "A 58395-2022")</f>
        <v/>
      </c>
      <c r="Y50">
        <f>HYPERLINK("https://klasma.github.io/Logging_1980/kartor_geotiff/A 58395-2022 georefererad karta.tif", "A 58395-2022")</f>
        <v/>
      </c>
      <c r="AA50">
        <f>HYPERLINK("https://klasma.github.io/Logging_1980/klagomål/A 58395-2022 FSC-klagomål.docx", "A 58395-2022")</f>
        <v/>
      </c>
      <c r="AB50">
        <f>HYPERLINK("https://klasma.github.io/Logging_1980/klagomålsmail/A 58395-2022 FSC-klagomål mail.docx", "A 58395-2022")</f>
        <v/>
      </c>
      <c r="AC50">
        <f>HYPERLINK("https://klasma.github.io/Logging_1980/tillsyn/A 58395-2022 tillsynsbegäran.docx", "A 58395-2022")</f>
        <v/>
      </c>
      <c r="AD50">
        <f>HYPERLINK("https://klasma.github.io/Logging_1980/tillsynsmail/A 58395-2022 tillsynsbegäran mail.docx", "A 58395-2022")</f>
        <v/>
      </c>
    </row>
    <row r="51" ht="15" customHeight="1">
      <c r="A51" t="inlineStr">
        <is>
          <t>A 59520-2024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46265</v>
      </c>
      <c r="F51" t="inlineStr">
        <is>
          <t>VÄSTMANLANDS LÄN</t>
        </is>
      </c>
      <c r="G51" t="inlineStr">
        <is>
          <t>VÄSTERÅS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Brunklöver</t>
        </is>
      </c>
      <c r="W51">
        <f>HYPERLINK("https://klasma.github.io/Logging_1980/artfynd/A 59520-2024 artfynd.xlsx", "A 59520-2024")</f>
        <v/>
      </c>
      <c r="X51">
        <f>HYPERLINK("https://klasma.github.io/Logging_1980/kartor/A 59520-2024 karta.png", "A 59520-2024")</f>
        <v/>
      </c>
      <c r="Y51">
        <f>HYPERLINK("https://klasma.github.io/Logging_1980/kartor_geotiff/A 59520-2024 georefererad karta.tif", "A 59520-2024")</f>
        <v/>
      </c>
      <c r="AA51">
        <f>HYPERLINK("https://klasma.github.io/Logging_1980/klagomål/A 59520-2024 FSC-klagomål.docx", "A 59520-2024")</f>
        <v/>
      </c>
      <c r="AB51">
        <f>HYPERLINK("https://klasma.github.io/Logging_1980/klagomålsmail/A 59520-2024 FSC-klagomål mail.docx", "A 59520-2024")</f>
        <v/>
      </c>
      <c r="AC51">
        <f>HYPERLINK("https://klasma.github.io/Logging_1980/tillsyn/A 59520-2024 tillsynsbegäran.docx", "A 59520-2024")</f>
        <v/>
      </c>
      <c r="AD51">
        <f>HYPERLINK("https://klasma.github.io/Logging_1980/tillsynsmail/A 59520-2024 tillsynsbegäran mail.docx", "A 59520-2024")</f>
        <v/>
      </c>
    </row>
    <row r="52" ht="15" customHeight="1">
      <c r="A52" t="inlineStr">
        <is>
          <t>A 46189-2023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45196</v>
      </c>
      <c r="E52" s="1" t="n">
        <v>46265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HYPERLINK("https://klasma.github.io/Logging_1980/artfynd/A 46189-2023 artfynd.xlsx", "A 46189-2023")</f>
        <v/>
      </c>
      <c r="X52">
        <f>HYPERLINK("https://klasma.github.io/Logging_1980/kartor/A 46189-2023 karta.png", "A 46189-2023")</f>
        <v/>
      </c>
      <c r="Y52">
        <f>HYPERLINK("https://klasma.github.io/Logging_1980/kartor_geotiff/A 46189-2023 georefererad karta.tif", "A 46189-2023")</f>
        <v/>
      </c>
      <c r="AA52">
        <f>HYPERLINK("https://klasma.github.io/Logging_1980/klagomål/A 46189-2023 FSC-klagomål.docx", "A 46189-2023")</f>
        <v/>
      </c>
      <c r="AB52">
        <f>HYPERLINK("https://klasma.github.io/Logging_1980/klagomålsmail/A 46189-2023 FSC-klagomål mail.docx", "A 46189-2023")</f>
        <v/>
      </c>
      <c r="AC52">
        <f>HYPERLINK("https://klasma.github.io/Logging_1980/tillsyn/A 46189-2023 tillsynsbegäran.docx", "A 46189-2023")</f>
        <v/>
      </c>
      <c r="AD52">
        <f>HYPERLINK("https://klasma.github.io/Logging_1980/tillsynsmail/A 46189-2023 tillsynsbegäran mail.docx", "A 46189-2023")</f>
        <v/>
      </c>
    </row>
    <row r="53" ht="15" customHeight="1">
      <c r="A53" t="inlineStr">
        <is>
          <t>A 8362-2022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46265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Köpingfibbla</t>
        </is>
      </c>
      <c r="W53">
        <f>HYPERLINK("https://klasma.github.io/Logging_1980/artfynd/A 8362-2022 artfynd.xlsx", "A 8362-2022")</f>
        <v/>
      </c>
      <c r="X53">
        <f>HYPERLINK("https://klasma.github.io/Logging_1980/kartor/A 8362-2022 karta.png", "A 8362-2022")</f>
        <v/>
      </c>
      <c r="Y53">
        <f>HYPERLINK("https://klasma.github.io/Logging_1980/kartor_geotiff/A 8362-2022 georefererad karta.tif", "A 8362-2022")</f>
        <v/>
      </c>
      <c r="AA53">
        <f>HYPERLINK("https://klasma.github.io/Logging_1980/klagomål/A 8362-2022 FSC-klagomål.docx", "A 8362-2022")</f>
        <v/>
      </c>
      <c r="AB53">
        <f>HYPERLINK("https://klasma.github.io/Logging_1980/klagomålsmail/A 8362-2022 FSC-klagomål mail.docx", "A 8362-2022")</f>
        <v/>
      </c>
      <c r="AC53">
        <f>HYPERLINK("https://klasma.github.io/Logging_1980/tillsyn/A 8362-2022 tillsynsbegäran.docx", "A 8362-2022")</f>
        <v/>
      </c>
      <c r="AD53">
        <f>HYPERLINK("https://klasma.github.io/Logging_1980/tillsynsmail/A 8362-2022 tillsynsbegäran mail.docx", "A 8362-2022")</f>
        <v/>
      </c>
    </row>
    <row r="54" ht="15" customHeight="1">
      <c r="A54" t="inlineStr">
        <is>
          <t>A 26568-2022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46265</v>
      </c>
      <c r="F54" t="inlineStr">
        <is>
          <t>VÄSTMANLANDS LÄN</t>
        </is>
      </c>
      <c r="G54" t="inlineStr">
        <is>
          <t>VÄSTERÅS</t>
        </is>
      </c>
      <c r="I54" t="n">
        <v>2.6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Mistel</t>
        </is>
      </c>
      <c r="W54">
        <f>HYPERLINK("https://klasma.github.io/Logging_1980/artfynd/A 26568-2022 artfynd.xlsx", "A 26568-2022")</f>
        <v/>
      </c>
      <c r="X54">
        <f>HYPERLINK("https://klasma.github.io/Logging_1980/kartor/A 26568-2022 karta.png", "A 26568-2022")</f>
        <v/>
      </c>
      <c r="Y54">
        <f>HYPERLINK("https://klasma.github.io/Logging_1980/kartor_geotiff/A 26568-2022 georefererad karta.tif", "A 26568-2022")</f>
        <v/>
      </c>
      <c r="AA54">
        <f>HYPERLINK("https://klasma.github.io/Logging_1980/klagomål/A 26568-2022 FSC-klagomål.docx", "A 26568-2022")</f>
        <v/>
      </c>
      <c r="AB54">
        <f>HYPERLINK("https://klasma.github.io/Logging_1980/klagomålsmail/A 26568-2022 FSC-klagomål mail.docx", "A 26568-2022")</f>
        <v/>
      </c>
      <c r="AC54">
        <f>HYPERLINK("https://klasma.github.io/Logging_1980/tillsyn/A 26568-2022 tillsynsbegäran.docx", "A 26568-2022")</f>
        <v/>
      </c>
      <c r="AD54">
        <f>HYPERLINK("https://klasma.github.io/Logging_1980/tillsynsmail/A 26568-2022 tillsynsbegäran mail.docx", "A 26568-2022")</f>
        <v/>
      </c>
    </row>
    <row r="55" ht="15" customHeight="1">
      <c r="A55" t="inlineStr">
        <is>
          <t>A 51147-2023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46265</v>
      </c>
      <c r="F55" t="inlineStr">
        <is>
          <t>VÄSTMANLANDS LÄN</t>
        </is>
      </c>
      <c r="G55" t="inlineStr">
        <is>
          <t>VÄSTERÅS</t>
        </is>
      </c>
      <c r="I55" t="n">
        <v>1.4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Mindre märgborre</t>
        </is>
      </c>
      <c r="W55">
        <f>HYPERLINK("https://klasma.github.io/Logging_1980/artfynd/A 51147-2023 artfynd.xlsx", "A 51147-2023")</f>
        <v/>
      </c>
      <c r="X55">
        <f>HYPERLINK("https://klasma.github.io/Logging_1980/kartor/A 51147-2023 karta.png", "A 51147-2023")</f>
        <v/>
      </c>
      <c r="Y55">
        <f>HYPERLINK("https://klasma.github.io/Logging_1980/kartor_geotiff/A 51147-2023 georefererad karta.tif", "A 51147-2023")</f>
        <v/>
      </c>
      <c r="AA55">
        <f>HYPERLINK("https://klasma.github.io/Logging_1980/klagomål/A 51147-2023 FSC-klagomål.docx", "A 51147-2023")</f>
        <v/>
      </c>
      <c r="AB55">
        <f>HYPERLINK("https://klasma.github.io/Logging_1980/klagomålsmail/A 51147-2023 FSC-klagomål mail.docx", "A 51147-2023")</f>
        <v/>
      </c>
      <c r="AC55">
        <f>HYPERLINK("https://klasma.github.io/Logging_1980/tillsyn/A 51147-2023 tillsynsbegäran.docx", "A 51147-2023")</f>
        <v/>
      </c>
      <c r="AD55">
        <f>HYPERLINK("https://klasma.github.io/Logging_1980/tillsynsmail/A 51147-2023 tillsynsbegäran mail.docx", "A 51147-2023")</f>
        <v/>
      </c>
    </row>
    <row r="56" ht="15" customHeight="1">
      <c r="A56" t="inlineStr">
        <is>
          <t>A 50193-2022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46265</v>
      </c>
      <c r="F56" t="inlineStr">
        <is>
          <t>VÄSTMANLANDS LÄN</t>
        </is>
      </c>
      <c r="G56" t="inlineStr">
        <is>
          <t>VÄSTERÅS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Vedticka</t>
        </is>
      </c>
      <c r="W56">
        <f>HYPERLINK("https://klasma.github.io/Logging_1980/artfynd/A 50193-2022 artfynd.xlsx", "A 50193-2022")</f>
        <v/>
      </c>
      <c r="X56">
        <f>HYPERLINK("https://klasma.github.io/Logging_1980/kartor/A 50193-2022 karta.png", "A 50193-2022")</f>
        <v/>
      </c>
      <c r="Y56">
        <f>HYPERLINK("https://klasma.github.io/Logging_1980/kartor_geotiff/A 50193-2022 georefererad karta.tif", "A 50193-2022")</f>
        <v/>
      </c>
      <c r="AA56">
        <f>HYPERLINK("https://klasma.github.io/Logging_1980/klagomål/A 50193-2022 FSC-klagomål.docx", "A 50193-2022")</f>
        <v/>
      </c>
      <c r="AB56">
        <f>HYPERLINK("https://klasma.github.io/Logging_1980/klagomålsmail/A 50193-2022 FSC-klagomål mail.docx", "A 50193-2022")</f>
        <v/>
      </c>
      <c r="AC56">
        <f>HYPERLINK("https://klasma.github.io/Logging_1980/tillsyn/A 50193-2022 tillsynsbegäran.docx", "A 50193-2022")</f>
        <v/>
      </c>
      <c r="AD56">
        <f>HYPERLINK("https://klasma.github.io/Logging_1980/tillsynsmail/A 50193-2022 tillsynsbegäran mail.docx", "A 50193-2022")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46265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46265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46265</v>
      </c>
      <c r="F59" t="inlineStr">
        <is>
          <t>VÄSTMANLANDS LÄN</t>
        </is>
      </c>
      <c r="G59" t="inlineStr">
        <is>
          <t>VÄSTERÅS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5363-2025 artfynd.xlsx", "A 5363-2025")</f>
        <v/>
      </c>
      <c r="X59">
        <f>HYPERLINK("https://klasma.github.io/Logging_1980/kartor/A 5363-2025 karta.png", "A 5363-2025")</f>
        <v/>
      </c>
      <c r="Y59">
        <f>HYPERLINK("https://klasma.github.io/Logging_1980/kartor_geotiff/A 5363-2025 georefererad karta.tif", "A 5363-2025")</f>
        <v/>
      </c>
      <c r="AA59">
        <f>HYPERLINK("https://klasma.github.io/Logging_1980/klagomål/A 5363-2025 FSC-klagomål.docx", "A 5363-2025")</f>
        <v/>
      </c>
      <c r="AB59">
        <f>HYPERLINK("https://klasma.github.io/Logging_1980/klagomålsmail/A 5363-2025 FSC-klagomål mail.docx", "A 5363-2025")</f>
        <v/>
      </c>
      <c r="AC59">
        <f>HYPERLINK("https://klasma.github.io/Logging_1980/tillsyn/A 5363-2025 tillsynsbegäran.docx", "A 5363-2025")</f>
        <v/>
      </c>
      <c r="AD59">
        <f>HYPERLINK("https://klasma.github.io/Logging_1980/tillsynsmail/A 5363-2025 tillsynsbegäran mail.docx", "A 5363-2025")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46265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46265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46265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46265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46265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46265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46265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46265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46265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46265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46265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46265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46265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46265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46265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46265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46265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46265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46265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46265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46265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46265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46265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46265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46265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46265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46265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46265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46265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46265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46265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46265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46265</v>
      </c>
      <c r="F92" t="inlineStr">
        <is>
          <t>VÄSTMANLANDS LÄN</t>
        </is>
      </c>
      <c r="G92" t="inlineStr">
        <is>
          <t>VÄSTERÅS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18457-2023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45042</v>
      </c>
      <c r="E93" s="1" t="n">
        <v>46265</v>
      </c>
      <c r="F93" t="inlineStr">
        <is>
          <t>VÄSTMANLANDS LÄN</t>
        </is>
      </c>
      <c r="G93" t="inlineStr">
        <is>
          <t>VÄSTERÅS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44792</v>
      </c>
      <c r="E94" s="1" t="n">
        <v>46265</v>
      </c>
      <c r="F94" t="inlineStr">
        <is>
          <t>VÄSTMANLANDS LÄN</t>
        </is>
      </c>
      <c r="G94" t="inlineStr">
        <is>
          <t>VÄSTERÅS</t>
        </is>
      </c>
      <c r="I94" t="n">
        <v>9.6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67353-2021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46265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44825</v>
      </c>
      <c r="E96" s="1" t="n">
        <v>46265</v>
      </c>
      <c r="F96" t="inlineStr">
        <is>
          <t>VÄSTMANLANDS LÄN</t>
        </is>
      </c>
      <c r="G96" t="inlineStr">
        <is>
          <t>VÄSTERÅS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45414</v>
      </c>
      <c r="E97" s="1" t="n">
        <v>46265</v>
      </c>
      <c r="F97" t="inlineStr">
        <is>
          <t>VÄSTMANLANDS LÄN</t>
        </is>
      </c>
      <c r="G97" t="inlineStr">
        <is>
          <t>VÄSTERÅS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46265</v>
      </c>
      <c r="F98" t="inlineStr">
        <is>
          <t>VÄSTMANLANDS LÄN</t>
        </is>
      </c>
      <c r="G98" t="inlineStr">
        <is>
          <t>VÄSTERÅS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46265</v>
      </c>
      <c r="F99" t="inlineStr">
        <is>
          <t>VÄSTMANLANDS LÄN</t>
        </is>
      </c>
      <c r="G99" t="inlineStr">
        <is>
          <t>VÄSTERÅS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46265</v>
      </c>
      <c r="F100" t="inlineStr">
        <is>
          <t>VÄSTMANLANDS LÄN</t>
        </is>
      </c>
      <c r="G100" t="inlineStr">
        <is>
          <t>VÄSTERÅS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52270-2025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45953</v>
      </c>
      <c r="E101" s="1" t="n">
        <v>46265</v>
      </c>
      <c r="F101" t="inlineStr">
        <is>
          <t>VÄSTMANLANDS LÄN</t>
        </is>
      </c>
      <c r="G101" t="inlineStr">
        <is>
          <t>VÄSTERÅS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45296</v>
      </c>
      <c r="E102" s="1" t="n">
        <v>46265</v>
      </c>
      <c r="F102" t="inlineStr">
        <is>
          <t>VÄSTMANLANDS LÄN</t>
        </is>
      </c>
      <c r="G102" t="inlineStr">
        <is>
          <t>VÄSTERÅS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45223</v>
      </c>
      <c r="E103" s="1" t="n">
        <v>46265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39127-2022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44816</v>
      </c>
      <c r="E104" s="1" t="n">
        <v>46265</v>
      </c>
      <c r="F104" t="inlineStr">
        <is>
          <t>VÄSTMANLANDS LÄN</t>
        </is>
      </c>
      <c r="G104" t="inlineStr">
        <is>
          <t>VÄSTERÅS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46265</v>
      </c>
      <c r="F105" t="inlineStr">
        <is>
          <t>VÄSTMANLANDS LÄN</t>
        </is>
      </c>
      <c r="G105" t="inlineStr">
        <is>
          <t>VÄSTERÅS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46265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45595</v>
      </c>
      <c r="E107" s="1" t="n">
        <v>46265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Övriga Aktiebolag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46265</v>
      </c>
      <c r="F108" t="inlineStr">
        <is>
          <t>VÄSTMANLANDS LÄN</t>
        </is>
      </c>
      <c r="G108" t="inlineStr">
        <is>
          <t>VÄSTERÅS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46265</v>
      </c>
      <c r="F109" t="inlineStr">
        <is>
          <t>VÄSTMANLANDS LÄN</t>
        </is>
      </c>
      <c r="G109" t="inlineStr">
        <is>
          <t>VÄSTERÅS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46265</v>
      </c>
      <c r="F110" t="inlineStr">
        <is>
          <t>VÄSTMANLANDS LÄN</t>
        </is>
      </c>
      <c r="G110" t="inlineStr">
        <is>
          <t>VÄSTERÅS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46265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44482</v>
      </c>
      <c r="E112" s="1" t="n">
        <v>46265</v>
      </c>
      <c r="F112" t="inlineStr">
        <is>
          <t>VÄSTMANLANDS LÄN</t>
        </is>
      </c>
      <c r="G112" t="inlineStr">
        <is>
          <t>VÄSTERÅS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46265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46265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46265</v>
      </c>
      <c r="F115" t="inlineStr">
        <is>
          <t>VÄSTMANLANDS LÄN</t>
        </is>
      </c>
      <c r="G115" t="inlineStr">
        <is>
          <t>VÄSTERÅS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61069-2022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46265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46265</v>
      </c>
      <c r="F117" t="inlineStr">
        <is>
          <t>VÄSTMANLANDS LÄN</t>
        </is>
      </c>
      <c r="G117" t="inlineStr">
        <is>
          <t>VÄSTERÅS</t>
        </is>
      </c>
      <c r="I117" t="n">
        <v>13.9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18482-2023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45042</v>
      </c>
      <c r="E118" s="1" t="n">
        <v>46265</v>
      </c>
      <c r="F118" t="inlineStr">
        <is>
          <t>VÄSTMANLANDS LÄN</t>
        </is>
      </c>
      <c r="G118" t="inlineStr">
        <is>
          <t>VÄSTERÅS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46265</v>
      </c>
      <c r="F119" t="inlineStr">
        <is>
          <t>VÄSTMANLANDS LÄN</t>
        </is>
      </c>
      <c r="G119" t="inlineStr">
        <is>
          <t>VÄSTERÅS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46265</v>
      </c>
      <c r="F120" t="inlineStr">
        <is>
          <t>VÄSTMANLANDS LÄN</t>
        </is>
      </c>
      <c r="G120" t="inlineStr">
        <is>
          <t>VÄSTERÅS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55676-2023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45232</v>
      </c>
      <c r="E121" s="1" t="n">
        <v>46265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Aktiebolag</t>
        </is>
      </c>
      <c r="I121" t="n">
        <v>37.9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45545</v>
      </c>
      <c r="E122" s="1" t="n">
        <v>46265</v>
      </c>
      <c r="F122" t="inlineStr">
        <is>
          <t>VÄSTMANLANDS LÄN</t>
        </is>
      </c>
      <c r="G122" t="inlineStr">
        <is>
          <t>VÄSTERÅS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46265</v>
      </c>
      <c r="F123" t="inlineStr">
        <is>
          <t>VÄSTMANLANDS LÄN</t>
        </is>
      </c>
      <c r="G123" t="inlineStr">
        <is>
          <t>VÄSTERÅS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46265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46265</v>
      </c>
      <c r="F125" t="inlineStr">
        <is>
          <t>VÄSTMANLANDS LÄN</t>
        </is>
      </c>
      <c r="G125" t="inlineStr">
        <is>
          <t>VÄSTERÅS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46265</v>
      </c>
      <c r="F126" t="inlineStr">
        <is>
          <t>VÄSTMANLANDS LÄN</t>
        </is>
      </c>
      <c r="G126" t="inlineStr">
        <is>
          <t>VÄSTERÅS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46265</v>
      </c>
      <c r="F127" t="inlineStr">
        <is>
          <t>VÄSTMANLANDS LÄN</t>
        </is>
      </c>
      <c r="G127" t="inlineStr">
        <is>
          <t>VÄSTERÅS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46265</v>
      </c>
      <c r="F128" t="inlineStr">
        <is>
          <t>VÄSTMANLANDS LÄN</t>
        </is>
      </c>
      <c r="G128" t="inlineStr">
        <is>
          <t>VÄSTERÅS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44899</v>
      </c>
      <c r="E129" s="1" t="n">
        <v>46265</v>
      </c>
      <c r="F129" t="inlineStr">
        <is>
          <t>VÄSTMANLANDS LÄN</t>
        </is>
      </c>
      <c r="G129" t="inlineStr">
        <is>
          <t>VÄSTERÅS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45979</v>
      </c>
      <c r="E130" s="1" t="n">
        <v>46265</v>
      </c>
      <c r="F130" t="inlineStr">
        <is>
          <t>VÄSTMANLANDS LÄN</t>
        </is>
      </c>
      <c r="G130" t="inlineStr">
        <is>
          <t>VÄSTERÅS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45979</v>
      </c>
      <c r="E131" s="1" t="n">
        <v>46265</v>
      </c>
      <c r="F131" t="inlineStr">
        <is>
          <t>VÄSTMANLANDS LÄN</t>
        </is>
      </c>
      <c r="G131" t="inlineStr">
        <is>
          <t>VÄSTERÅS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56076-2023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45235</v>
      </c>
      <c r="E132" s="1" t="n">
        <v>46265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37.8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46265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Övriga statliga verk och myndigheter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46265</v>
      </c>
      <c r="F134" t="inlineStr">
        <is>
          <t>VÄSTMANLANDS LÄN</t>
        </is>
      </c>
      <c r="G134" t="inlineStr">
        <is>
          <t>VÄSTERÅS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45366</v>
      </c>
      <c r="E135" s="1" t="n">
        <v>46265</v>
      </c>
      <c r="F135" t="inlineStr">
        <is>
          <t>VÄSTMANLANDS LÄN</t>
        </is>
      </c>
      <c r="G135" t="inlineStr">
        <is>
          <t>VÄSTERÅS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44914</v>
      </c>
      <c r="E136" s="1" t="n">
        <v>46265</v>
      </c>
      <c r="F136" t="inlineStr">
        <is>
          <t>VÄSTMANLANDS LÄN</t>
        </is>
      </c>
      <c r="G136" t="inlineStr">
        <is>
          <t>VÄSTERÅS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46265</v>
      </c>
      <c r="F137" t="inlineStr">
        <is>
          <t>VÄSTMANLANDS LÄN</t>
        </is>
      </c>
      <c r="G137" t="inlineStr">
        <is>
          <t>VÄSTERÅS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45988</v>
      </c>
      <c r="E138" s="1" t="n">
        <v>46265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46265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44636</v>
      </c>
      <c r="E140" s="1" t="n">
        <v>46265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Kommuner</t>
        </is>
      </c>
      <c r="I140" t="n">
        <v>12.9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44636</v>
      </c>
      <c r="E141" s="1" t="n">
        <v>46265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Kommuner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46265</v>
      </c>
      <c r="F142" t="inlineStr">
        <is>
          <t>VÄSTMANLANDS LÄN</t>
        </is>
      </c>
      <c r="G142" t="inlineStr">
        <is>
          <t>VÄSTERÅS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46265</v>
      </c>
      <c r="F143" t="inlineStr">
        <is>
          <t>VÄSTMANLANDS LÄN</t>
        </is>
      </c>
      <c r="G143" t="inlineStr">
        <is>
          <t>VÄSTERÅS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46265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statliga verk och myndigheter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17808-2023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45037</v>
      </c>
      <c r="E145" s="1" t="n">
        <v>46265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46265</v>
      </c>
      <c r="F146" t="inlineStr">
        <is>
          <t>VÄSTMANLANDS LÄN</t>
        </is>
      </c>
      <c r="G146" t="inlineStr">
        <is>
          <t>VÄSTERÅS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44999</v>
      </c>
      <c r="E147" s="1" t="n">
        <v>46265</v>
      </c>
      <c r="F147" t="inlineStr">
        <is>
          <t>VÄSTMANLANDS LÄN</t>
        </is>
      </c>
      <c r="G147" t="inlineStr">
        <is>
          <t>VÄSTERÅS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44977</v>
      </c>
      <c r="E148" s="1" t="n">
        <v>46265</v>
      </c>
      <c r="F148" t="inlineStr">
        <is>
          <t>VÄSTMANLANDS LÄN</t>
        </is>
      </c>
      <c r="G148" t="inlineStr">
        <is>
          <t>VÄSTERÅS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44717</v>
      </c>
      <c r="E149" s="1" t="n">
        <v>46265</v>
      </c>
      <c r="F149" t="inlineStr">
        <is>
          <t>VÄSTMANLANDS LÄN</t>
        </is>
      </c>
      <c r="G149" t="inlineStr">
        <is>
          <t>VÄSTERÅS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44662</v>
      </c>
      <c r="E150" s="1" t="n">
        <v>46265</v>
      </c>
      <c r="F150" t="inlineStr">
        <is>
          <t>VÄSTMANLANDS LÄN</t>
        </is>
      </c>
      <c r="G150" t="inlineStr">
        <is>
          <t>VÄSTERÅS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46265</v>
      </c>
      <c r="F151" t="inlineStr">
        <is>
          <t>VÄSTMANLANDS LÄN</t>
        </is>
      </c>
      <c r="G151" t="inlineStr">
        <is>
          <t>VÄSTERÅS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46265</v>
      </c>
      <c r="F152" t="inlineStr">
        <is>
          <t>VÄSTMANLANDS LÄN</t>
        </is>
      </c>
      <c r="G152" t="inlineStr">
        <is>
          <t>VÄSTERÅS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44880</v>
      </c>
      <c r="E153" s="1" t="n">
        <v>46265</v>
      </c>
      <c r="F153" t="inlineStr">
        <is>
          <t>VÄSTMANLANDS LÄN</t>
        </is>
      </c>
      <c r="G153" t="inlineStr">
        <is>
          <t>VÄSTERÅS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46265</v>
      </c>
      <c r="F154" t="inlineStr">
        <is>
          <t>VÄSTMANLANDS LÄN</t>
        </is>
      </c>
      <c r="G154" t="inlineStr">
        <is>
          <t>VÄSTERÅS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46265</v>
      </c>
      <c r="F155" t="inlineStr">
        <is>
          <t>VÄSTMANLANDS LÄN</t>
        </is>
      </c>
      <c r="G155" t="inlineStr">
        <is>
          <t>VÄSTERÅS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63851-2021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44509</v>
      </c>
      <c r="E156" s="1" t="n">
        <v>46265</v>
      </c>
      <c r="F156" t="inlineStr">
        <is>
          <t>VÄSTMANLANDS LÄN</t>
        </is>
      </c>
      <c r="G156" t="inlineStr">
        <is>
          <t>VÄSTERÅS</t>
        </is>
      </c>
      <c r="I156" t="n">
        <v>11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46265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46265</v>
      </c>
      <c r="F158" t="inlineStr">
        <is>
          <t>VÄSTMANLANDS LÄN</t>
        </is>
      </c>
      <c r="G158" t="inlineStr">
        <is>
          <t>VÄSTERÅS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46265</v>
      </c>
      <c r="F159" t="inlineStr">
        <is>
          <t>VÄSTMANLANDS LÄN</t>
        </is>
      </c>
      <c r="G159" t="inlineStr">
        <is>
          <t>VÄSTERÅS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46265</v>
      </c>
      <c r="F160" t="inlineStr">
        <is>
          <t>VÄSTMANLANDS LÄN</t>
        </is>
      </c>
      <c r="G160" t="inlineStr">
        <is>
          <t>VÄSTERÅS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46265</v>
      </c>
      <c r="F161" t="inlineStr">
        <is>
          <t>VÄSTMANLANDS LÄN</t>
        </is>
      </c>
      <c r="G161" t="inlineStr">
        <is>
          <t>VÄSTERÅS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45027</v>
      </c>
      <c r="E162" s="1" t="n">
        <v>46265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41219-2022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44826</v>
      </c>
      <c r="E163" s="1" t="n">
        <v>46265</v>
      </c>
      <c r="F163" t="inlineStr">
        <is>
          <t>VÄSTMANLANDS LÄN</t>
        </is>
      </c>
      <c r="G163" t="inlineStr">
        <is>
          <t>VÄSTERÅS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44999</v>
      </c>
      <c r="E164" s="1" t="n">
        <v>46265</v>
      </c>
      <c r="F164" t="inlineStr">
        <is>
          <t>VÄSTMANLANDS LÄN</t>
        </is>
      </c>
      <c r="G164" t="inlineStr">
        <is>
          <t>VÄSTERÅS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52015-2024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45607</v>
      </c>
      <c r="E165" s="1" t="n">
        <v>46265</v>
      </c>
      <c r="F165" t="inlineStr">
        <is>
          <t>VÄSTMANLANDS LÄN</t>
        </is>
      </c>
      <c r="G165" t="inlineStr">
        <is>
          <t>VÄSTERÅS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44582</v>
      </c>
      <c r="E166" s="1" t="n">
        <v>46265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46265</v>
      </c>
      <c r="F167" t="inlineStr">
        <is>
          <t>VÄSTMANLANDS LÄN</t>
        </is>
      </c>
      <c r="G167" t="inlineStr">
        <is>
          <t>VÄSTERÅS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46265</v>
      </c>
      <c r="F168" t="inlineStr">
        <is>
          <t>VÄSTMANLANDS LÄN</t>
        </is>
      </c>
      <c r="G168" t="inlineStr">
        <is>
          <t>VÄSTERÅS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46265</v>
      </c>
      <c r="F169" t="inlineStr">
        <is>
          <t>VÄSTMANLANDS LÄN</t>
        </is>
      </c>
      <c r="G169" t="inlineStr">
        <is>
          <t>VÄSTERÅS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46265</v>
      </c>
      <c r="F170" t="inlineStr">
        <is>
          <t>VÄSTMANLANDS LÄN</t>
        </is>
      </c>
      <c r="G170" t="inlineStr">
        <is>
          <t>VÄSTERÅS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46265</v>
      </c>
      <c r="F171" t="inlineStr">
        <is>
          <t>VÄSTMANLANDS LÄN</t>
        </is>
      </c>
      <c r="G171" t="inlineStr">
        <is>
          <t>VÄSTERÅS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46265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Allmännings- och besparingsskogar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44893</v>
      </c>
      <c r="E173" s="1" t="n">
        <v>46265</v>
      </c>
      <c r="F173" t="inlineStr">
        <is>
          <t>VÄSTMANLANDS LÄN</t>
        </is>
      </c>
      <c r="G173" t="inlineStr">
        <is>
          <t>VÄSTERÅS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46265</v>
      </c>
      <c r="F174" t="inlineStr">
        <is>
          <t>VÄSTMANLANDS LÄN</t>
        </is>
      </c>
      <c r="G174" t="inlineStr">
        <is>
          <t>VÄSTERÅS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45223</v>
      </c>
      <c r="E175" s="1" t="n">
        <v>46265</v>
      </c>
      <c r="F175" t="inlineStr">
        <is>
          <t>VÄSTMANLANDS LÄN</t>
        </is>
      </c>
      <c r="G175" t="inlineStr">
        <is>
          <t>VÄSTERÅS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46265</v>
      </c>
      <c r="F176" t="inlineStr">
        <is>
          <t>VÄSTMANLANDS LÄN</t>
        </is>
      </c>
      <c r="G176" t="inlineStr">
        <is>
          <t>VÄSTERÅS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46265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46265</v>
      </c>
      <c r="F178" t="inlineStr">
        <is>
          <t>VÄSTMANLANDS LÄN</t>
        </is>
      </c>
      <c r="G178" t="inlineStr">
        <is>
          <t>VÄSTERÅS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46265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45257</v>
      </c>
      <c r="E180" s="1" t="n">
        <v>46265</v>
      </c>
      <c r="F180" t="inlineStr">
        <is>
          <t>VÄSTMANLANDS LÄN</t>
        </is>
      </c>
      <c r="G180" t="inlineStr">
        <is>
          <t>VÄSTERÅS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46265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46265</v>
      </c>
      <c r="F182" t="inlineStr">
        <is>
          <t>VÄSTMANLANDS LÄN</t>
        </is>
      </c>
      <c r="G182" t="inlineStr">
        <is>
          <t>VÄSTERÅS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7797-2026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46062</v>
      </c>
      <c r="E183" s="1" t="n">
        <v>46265</v>
      </c>
      <c r="F183" t="inlineStr">
        <is>
          <t>VÄSTMANLANDS LÄN</t>
        </is>
      </c>
      <c r="G183" t="inlineStr">
        <is>
          <t>VÄSTERÅS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73601-2021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44552</v>
      </c>
      <c r="E184" s="1" t="n">
        <v>46265</v>
      </c>
      <c r="F184" t="inlineStr">
        <is>
          <t>VÄSTMANLANDS LÄN</t>
        </is>
      </c>
      <c r="G184" t="inlineStr">
        <is>
          <t>VÄSTERÅS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46265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46265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45457</v>
      </c>
      <c r="E187" s="1" t="n">
        <v>46265</v>
      </c>
      <c r="F187" t="inlineStr">
        <is>
          <t>VÄSTMANLANDS LÄN</t>
        </is>
      </c>
      <c r="G187" t="inlineStr">
        <is>
          <t>VÄSTERÅS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46265</v>
      </c>
      <c r="F188" t="inlineStr">
        <is>
          <t>VÄSTMANLANDS LÄN</t>
        </is>
      </c>
      <c r="G188" t="inlineStr">
        <is>
          <t>VÄSTERÅS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74314-2021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44559</v>
      </c>
      <c r="E189" s="1" t="n">
        <v>46265</v>
      </c>
      <c r="F189" t="inlineStr">
        <is>
          <t>VÄSTMANLANDS LÄN</t>
        </is>
      </c>
      <c r="G189" t="inlineStr">
        <is>
          <t>VÄSTERÅS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46265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45218</v>
      </c>
      <c r="E191" s="1" t="n">
        <v>46265</v>
      </c>
      <c r="F191" t="inlineStr">
        <is>
          <t>VÄSTMANLANDS LÄN</t>
        </is>
      </c>
      <c r="G191" t="inlineStr">
        <is>
          <t>VÄSTERÅS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44637</v>
      </c>
      <c r="E192" s="1" t="n">
        <v>46265</v>
      </c>
      <c r="F192" t="inlineStr">
        <is>
          <t>VÄSTMANLANDS LÄN</t>
        </is>
      </c>
      <c r="G192" t="inlineStr">
        <is>
          <t>VÄSTERÅS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16214-2023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45028</v>
      </c>
      <c r="E193" s="1" t="n">
        <v>46265</v>
      </c>
      <c r="F193" t="inlineStr">
        <is>
          <t>VÄSTMANLANDS LÄN</t>
        </is>
      </c>
      <c r="G193" t="inlineStr">
        <is>
          <t>VÄSTERÅS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46265</v>
      </c>
      <c r="F194" t="inlineStr">
        <is>
          <t>VÄSTMANLANDS LÄN</t>
        </is>
      </c>
      <c r="G194" t="inlineStr">
        <is>
          <t>VÄSTERÅS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46079</v>
      </c>
      <c r="E195" s="1" t="n">
        <v>46265</v>
      </c>
      <c r="F195" t="inlineStr">
        <is>
          <t>VÄSTMANLANDS LÄN</t>
        </is>
      </c>
      <c r="G195" t="inlineStr">
        <is>
          <t>VÄSTERÅS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52027-2025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45952</v>
      </c>
      <c r="E196" s="1" t="n">
        <v>46265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Övriga statliga verk och myndigheter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46265</v>
      </c>
      <c r="F197" t="inlineStr">
        <is>
          <t>VÄSTMANLANDS LÄN</t>
        </is>
      </c>
      <c r="G197" t="inlineStr">
        <is>
          <t>VÄSTERÅS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46265</v>
      </c>
      <c r="F198" t="inlineStr">
        <is>
          <t>VÄSTMANLANDS LÄN</t>
        </is>
      </c>
      <c r="G198" t="inlineStr">
        <is>
          <t>VÄSTERÅS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46265</v>
      </c>
      <c r="F199" t="inlineStr">
        <is>
          <t>VÄSTMANLANDS LÄN</t>
        </is>
      </c>
      <c r="G199" t="inlineStr">
        <is>
          <t>VÄSTERÅS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46083</v>
      </c>
      <c r="E200" s="1" t="n">
        <v>46265</v>
      </c>
      <c r="F200" t="inlineStr">
        <is>
          <t>VÄSTMANLANDS LÄN</t>
        </is>
      </c>
      <c r="G200" t="inlineStr">
        <is>
          <t>VÄSTERÅS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46078</v>
      </c>
      <c r="E201" s="1" t="n">
        <v>46265</v>
      </c>
      <c r="F201" t="inlineStr">
        <is>
          <t>VÄSTMANLANDS LÄN</t>
        </is>
      </c>
      <c r="G201" t="inlineStr">
        <is>
          <t>VÄSTERÅS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44594</v>
      </c>
      <c r="E202" s="1" t="n">
        <v>46265</v>
      </c>
      <c r="F202" t="inlineStr">
        <is>
          <t>VÄSTMANLANDS LÄN</t>
        </is>
      </c>
      <c r="G202" t="inlineStr">
        <is>
          <t>VÄSTERÅS</t>
        </is>
      </c>
      <c r="I202" t="n">
        <v>20.3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46265</v>
      </c>
      <c r="F203" t="inlineStr">
        <is>
          <t>VÄSTMANLANDS LÄN</t>
        </is>
      </c>
      <c r="G203" t="inlineStr">
        <is>
          <t>VÄSTERÅS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45125</v>
      </c>
      <c r="E204" s="1" t="n">
        <v>46265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18465-2023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45042</v>
      </c>
      <c r="E205" s="1" t="n">
        <v>46265</v>
      </c>
      <c r="F205" t="inlineStr">
        <is>
          <t>VÄSTMANLANDS LÄN</t>
        </is>
      </c>
      <c r="G205" t="inlineStr">
        <is>
          <t>VÄSTERÅS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73994-2021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44556</v>
      </c>
      <c r="E206" s="1" t="n">
        <v>46265</v>
      </c>
      <c r="F206" t="inlineStr">
        <is>
          <t>VÄSTMANLANDS LÄN</t>
        </is>
      </c>
      <c r="G206" t="inlineStr">
        <is>
          <t>VÄSTERÅS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46265</v>
      </c>
      <c r="F207" t="inlineStr">
        <is>
          <t>VÄSTMANLANDS LÄN</t>
        </is>
      </c>
      <c r="G207" t="inlineStr">
        <is>
          <t>VÄSTERÅS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73597-2021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44552</v>
      </c>
      <c r="E208" s="1" t="n">
        <v>46265</v>
      </c>
      <c r="F208" t="inlineStr">
        <is>
          <t>VÄSTMANLANDS LÄN</t>
        </is>
      </c>
      <c r="G208" t="inlineStr">
        <is>
          <t>VÄSTERÅS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44645</v>
      </c>
      <c r="E209" s="1" t="n">
        <v>46265</v>
      </c>
      <c r="F209" t="inlineStr">
        <is>
          <t>VÄSTMANLANDS LÄN</t>
        </is>
      </c>
      <c r="G209" t="inlineStr">
        <is>
          <t>VÄSTERÅS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45506</v>
      </c>
      <c r="E210" s="1" t="n">
        <v>46265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Kommuner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67350-2021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44523</v>
      </c>
      <c r="E211" s="1" t="n">
        <v>46265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Övriga Aktiebolag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12131-2022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44636</v>
      </c>
      <c r="E212" s="1" t="n">
        <v>46265</v>
      </c>
      <c r="F212" t="inlineStr">
        <is>
          <t>VÄSTMANLANDS LÄN</t>
        </is>
      </c>
      <c r="G212" t="inlineStr">
        <is>
          <t>VÄSTERÅS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44606</v>
      </c>
      <c r="E213" s="1" t="n">
        <v>46265</v>
      </c>
      <c r="F213" t="inlineStr">
        <is>
          <t>VÄSTMANLANDS LÄN</t>
        </is>
      </c>
      <c r="G213" t="inlineStr">
        <is>
          <t>VÄSTERÅS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46265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Sveaskog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46265</v>
      </c>
      <c r="F215" t="inlineStr">
        <is>
          <t>VÄSTMANLANDS LÄN</t>
        </is>
      </c>
      <c r="G215" t="inlineStr">
        <is>
          <t>VÄSTERÅS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44623</v>
      </c>
      <c r="E216" s="1" t="n">
        <v>46265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44658</v>
      </c>
      <c r="E217" s="1" t="n">
        <v>46265</v>
      </c>
      <c r="F217" t="inlineStr">
        <is>
          <t>VÄSTMANLANDS LÄN</t>
        </is>
      </c>
      <c r="G217" t="inlineStr">
        <is>
          <t>VÄSTERÅS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44635</v>
      </c>
      <c r="E218" s="1" t="n">
        <v>46265</v>
      </c>
      <c r="F218" t="inlineStr">
        <is>
          <t>VÄSTMANLANDS LÄN</t>
        </is>
      </c>
      <c r="G218" t="inlineStr">
        <is>
          <t>VÄSTERÅS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44635</v>
      </c>
      <c r="E219" s="1" t="n">
        <v>46265</v>
      </c>
      <c r="F219" t="inlineStr">
        <is>
          <t>VÄSTMANLANDS LÄN</t>
        </is>
      </c>
      <c r="G219" t="inlineStr">
        <is>
          <t>VÄSTERÅS</t>
        </is>
      </c>
      <c r="I219" t="n">
        <v>12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8357-2022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44610</v>
      </c>
      <c r="E220" s="1" t="n">
        <v>46265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46112</v>
      </c>
      <c r="E221" s="1" t="n">
        <v>46265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44635</v>
      </c>
      <c r="E222" s="1" t="n">
        <v>46265</v>
      </c>
      <c r="F222" t="inlineStr">
        <is>
          <t>VÄSTMANLANDS LÄN</t>
        </is>
      </c>
      <c r="G222" t="inlineStr">
        <is>
          <t>VÄSTERÅS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46112</v>
      </c>
      <c r="E223" s="1" t="n">
        <v>46265</v>
      </c>
      <c r="F223" t="inlineStr">
        <is>
          <t>VÄSTMANLANDS LÄN</t>
        </is>
      </c>
      <c r="G223" t="inlineStr">
        <is>
          <t>VÄSTERÅS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46112</v>
      </c>
      <c r="E224" s="1" t="n">
        <v>46265</v>
      </c>
      <c r="F224" t="inlineStr">
        <is>
          <t>VÄSTMANLANDS LÄN</t>
        </is>
      </c>
      <c r="G224" t="inlineStr">
        <is>
          <t>VÄSTERÅS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46112</v>
      </c>
      <c r="E225" s="1" t="n">
        <v>46265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46112</v>
      </c>
      <c r="E226" s="1" t="n">
        <v>46265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46265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Kommuner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46265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Allmännings- och besparingsskogar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46265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46265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46265</v>
      </c>
      <c r="F231" t="inlineStr">
        <is>
          <t>VÄSTMANLANDS LÄN</t>
        </is>
      </c>
      <c r="G231" t="inlineStr">
        <is>
          <t>VÄSTERÅS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44680</v>
      </c>
      <c r="E232" s="1" t="n">
        <v>46265</v>
      </c>
      <c r="F232" t="inlineStr">
        <is>
          <t>VÄSTMANLANDS LÄN</t>
        </is>
      </c>
      <c r="G232" t="inlineStr">
        <is>
          <t>VÄSTERÅS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44743</v>
      </c>
      <c r="E233" s="1" t="n">
        <v>46265</v>
      </c>
      <c r="F233" t="inlineStr">
        <is>
          <t>VÄSTMANLANDS LÄN</t>
        </is>
      </c>
      <c r="G233" t="inlineStr">
        <is>
          <t>VÄSTERÅS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46265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45219</v>
      </c>
      <c r="E235" s="1" t="n">
        <v>46265</v>
      </c>
      <c r="F235" t="inlineStr">
        <is>
          <t>VÄSTMANLANDS LÄN</t>
        </is>
      </c>
      <c r="G235" t="inlineStr">
        <is>
          <t>VÄSTERÅS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44664</v>
      </c>
      <c r="E236" s="1" t="n">
        <v>46265</v>
      </c>
      <c r="F236" t="inlineStr">
        <is>
          <t>VÄSTMANLANDS LÄN</t>
        </is>
      </c>
      <c r="G236" t="inlineStr">
        <is>
          <t>VÄSTERÅS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46265</v>
      </c>
      <c r="F237" t="inlineStr">
        <is>
          <t>VÄSTMANLANDS LÄN</t>
        </is>
      </c>
      <c r="G237" t="inlineStr">
        <is>
          <t>VÄSTERÅS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47101-2025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46265</v>
      </c>
      <c r="F238" t="inlineStr">
        <is>
          <t>VÄSTMANLANDS LÄN</t>
        </is>
      </c>
      <c r="G238" t="inlineStr">
        <is>
          <t>VÄSTERÅS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46265</v>
      </c>
      <c r="F239" t="inlineStr">
        <is>
          <t>VÄSTMANLANDS LÄN</t>
        </is>
      </c>
      <c r="G239" t="inlineStr">
        <is>
          <t>VÄSTERÅS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46265</v>
      </c>
      <c r="F240" t="inlineStr">
        <is>
          <t>VÄSTMANLANDS LÄN</t>
        </is>
      </c>
      <c r="G240" t="inlineStr">
        <is>
          <t>VÄSTERÅS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44722</v>
      </c>
      <c r="E241" s="1" t="n">
        <v>46265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44739</v>
      </c>
      <c r="E242" s="1" t="n">
        <v>46265</v>
      </c>
      <c r="F242" t="inlineStr">
        <is>
          <t>VÄSTMANLANDS LÄN</t>
        </is>
      </c>
      <c r="G242" t="inlineStr">
        <is>
          <t>VÄSTERÅS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64202-2023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45279</v>
      </c>
      <c r="E243" s="1" t="n">
        <v>46265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64793-2023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45282</v>
      </c>
      <c r="E244" s="1" t="n">
        <v>46265</v>
      </c>
      <c r="F244" t="inlineStr">
        <is>
          <t>VÄSTMANLANDS LÄN</t>
        </is>
      </c>
      <c r="G244" t="inlineStr">
        <is>
          <t>VÄSTERÅS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46265</v>
      </c>
      <c r="F245" t="inlineStr">
        <is>
          <t>VÄSTMANLANDS LÄN</t>
        </is>
      </c>
      <c r="G245" t="inlineStr">
        <is>
          <t>VÄSTERÅS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44648</v>
      </c>
      <c r="E246" s="1" t="n">
        <v>46265</v>
      </c>
      <c r="F246" t="inlineStr">
        <is>
          <t>VÄSTMANLANDS LÄN</t>
        </is>
      </c>
      <c r="G246" t="inlineStr">
        <is>
          <t>VÄSTERÅS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44847</v>
      </c>
      <c r="E247" s="1" t="n">
        <v>46265</v>
      </c>
      <c r="F247" t="inlineStr">
        <is>
          <t>VÄSTMANLANDS LÄN</t>
        </is>
      </c>
      <c r="G247" t="inlineStr">
        <is>
          <t>VÄSTERÅS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44961</v>
      </c>
      <c r="E248" s="1" t="n">
        <v>46265</v>
      </c>
      <c r="F248" t="inlineStr">
        <is>
          <t>VÄSTMANLANDS LÄN</t>
        </is>
      </c>
      <c r="G248" t="inlineStr">
        <is>
          <t>VÄSTERÅS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67352-2021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44523</v>
      </c>
      <c r="E249" s="1" t="n">
        <v>46265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Övriga Aktiebolag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44671</v>
      </c>
      <c r="E250" s="1" t="n">
        <v>46265</v>
      </c>
      <c r="F250" t="inlineStr">
        <is>
          <t>VÄSTMANLANDS LÄN</t>
        </is>
      </c>
      <c r="G250" t="inlineStr">
        <is>
          <t>VÄSTERÅS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22700-2024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46265</v>
      </c>
      <c r="F251" t="inlineStr">
        <is>
          <t>VÄSTMANLANDS LÄN</t>
        </is>
      </c>
      <c r="G251" t="inlineStr">
        <is>
          <t>VÄSTERÅS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44657</v>
      </c>
      <c r="E252" s="1" t="n">
        <v>46265</v>
      </c>
      <c r="F252" t="inlineStr">
        <is>
          <t>VÄSTMANLANDS LÄN</t>
        </is>
      </c>
      <c r="G252" t="inlineStr">
        <is>
          <t>VÄSTERÅS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29746-2022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44755</v>
      </c>
      <c r="E253" s="1" t="n">
        <v>46265</v>
      </c>
      <c r="F253" t="inlineStr">
        <is>
          <t>VÄSTMANLANDS LÄN</t>
        </is>
      </c>
      <c r="G253" t="inlineStr">
        <is>
          <t>VÄSTERÅS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11137-2023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44987</v>
      </c>
      <c r="E254" s="1" t="n">
        <v>46265</v>
      </c>
      <c r="F254" t="inlineStr">
        <is>
          <t>VÄSTMANLANDS LÄN</t>
        </is>
      </c>
      <c r="G254" t="inlineStr">
        <is>
          <t>VÄSTERÅS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45019</v>
      </c>
      <c r="E255" s="1" t="n">
        <v>46265</v>
      </c>
      <c r="F255" t="inlineStr">
        <is>
          <t>VÄSTMANLANDS LÄN</t>
        </is>
      </c>
      <c r="G255" t="inlineStr">
        <is>
          <t>VÄSTERÅS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44610</v>
      </c>
      <c r="E256" s="1" t="n">
        <v>46265</v>
      </c>
      <c r="F256" t="inlineStr">
        <is>
          <t>VÄSTMANLANDS LÄN</t>
        </is>
      </c>
      <c r="G256" t="inlineStr">
        <is>
          <t>VÄSTERÅS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45443</v>
      </c>
      <c r="E257" s="1" t="n">
        <v>46265</v>
      </c>
      <c r="F257" t="inlineStr">
        <is>
          <t>VÄSTMANLANDS LÄN</t>
        </is>
      </c>
      <c r="G257" t="inlineStr">
        <is>
          <t>VÄSTERÅS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46265</v>
      </c>
      <c r="F258" t="inlineStr">
        <is>
          <t>VÄSTMANLANDS LÄN</t>
        </is>
      </c>
      <c r="G258" t="inlineStr">
        <is>
          <t>VÄSTERÅS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46265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46265</v>
      </c>
      <c r="F260" t="inlineStr">
        <is>
          <t>VÄSTMANLANDS LÄN</t>
        </is>
      </c>
      <c r="G260" t="inlineStr">
        <is>
          <t>VÄSTERÅS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44600</v>
      </c>
      <c r="E261" s="1" t="n">
        <v>46265</v>
      </c>
      <c r="F261" t="inlineStr">
        <is>
          <t>VÄSTMANLANDS LÄN</t>
        </is>
      </c>
      <c r="G261" t="inlineStr">
        <is>
          <t>VÄSTERÅS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46265</v>
      </c>
      <c r="F262" t="inlineStr">
        <is>
          <t>VÄSTMANLANDS LÄN</t>
        </is>
      </c>
      <c r="G262" t="inlineStr">
        <is>
          <t>VÄSTERÅS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46265</v>
      </c>
      <c r="F263" t="inlineStr">
        <is>
          <t>VÄSTMANLANDS LÄN</t>
        </is>
      </c>
      <c r="G263" t="inlineStr">
        <is>
          <t>VÄSTERÅS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61249-2021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46265</v>
      </c>
      <c r="F264" t="inlineStr">
        <is>
          <t>VÄSTMANLANDS LÄN</t>
        </is>
      </c>
      <c r="G264" t="inlineStr">
        <is>
          <t>VÄSTERÅS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8727-2023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44978</v>
      </c>
      <c r="E265" s="1" t="n">
        <v>46265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Kyrkan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46265</v>
      </c>
      <c r="F266" t="inlineStr">
        <is>
          <t>VÄSTMANLANDS LÄN</t>
        </is>
      </c>
      <c r="G266" t="inlineStr">
        <is>
          <t>VÄSTERÅS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46265</v>
      </c>
      <c r="F267" t="inlineStr">
        <is>
          <t>VÄSTMANLANDS LÄN</t>
        </is>
      </c>
      <c r="G267" t="inlineStr">
        <is>
          <t>VÄSTERÅS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46265</v>
      </c>
      <c r="F268" t="inlineStr">
        <is>
          <t>VÄSTMANLANDS LÄN</t>
        </is>
      </c>
      <c r="G268" t="inlineStr">
        <is>
          <t>VÄSTERÅS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44574</v>
      </c>
      <c r="E269" s="1" t="n">
        <v>46265</v>
      </c>
      <c r="F269" t="inlineStr">
        <is>
          <t>VÄSTMANLANDS LÄN</t>
        </is>
      </c>
      <c r="G269" t="inlineStr">
        <is>
          <t>VÄSTERÅS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50987-2024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46265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45398</v>
      </c>
      <c r="E271" s="1" t="n">
        <v>46265</v>
      </c>
      <c r="F271" t="inlineStr">
        <is>
          <t>VÄSTMANLANDS LÄN</t>
        </is>
      </c>
      <c r="G271" t="inlineStr">
        <is>
          <t>VÄSTERÅS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45110</v>
      </c>
      <c r="E272" s="1" t="n">
        <v>46265</v>
      </c>
      <c r="F272" t="inlineStr">
        <is>
          <t>VÄSTMANLANDS LÄN</t>
        </is>
      </c>
      <c r="G272" t="inlineStr">
        <is>
          <t>VÄSTERÅS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55684-2023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45232</v>
      </c>
      <c r="E273" s="1" t="n">
        <v>46265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Övriga Aktiebolag</t>
        </is>
      </c>
      <c r="I273" t="n">
        <v>29.4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39810-2024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46265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Kyrkan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45019</v>
      </c>
      <c r="E275" s="1" t="n">
        <v>46265</v>
      </c>
      <c r="F275" t="inlineStr">
        <is>
          <t>VÄSTMANLANDS LÄN</t>
        </is>
      </c>
      <c r="G275" t="inlineStr">
        <is>
          <t>VÄSTERÅS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18467-2023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45042</v>
      </c>
      <c r="E276" s="1" t="n">
        <v>46265</v>
      </c>
      <c r="F276" t="inlineStr">
        <is>
          <t>VÄSTMANLANDS LÄN</t>
        </is>
      </c>
      <c r="G276" t="inlineStr">
        <is>
          <t>VÄSTERÅS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45033</v>
      </c>
      <c r="E277" s="1" t="n">
        <v>46265</v>
      </c>
      <c r="F277" t="inlineStr">
        <is>
          <t>VÄSTMANLANDS LÄN</t>
        </is>
      </c>
      <c r="G277" t="inlineStr">
        <is>
          <t>VÄSTERÅS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10912-2024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45370</v>
      </c>
      <c r="E278" s="1" t="n">
        <v>46265</v>
      </c>
      <c r="F278" t="inlineStr">
        <is>
          <t>VÄSTMANLANDS LÄN</t>
        </is>
      </c>
      <c r="G278" t="inlineStr">
        <is>
          <t>VÄSTERÅS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46265</v>
      </c>
      <c r="F279" t="inlineStr">
        <is>
          <t>VÄSTMANLANDS LÄN</t>
        </is>
      </c>
      <c r="G279" t="inlineStr">
        <is>
          <t>VÄSTERÅS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46265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46265</v>
      </c>
      <c r="F281" t="inlineStr">
        <is>
          <t>VÄSTMANLANDS LÄN</t>
        </is>
      </c>
      <c r="G281" t="inlineStr">
        <is>
          <t>VÄSTERÅS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45019</v>
      </c>
      <c r="E282" s="1" t="n">
        <v>46265</v>
      </c>
      <c r="F282" t="inlineStr">
        <is>
          <t>VÄSTMANLANDS LÄN</t>
        </is>
      </c>
      <c r="G282" t="inlineStr">
        <is>
          <t>VÄSTERÅS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46154</v>
      </c>
      <c r="E283" s="1" t="n">
        <v>46265</v>
      </c>
      <c r="F283" t="inlineStr">
        <is>
          <t>VÄSTMANLANDS LÄN</t>
        </is>
      </c>
      <c r="G283" t="inlineStr">
        <is>
          <t>VÄSTERÅS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46265</v>
      </c>
      <c r="F284" t="inlineStr">
        <is>
          <t>VÄSTMANLANDS LÄN</t>
        </is>
      </c>
      <c r="G284" t="inlineStr">
        <is>
          <t>VÄSTERÅS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45713</v>
      </c>
      <c r="E285" s="1" t="n">
        <v>46265</v>
      </c>
      <c r="F285" t="inlineStr">
        <is>
          <t>VÄSTMANLANDS LÄN</t>
        </is>
      </c>
      <c r="G285" t="inlineStr">
        <is>
          <t>VÄSTERÅS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59536-2024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45638</v>
      </c>
      <c r="E286" s="1" t="n">
        <v>46265</v>
      </c>
      <c r="F286" t="inlineStr">
        <is>
          <t>VÄSTMANLANDS LÄN</t>
        </is>
      </c>
      <c r="G286" t="inlineStr">
        <is>
          <t>VÄSTERÅS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46265</v>
      </c>
      <c r="F287" t="inlineStr">
        <is>
          <t>VÄSTMANLANDS LÄN</t>
        </is>
      </c>
      <c r="G287" t="inlineStr">
        <is>
          <t>VÄSTERÅS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38538-2023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46265</v>
      </c>
      <c r="F288" t="inlineStr">
        <is>
          <t>VÄSTMANLANDS LÄN</t>
        </is>
      </c>
      <c r="G288" t="inlineStr">
        <is>
          <t>VÄSTERÅS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46265</v>
      </c>
      <c r="F289" t="inlineStr">
        <is>
          <t>VÄSTMANLANDS LÄN</t>
        </is>
      </c>
      <c r="G289" t="inlineStr">
        <is>
          <t>VÄSTERÅS</t>
        </is>
      </c>
      <c r="I289" t="n">
        <v>15.4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46265</v>
      </c>
      <c r="F290" t="inlineStr">
        <is>
          <t>VÄSTMANLANDS LÄN</t>
        </is>
      </c>
      <c r="G290" t="inlineStr">
        <is>
          <t>VÄSTERÅS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46162</v>
      </c>
      <c r="E291" s="1" t="n">
        <v>46265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23497-2026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46265</v>
      </c>
      <c r="F292" t="inlineStr">
        <is>
          <t>VÄSTMANLANDS LÄN</t>
        </is>
      </c>
      <c r="G292" t="inlineStr">
        <is>
          <t>VÄSTERÅS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46265</v>
      </c>
      <c r="F293" t="inlineStr">
        <is>
          <t>VÄSTMANLANDS LÄN</t>
        </is>
      </c>
      <c r="G293" t="inlineStr">
        <is>
          <t>VÄSTERÅS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46265</v>
      </c>
      <c r="F294" t="inlineStr">
        <is>
          <t>VÄSTMANLANDS LÄN</t>
        </is>
      </c>
      <c r="G294" t="inlineStr">
        <is>
          <t>VÄSTERÅS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46265</v>
      </c>
      <c r="F295" t="inlineStr">
        <is>
          <t>VÄSTMANLANDS LÄN</t>
        </is>
      </c>
      <c r="G295" t="inlineStr">
        <is>
          <t>VÄSTERÅS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46265</v>
      </c>
      <c r="F296" t="inlineStr">
        <is>
          <t>VÄSTMANLANDS LÄN</t>
        </is>
      </c>
      <c r="G296" t="inlineStr">
        <is>
          <t>VÄSTERÅS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45274</v>
      </c>
      <c r="E297" s="1" t="n">
        <v>46265</v>
      </c>
      <c r="F297" t="inlineStr">
        <is>
          <t>VÄSTMANLANDS LÄN</t>
        </is>
      </c>
      <c r="G297" t="inlineStr">
        <is>
          <t>VÄSTERÅS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46265</v>
      </c>
      <c r="F298" t="inlineStr">
        <is>
          <t>VÄSTMANLANDS LÄN</t>
        </is>
      </c>
      <c r="G298" t="inlineStr">
        <is>
          <t>VÄSTERÅS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46183</v>
      </c>
      <c r="E299" s="1" t="n">
        <v>46265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Allmännings- och besparingsskogar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46265</v>
      </c>
      <c r="F300" t="inlineStr">
        <is>
          <t>VÄSTMANLANDS LÄN</t>
        </is>
      </c>
      <c r="G300" t="inlineStr">
        <is>
          <t>VÄSTERÅS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46265</v>
      </c>
      <c r="F301" t="inlineStr">
        <is>
          <t>VÄSTMANLANDS LÄN</t>
        </is>
      </c>
      <c r="G301" t="inlineStr">
        <is>
          <t>VÄSTERÅS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46265</v>
      </c>
      <c r="F302" t="inlineStr">
        <is>
          <t>VÄSTMANLANDS LÄN</t>
        </is>
      </c>
      <c r="G302" t="inlineStr">
        <is>
          <t>VÄSTERÅS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46265</v>
      </c>
      <c r="F303" t="inlineStr">
        <is>
          <t>VÄSTMANLANDS LÄN</t>
        </is>
      </c>
      <c r="G303" t="inlineStr">
        <is>
          <t>VÄSTERÅS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28126-2026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46265</v>
      </c>
      <c r="F304" t="inlineStr">
        <is>
          <t>VÄSTMANLANDS LÄN</t>
        </is>
      </c>
      <c r="G304" t="inlineStr">
        <is>
          <t>VÄSTERÅS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28341-2026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46265</v>
      </c>
      <c r="F305" t="inlineStr">
        <is>
          <t>VÄSTMANLANDS LÄN</t>
        </is>
      </c>
      <c r="G305" t="inlineStr">
        <is>
          <t>VÄSTERÅS</t>
        </is>
      </c>
      <c r="I305" t="n">
        <v>14.1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46265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46080</v>
      </c>
      <c r="E307" s="1" t="n">
        <v>46265</v>
      </c>
      <c r="F307" t="inlineStr">
        <is>
          <t>VÄSTMANLANDS LÄN</t>
        </is>
      </c>
      <c r="G307" t="inlineStr">
        <is>
          <t>VÄSTERÅS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46265</v>
      </c>
      <c r="F308" t="inlineStr">
        <is>
          <t>VÄSTMANLANDS LÄN</t>
        </is>
      </c>
      <c r="G308" t="inlineStr">
        <is>
          <t>VÄSTERÅS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46080</v>
      </c>
      <c r="E309" s="1" t="n">
        <v>46265</v>
      </c>
      <c r="F309" t="inlineStr">
        <is>
          <t>VÄSTMANLANDS LÄN</t>
        </is>
      </c>
      <c r="G309" t="inlineStr">
        <is>
          <t>VÄSTERÅS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46265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46265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46213</v>
      </c>
      <c r="E312" s="1" t="n">
        <v>46265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31052-2026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46265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46265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46215</v>
      </c>
      <c r="E315" s="1" t="n">
        <v>46265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46265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46217</v>
      </c>
      <c r="E317" s="1" t="n">
        <v>46265</v>
      </c>
      <c r="F317" t="inlineStr">
        <is>
          <t>VÄSTMANLANDS LÄN</t>
        </is>
      </c>
      <c r="G317" t="inlineStr">
        <is>
          <t>VÄSTERÅS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46265</v>
      </c>
      <c r="F318" t="inlineStr">
        <is>
          <t>VÄSTMANLANDS LÄN</t>
        </is>
      </c>
      <c r="G318" t="inlineStr">
        <is>
          <t>VÄSTERÅS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951-2020</t>
        </is>
      </c>
      <c r="B319" t="inlineStr">
        <is>
          <t>samrådsanmälan</t>
        </is>
      </c>
      <c r="C319" t="inlineStr">
        <is>
          <t>Åtgärd i nyckelbiotop</t>
        </is>
      </c>
      <c r="D319" s="1" t="n">
        <v>43948</v>
      </c>
      <c r="E319" s="1" t="n">
        <v>46265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Kommuner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3639-2022</t>
        </is>
      </c>
      <c r="B320" t="inlineStr">
        <is>
          <t>samrådsanmälan</t>
        </is>
      </c>
      <c r="C320" t="inlineStr">
        <is>
          <t>Skogsbilväg</t>
        </is>
      </c>
      <c r="D320" s="1" t="n">
        <v>44740</v>
      </c>
      <c r="E320" s="1" t="n">
        <v>46265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1415-2022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44634</v>
      </c>
      <c r="E321" s="1" t="n">
        <v>46265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Kyrkan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45005</v>
      </c>
      <c r="E322" s="1" t="n">
        <v>46265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696-2026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46091</v>
      </c>
      <c r="E323" s="1" t="n">
        <v>46265</v>
      </c>
      <c r="F323" t="inlineStr">
        <is>
          <t>VÄSTMANLANDS LÄN</t>
        </is>
      </c>
      <c r="G323" t="inlineStr">
        <is>
          <t>VÄSTERÅS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949-2026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46113</v>
      </c>
      <c r="E324" s="1" t="n">
        <v>46265</v>
      </c>
      <c r="F324" t="inlineStr">
        <is>
          <t>VÄSTMANLANDS LÄN</t>
        </is>
      </c>
      <c r="G324" t="inlineStr">
        <is>
          <t>VÄSTERÅS</t>
        </is>
      </c>
      <c r="I324" t="n">
        <v>6.4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1468-2026</t>
        </is>
      </c>
      <c r="B325" t="inlineStr">
        <is>
          <t>samrådsanmälan</t>
        </is>
      </c>
      <c r="C325" t="inlineStr">
        <is>
          <t>Dikesrensning</t>
        </is>
      </c>
      <c r="D325" s="1" t="n">
        <v>46134</v>
      </c>
      <c r="E325" s="1" t="n">
        <v>46265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2026-08-31T09:55:49Z</dcterms:created>
  <dcterms:modified xmlns:dcterms="http://purl.org/dc/terms/" xmlns:xsi="http://www.w3.org/2001/XMLSchema-instance" xsi:type="dcterms:W3CDTF">2026-08-31T09:55:50Z</dcterms:modified>
</cp:coreProperties>
</file>