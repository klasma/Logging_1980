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46234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46234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46234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46234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46234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46234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46234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46234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46234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46234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46234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46234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46234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46234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46234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46234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46234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46234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46234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46234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46234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46234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46234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46234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46234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46234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46234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46234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46234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59520-2024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46234</v>
      </c>
      <c r="F43" t="inlineStr">
        <is>
          <t>VÄSTMANLANDS LÄN</t>
        </is>
      </c>
      <c r="G43" t="inlineStr">
        <is>
          <t>VÄSTERÅS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Brunklöver</t>
        </is>
      </c>
      <c r="W43">
        <f>HYPERLINK("https://klasma.github.io/Logging_1980/artfynd/A 59520-2024 artfynd.xlsx", "A 59520-2024")</f>
        <v/>
      </c>
      <c r="X43">
        <f>HYPERLINK("https://klasma.github.io/Logging_1980/kartor/A 59520-2024 karta.png", "A 59520-2024")</f>
        <v/>
      </c>
      <c r="Y43">
        <f>HYPERLINK("https://klasma.github.io/Logging_1980/kartor_geotiff/A 59520-2024 georefererad karta.tif", "A 59520-2024")</f>
        <v/>
      </c>
      <c r="AA43">
        <f>HYPERLINK("https://klasma.github.io/Logging_1980/klagomål/A 59520-2024 FSC-klagomål.docx", "A 59520-2024")</f>
        <v/>
      </c>
      <c r="AB43">
        <f>HYPERLINK("https://klasma.github.io/Logging_1980/klagomålsmail/A 59520-2024 FSC-klagomål mail.docx", "A 59520-2024")</f>
        <v/>
      </c>
      <c r="AC43">
        <f>HYPERLINK("https://klasma.github.io/Logging_1980/tillsyn/A 59520-2024 tillsynsbegäran.docx", "A 59520-2024")</f>
        <v/>
      </c>
      <c r="AD43">
        <f>HYPERLINK("https://klasma.github.io/Logging_1980/tillsynsmail/A 59520-2024 tillsynsbegäran mail.docx", "A 59520-2024")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46234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46234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46234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46234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46234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51147-2023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46234</v>
      </c>
      <c r="F49" t="inlineStr">
        <is>
          <t>VÄSTMANLANDS LÄN</t>
        </is>
      </c>
      <c r="G49" t="inlineStr">
        <is>
          <t>VÄSTERÅS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Mindre märgborre</t>
        </is>
      </c>
      <c r="W49">
        <f>HYPERLINK("https://klasma.github.io/Logging_1980/artfynd/A 51147-2023 artfynd.xlsx", "A 51147-2023")</f>
        <v/>
      </c>
      <c r="X49">
        <f>HYPERLINK("https://klasma.github.io/Logging_1980/kartor/A 51147-2023 karta.png", "A 51147-2023")</f>
        <v/>
      </c>
      <c r="Y49">
        <f>HYPERLINK("https://klasma.github.io/Logging_1980/kartor_geotiff/A 51147-2023 georefererad karta.tif", "A 51147-2023")</f>
        <v/>
      </c>
      <c r="AA49">
        <f>HYPERLINK("https://klasma.github.io/Logging_1980/klagomål/A 51147-2023 FSC-klagomål.docx", "A 51147-2023")</f>
        <v/>
      </c>
      <c r="AB49">
        <f>HYPERLINK("https://klasma.github.io/Logging_1980/klagomålsmail/A 51147-2023 FSC-klagomål mail.docx", "A 51147-2023")</f>
        <v/>
      </c>
      <c r="AC49">
        <f>HYPERLINK("https://klasma.github.io/Logging_1980/tillsyn/A 51147-2023 tillsynsbegäran.docx", "A 51147-2023")</f>
        <v/>
      </c>
      <c r="AD49">
        <f>HYPERLINK("https://klasma.github.io/Logging_1980/tillsynsmail/A 51147-2023 tillsynsbegäran mail.docx", "A 51147-2023")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46234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46234</v>
      </c>
      <c r="F51" t="inlineStr">
        <is>
          <t>VÄSTMANLANDS LÄN</t>
        </is>
      </c>
      <c r="G51" t="inlineStr">
        <is>
          <t>VÄSTERÅS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5363-2025 artfynd.xlsx", "A 5363-2025")</f>
        <v/>
      </c>
      <c r="X51">
        <f>HYPERLINK("https://klasma.github.io/Logging_1980/kartor/A 5363-2025 karta.png", "A 5363-2025")</f>
        <v/>
      </c>
      <c r="Y51">
        <f>HYPERLINK("https://klasma.github.io/Logging_1980/kartor_geotiff/A 5363-2025 georefererad karta.tif", "A 5363-2025")</f>
        <v/>
      </c>
      <c r="AA51">
        <f>HYPERLINK("https://klasma.github.io/Logging_1980/klagomål/A 5363-2025 FSC-klagomål.docx", "A 5363-2025")</f>
        <v/>
      </c>
      <c r="AB51">
        <f>HYPERLINK("https://klasma.github.io/Logging_1980/klagomålsmail/A 5363-2025 FSC-klagomål mail.docx", "A 5363-2025")</f>
        <v/>
      </c>
      <c r="AC51">
        <f>HYPERLINK("https://klasma.github.io/Logging_1980/tillsyn/A 5363-2025 tillsynsbegäran.docx", "A 5363-2025")</f>
        <v/>
      </c>
      <c r="AD51">
        <f>HYPERLINK("https://klasma.github.io/Logging_1980/tillsynsmail/A 5363-2025 tillsynsbegäran mail.docx", "A 5363-2025")</f>
        <v/>
      </c>
    </row>
    <row r="52" ht="15" customHeight="1">
      <c r="A52" t="inlineStr">
        <is>
          <t>A 61059-2024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46234</v>
      </c>
      <c r="F52" t="inlineStr">
        <is>
          <t>VÄSTMANLANDS LÄN</t>
        </is>
      </c>
      <c r="G52" t="inlineStr">
        <is>
          <t>VÄSTERÅS</t>
        </is>
      </c>
      <c r="I52" t="n">
        <v>4.7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Bandad skulderbock</t>
        </is>
      </c>
      <c r="W52">
        <f>HYPERLINK("https://klasma.github.io/Logging_1980/artfynd/A 61059-2024 artfynd.xlsx", "A 61059-2024")</f>
        <v/>
      </c>
      <c r="X52">
        <f>HYPERLINK("https://klasma.github.io/Logging_1980/kartor/A 61059-2024 karta.png", "A 61059-2024")</f>
        <v/>
      </c>
      <c r="Y52">
        <f>HYPERLINK("https://klasma.github.io/Logging_1980/kartor_geotiff/A 61059-2024 georefererad karta.tif", "A 61059-2024")</f>
        <v/>
      </c>
      <c r="AA52">
        <f>HYPERLINK("https://klasma.github.io/Logging_1980/klagomål/A 61059-2024 FSC-klagomål.docx", "A 61059-2024")</f>
        <v/>
      </c>
      <c r="AB52">
        <f>HYPERLINK("https://klasma.github.io/Logging_1980/klagomålsmail/A 61059-2024 FSC-klagomål mail.docx", "A 61059-2024")</f>
        <v/>
      </c>
      <c r="AC52">
        <f>HYPERLINK("https://klasma.github.io/Logging_1980/tillsyn/A 61059-2024 tillsynsbegäran.docx", "A 61059-2024")</f>
        <v/>
      </c>
      <c r="AD52">
        <f>HYPERLINK("https://klasma.github.io/Logging_1980/tillsynsmail/A 61059-2024 tillsynsbegäran mail.docx", "A 61059-2024")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46234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59144-2025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46234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HYPERLINK("https://klasma.github.io/Logging_1980/artfynd/A 59144-2025 artfynd.xlsx", "A 59144-2025")</f>
        <v/>
      </c>
      <c r="X54">
        <f>HYPERLINK("https://klasma.github.io/Logging_1980/kartor/A 59144-2025 karta.png", "A 59144-2025")</f>
        <v/>
      </c>
      <c r="Y54">
        <f>HYPERLINK("https://klasma.github.io/Logging_1980/kartor_geotiff/A 59144-2025 georefererad karta.tif", "A 59144-2025")</f>
        <v/>
      </c>
      <c r="AA54">
        <f>HYPERLINK("https://klasma.github.io/Logging_1980/klagomål/A 59144-2025 FSC-klagomål.docx", "A 59144-2025")</f>
        <v/>
      </c>
      <c r="AB54">
        <f>HYPERLINK("https://klasma.github.io/Logging_1980/klagomålsmail/A 59144-2025 FSC-klagomål mail.docx", "A 59144-2025")</f>
        <v/>
      </c>
      <c r="AC54">
        <f>HYPERLINK("https://klasma.github.io/Logging_1980/tillsyn/A 59144-2025 tillsynsbegäran.docx", "A 59144-2025")</f>
        <v/>
      </c>
      <c r="AD54">
        <f>HYPERLINK("https://klasma.github.io/Logging_1980/tillsynsmail/A 59144-2025 tillsynsbegäran mail.docx", "A 59144-2025")</f>
        <v/>
      </c>
    </row>
    <row r="55" ht="15" customHeight="1">
      <c r="A55" t="inlineStr">
        <is>
          <t>A 29787-2023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45107</v>
      </c>
      <c r="E55" s="1" t="n">
        <v>46234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5.3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Kopparödla</t>
        </is>
      </c>
      <c r="W55">
        <f>HYPERLINK("https://klasma.github.io/Logging_1980/artfynd/A 29787-2023 artfynd.xlsx", "A 29787-2023")</f>
        <v/>
      </c>
      <c r="X55">
        <f>HYPERLINK("https://klasma.github.io/Logging_1980/kartor/A 29787-2023 karta.png", "A 29787-2023")</f>
        <v/>
      </c>
      <c r="Y55">
        <f>HYPERLINK("https://klasma.github.io/Logging_1980/kartor_geotiff/A 29787-2023 georefererad karta.tif", "A 29787-2023")</f>
        <v/>
      </c>
      <c r="AA55">
        <f>HYPERLINK("https://klasma.github.io/Logging_1980/klagomål/A 29787-2023 FSC-klagomål.docx", "A 29787-2023")</f>
        <v/>
      </c>
      <c r="AB55">
        <f>HYPERLINK("https://klasma.github.io/Logging_1980/klagomålsmail/A 29787-2023 FSC-klagomål mail.docx", "A 29787-2023")</f>
        <v/>
      </c>
      <c r="AC55">
        <f>HYPERLINK("https://klasma.github.io/Logging_1980/tillsyn/A 29787-2023 tillsynsbegäran.docx", "A 29787-2023")</f>
        <v/>
      </c>
      <c r="AD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46234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12058-2026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46234</v>
      </c>
      <c r="F57" t="inlineStr">
        <is>
          <t>VÄSTMANLANDS LÄN</t>
        </is>
      </c>
      <c r="G57" t="inlineStr">
        <is>
          <t>VÄSTERÅS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Törnskata</t>
        </is>
      </c>
      <c r="W57">
        <f>HYPERLINK("https://klasma.github.io/Logging_1980/artfynd/A 12058-2026 artfynd.xlsx", "A 12058-2026")</f>
        <v/>
      </c>
      <c r="X57">
        <f>HYPERLINK("https://klasma.github.io/Logging_1980/kartor/A 12058-2026 karta.png", "A 12058-2026")</f>
        <v/>
      </c>
      <c r="Y57">
        <f>HYPERLINK("https://klasma.github.io/Logging_1980/kartor_geotiff/A 12058-2026 georefererad karta.tif", "A 12058-2026")</f>
        <v/>
      </c>
      <c r="AA57">
        <f>HYPERLINK("https://klasma.github.io/Logging_1980/klagomål/A 12058-2026 FSC-klagomål.docx", "A 12058-2026")</f>
        <v/>
      </c>
      <c r="AB57">
        <f>HYPERLINK("https://klasma.github.io/Logging_1980/klagomålsmail/A 12058-2026 FSC-klagomål mail.docx", "A 12058-2026")</f>
        <v/>
      </c>
      <c r="AC57">
        <f>HYPERLINK("https://klasma.github.io/Logging_1980/tillsyn/A 12058-2026 tillsynsbegäran.docx", "A 12058-2026")</f>
        <v/>
      </c>
      <c r="AD57">
        <f>HYPERLINK("https://klasma.github.io/Logging_1980/tillsynsmail/A 12058-2026 tillsynsbegäran mail.docx", "A 12058-2026")</f>
        <v/>
      </c>
      <c r="AE57">
        <f>HYPERLINK("https://klasma.github.io/Logging_1980/fåglar/A 12058-2026 prioriterade fågelarter.docx", "A 12058-2026")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46234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46234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HYPERLINK("https://klasma.github.io/Logging_1980/artfynd/A 22378-2026 artfynd.xlsx", "A 22378-2026")</f>
        <v/>
      </c>
      <c r="X59">
        <f>HYPERLINK("https://klasma.github.io/Logging_1980/kartor/A 22378-2026 karta.png", "A 22378-2026")</f>
        <v/>
      </c>
      <c r="Y59">
        <f>HYPERLINK("https://klasma.github.io/Logging_1980/kartor_geotiff/A 22378-2026 georefererad karta.tif", "A 22378-2026")</f>
        <v/>
      </c>
      <c r="AA59">
        <f>HYPERLINK("https://klasma.github.io/Logging_1980/klagomål/A 22378-2026 FSC-klagomål.docx", "A 22378-2026")</f>
        <v/>
      </c>
      <c r="AB59">
        <f>HYPERLINK("https://klasma.github.io/Logging_1980/klagomålsmail/A 22378-2026 FSC-klagomål mail.docx", "A 22378-2026")</f>
        <v/>
      </c>
      <c r="AC59">
        <f>HYPERLINK("https://klasma.github.io/Logging_1980/tillsyn/A 22378-2026 tillsynsbegäran.docx", "A 22378-2026")</f>
        <v/>
      </c>
      <c r="AD59">
        <f>HYPERLINK("https://klasma.github.io/Logging_1980/tillsynsmail/A 22378-2026 tillsynsbegäran mail.docx", "A 22378-2026")</f>
        <v/>
      </c>
    </row>
    <row r="60" ht="15" customHeight="1">
      <c r="A60" t="inlineStr">
        <is>
          <t>A 46189-2023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45196</v>
      </c>
      <c r="E60" s="1" t="n">
        <v>46234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Gullviva</t>
        </is>
      </c>
      <c r="W60">
        <f>HYPERLINK("https://klasma.github.io/Logging_1980/artfynd/A 46189-2023 artfynd.xlsx", "A 46189-2023")</f>
        <v/>
      </c>
      <c r="X60">
        <f>HYPERLINK("https://klasma.github.io/Logging_1980/kartor/A 46189-2023 karta.png", "A 46189-2023")</f>
        <v/>
      </c>
      <c r="Y60">
        <f>HYPERLINK("https://klasma.github.io/Logging_1980/kartor_geotiff/A 46189-2023 georefererad karta.tif", "A 46189-2023")</f>
        <v/>
      </c>
      <c r="AA60">
        <f>HYPERLINK("https://klasma.github.io/Logging_1980/klagomål/A 46189-2023 FSC-klagomål.docx", "A 46189-2023")</f>
        <v/>
      </c>
      <c r="AB60">
        <f>HYPERLINK("https://klasma.github.io/Logging_1980/klagomålsmail/A 46189-2023 FSC-klagomål mail.docx", "A 46189-2023")</f>
        <v/>
      </c>
      <c r="AC60">
        <f>HYPERLINK("https://klasma.github.io/Logging_1980/tillsyn/A 46189-2023 tillsynsbegäran.docx", "A 46189-2023")</f>
        <v/>
      </c>
      <c r="AD60">
        <f>HYPERLINK("https://klasma.github.io/Logging_1980/tillsynsmail/A 46189-2023 tillsynsbegäran mail.docx", "A 46189-2023")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46234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46234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46234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46234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44628</v>
      </c>
      <c r="E65" s="1" t="n">
        <v>46234</v>
      </c>
      <c r="F65" t="inlineStr">
        <is>
          <t>VÄSTMANLANDS LÄN</t>
        </is>
      </c>
      <c r="G65" t="inlineStr">
        <is>
          <t>VÄSTERÅS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46234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46234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46234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46234</v>
      </c>
      <c r="F69" t="inlineStr">
        <is>
          <t>VÄSTMANLANDS LÄN</t>
        </is>
      </c>
      <c r="G69" t="inlineStr">
        <is>
          <t>VÄSTERÅS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46234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46234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46234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46234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46234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46234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46234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46234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46234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46234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46234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46234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46234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46234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46234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46234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46234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46234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46234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46234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46234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46234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46234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46234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46234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46234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46234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46234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46234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46234</v>
      </c>
      <c r="F99" t="inlineStr">
        <is>
          <t>VÄSTMANLANDS LÄN</t>
        </is>
      </c>
      <c r="G99" t="inlineStr">
        <is>
          <t>VÄSTERÅS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46234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73601-2021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44552</v>
      </c>
      <c r="E101" s="1" t="n">
        <v>46234</v>
      </c>
      <c r="F101" t="inlineStr">
        <is>
          <t>VÄSTMANLANDS LÄN</t>
        </is>
      </c>
      <c r="G101" t="inlineStr">
        <is>
          <t>VÄSTERÅS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46234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46234</v>
      </c>
      <c r="F103" t="inlineStr">
        <is>
          <t>VÄSTMANLANDS LÄN</t>
        </is>
      </c>
      <c r="G103" t="inlineStr">
        <is>
          <t>VÄSTERÅS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55684-2023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45232</v>
      </c>
      <c r="E104" s="1" t="n">
        <v>46234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Övriga Aktiebolag</t>
        </is>
      </c>
      <c r="I104" t="n">
        <v>29.4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46234</v>
      </c>
      <c r="F105" t="inlineStr">
        <is>
          <t>VÄSTMANLANDS LÄN</t>
        </is>
      </c>
      <c r="G105" t="inlineStr">
        <is>
          <t>VÄSTERÅS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46234</v>
      </c>
      <c r="F106" t="inlineStr">
        <is>
          <t>VÄSTMANLANDS LÄN</t>
        </is>
      </c>
      <c r="G106" t="inlineStr">
        <is>
          <t>VÄSTERÅS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46234</v>
      </c>
      <c r="F107" t="inlineStr">
        <is>
          <t>VÄSTMANLANDS LÄN</t>
        </is>
      </c>
      <c r="G107" t="inlineStr">
        <is>
          <t>VÄSTERÅS</t>
        </is>
      </c>
      <c r="I107" t="n">
        <v>15.4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74314-2021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46234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46234</v>
      </c>
      <c r="F109" t="inlineStr">
        <is>
          <t>VÄSTMANLANDS LÄN</t>
        </is>
      </c>
      <c r="G109" t="inlineStr">
        <is>
          <t>VÄSTERÅS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46234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46234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44610</v>
      </c>
      <c r="E112" s="1" t="n">
        <v>46234</v>
      </c>
      <c r="F112" t="inlineStr">
        <is>
          <t>VÄSTMANLANDS LÄN</t>
        </is>
      </c>
      <c r="G112" t="inlineStr">
        <is>
          <t>VÄSTERÅS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46234</v>
      </c>
      <c r="F113" t="inlineStr">
        <is>
          <t>VÄSTMANLANDS LÄN</t>
        </is>
      </c>
      <c r="G113" t="inlineStr">
        <is>
          <t>VÄSTERÅS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45945</v>
      </c>
      <c r="E114" s="1" t="n">
        <v>46234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46234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50564-2025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45945</v>
      </c>
      <c r="E116" s="1" t="n">
        <v>46234</v>
      </c>
      <c r="F116" t="inlineStr">
        <is>
          <t>VÄSTMANLANDS LÄN</t>
        </is>
      </c>
      <c r="G116" t="inlineStr">
        <is>
          <t>VÄSTERÅS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46234</v>
      </c>
      <c r="F117" t="inlineStr">
        <is>
          <t>VÄSTMANLANDS LÄN</t>
        </is>
      </c>
      <c r="G117" t="inlineStr">
        <is>
          <t>VÄSTERÅS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46234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46234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46234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Övriga statliga verk och myndigheter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44961</v>
      </c>
      <c r="E121" s="1" t="n">
        <v>46234</v>
      </c>
      <c r="F121" t="inlineStr">
        <is>
          <t>VÄSTMANLANDS LÄN</t>
        </is>
      </c>
      <c r="G121" t="inlineStr">
        <is>
          <t>VÄSTERÅS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44428</v>
      </c>
      <c r="E122" s="1" t="n">
        <v>46234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46234</v>
      </c>
      <c r="F123" t="inlineStr">
        <is>
          <t>VÄSTMANLANDS LÄN</t>
        </is>
      </c>
      <c r="G123" t="inlineStr">
        <is>
          <t>VÄSTERÅS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46234</v>
      </c>
      <c r="F124" t="inlineStr">
        <is>
          <t>VÄSTMANLANDS LÄN</t>
        </is>
      </c>
      <c r="G124" t="inlineStr">
        <is>
          <t>VÄSTERÅS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46234</v>
      </c>
      <c r="F125" t="inlineStr">
        <is>
          <t>VÄSTMANLANDS LÄN</t>
        </is>
      </c>
      <c r="G125" t="inlineStr">
        <is>
          <t>VÄSTERÅS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44662</v>
      </c>
      <c r="E126" s="1" t="n">
        <v>46234</v>
      </c>
      <c r="F126" t="inlineStr">
        <is>
          <t>VÄSTMANLANDS LÄN</t>
        </is>
      </c>
      <c r="G126" t="inlineStr">
        <is>
          <t>VÄSTERÅS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42898-2025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45908</v>
      </c>
      <c r="E127" s="1" t="n">
        <v>46234</v>
      </c>
      <c r="F127" t="inlineStr">
        <is>
          <t>VÄSTMANLANDS LÄN</t>
        </is>
      </c>
      <c r="G127" t="inlineStr">
        <is>
          <t>VÄSTERÅS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24546-2025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45798</v>
      </c>
      <c r="E128" s="1" t="n">
        <v>46234</v>
      </c>
      <c r="F128" t="inlineStr">
        <is>
          <t>VÄSTMANLANDS LÄN</t>
        </is>
      </c>
      <c r="G128" t="inlineStr">
        <is>
          <t>VÄSTERÅS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45072</v>
      </c>
      <c r="E129" s="1" t="n">
        <v>46234</v>
      </c>
      <c r="F129" t="inlineStr">
        <is>
          <t>VÄSTMANLANDS LÄN</t>
        </is>
      </c>
      <c r="G129" t="inlineStr">
        <is>
          <t>VÄSTERÅS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45705</v>
      </c>
      <c r="E130" s="1" t="n">
        <v>46234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45370</v>
      </c>
      <c r="E131" s="1" t="n">
        <v>46234</v>
      </c>
      <c r="F131" t="inlineStr">
        <is>
          <t>VÄSTMANLANDS LÄN</t>
        </is>
      </c>
      <c r="G131" t="inlineStr">
        <is>
          <t>VÄSTERÅS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46234</v>
      </c>
      <c r="F132" t="inlineStr">
        <is>
          <t>VÄSTMANLANDS LÄN</t>
        </is>
      </c>
      <c r="G132" t="inlineStr">
        <is>
          <t>VÄSTERÅS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56076-2023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45235</v>
      </c>
      <c r="E133" s="1" t="n">
        <v>46234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Aktiebolag</t>
        </is>
      </c>
      <c r="I133" t="n">
        <v>37.8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46234</v>
      </c>
      <c r="F134" t="inlineStr">
        <is>
          <t>VÄSTMANLANDS LÄN</t>
        </is>
      </c>
      <c r="G134" t="inlineStr">
        <is>
          <t>VÄSTERÅS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46234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Övriga statliga verk och myndigheter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45019</v>
      </c>
      <c r="E136" s="1" t="n">
        <v>46234</v>
      </c>
      <c r="F136" t="inlineStr">
        <is>
          <t>VÄSTMANLANDS LÄN</t>
        </is>
      </c>
      <c r="G136" t="inlineStr">
        <is>
          <t>VÄSTERÅS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46234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45223</v>
      </c>
      <c r="E138" s="1" t="n">
        <v>46234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56945-2024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45628</v>
      </c>
      <c r="E139" s="1" t="n">
        <v>46234</v>
      </c>
      <c r="F139" t="inlineStr">
        <is>
          <t>VÄSTMANLANDS LÄN</t>
        </is>
      </c>
      <c r="G139" t="inlineStr">
        <is>
          <t>VÄSTERÅS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46234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46234</v>
      </c>
      <c r="F141" t="inlineStr">
        <is>
          <t>VÄSTMANLANDS LÄN</t>
        </is>
      </c>
      <c r="G141" t="inlineStr">
        <is>
          <t>VÄSTERÅS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52263-2025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45953</v>
      </c>
      <c r="E142" s="1" t="n">
        <v>46234</v>
      </c>
      <c r="F142" t="inlineStr">
        <is>
          <t>VÄSTMANLANDS LÄN</t>
        </is>
      </c>
      <c r="G142" t="inlineStr">
        <is>
          <t>VÄSTERÅS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52272-2025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45953</v>
      </c>
      <c r="E143" s="1" t="n">
        <v>46234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46234</v>
      </c>
      <c r="F144" t="inlineStr">
        <is>
          <t>VÄSTMANLANDS LÄN</t>
        </is>
      </c>
      <c r="G144" t="inlineStr">
        <is>
          <t>VÄSTERÅS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46234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Kommuner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46234</v>
      </c>
      <c r="F146" t="inlineStr">
        <is>
          <t>VÄSTMANLANDS LÄN</t>
        </is>
      </c>
      <c r="G146" t="inlineStr">
        <is>
          <t>VÄSTERÅS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46234</v>
      </c>
      <c r="F147" t="inlineStr">
        <is>
          <t>VÄSTMANLANDS LÄN</t>
        </is>
      </c>
      <c r="G147" t="inlineStr">
        <is>
          <t>VÄSTERÅS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46234</v>
      </c>
      <c r="F148" t="inlineStr">
        <is>
          <t>VÄSTMANLANDS LÄN</t>
        </is>
      </c>
      <c r="G148" t="inlineStr">
        <is>
          <t>VÄSTERÅS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46234</v>
      </c>
      <c r="F149" t="inlineStr">
        <is>
          <t>VÄSTMANLANDS LÄN</t>
        </is>
      </c>
      <c r="G149" t="inlineStr">
        <is>
          <t>VÄSTERÅS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11137-2023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44987</v>
      </c>
      <c r="E150" s="1" t="n">
        <v>46234</v>
      </c>
      <c r="F150" t="inlineStr">
        <is>
          <t>VÄSTMANLANDS LÄN</t>
        </is>
      </c>
      <c r="G150" t="inlineStr">
        <is>
          <t>VÄSTERÅS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45516</v>
      </c>
      <c r="E151" s="1" t="n">
        <v>46234</v>
      </c>
      <c r="F151" t="inlineStr">
        <is>
          <t>VÄSTMANLANDS LÄN</t>
        </is>
      </c>
      <c r="G151" t="inlineStr">
        <is>
          <t>VÄSTERÅS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46234</v>
      </c>
      <c r="F152" t="inlineStr">
        <is>
          <t>VÄSTMANLANDS LÄN</t>
        </is>
      </c>
      <c r="G152" t="inlineStr">
        <is>
          <t>VÄSTERÅS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46234</v>
      </c>
      <c r="F153" t="inlineStr">
        <is>
          <t>VÄSTMANLANDS LÄN</t>
        </is>
      </c>
      <c r="G153" t="inlineStr">
        <is>
          <t>VÄSTERÅS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46234</v>
      </c>
      <c r="F154" t="inlineStr">
        <is>
          <t>VÄSTMANLANDS LÄN</t>
        </is>
      </c>
      <c r="G154" t="inlineStr">
        <is>
          <t>VÄSTERÅS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46234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46234</v>
      </c>
      <c r="F156" t="inlineStr">
        <is>
          <t>VÄSTMANLANDS LÄN</t>
        </is>
      </c>
      <c r="G156" t="inlineStr">
        <is>
          <t>VÄSTERÅS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64207-2023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46234</v>
      </c>
      <c r="F157" t="inlineStr">
        <is>
          <t>VÄSTMANLANDS LÄN</t>
        </is>
      </c>
      <c r="G157" t="inlineStr">
        <is>
          <t>VÄSTERÅS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46234</v>
      </c>
      <c r="F158" t="inlineStr">
        <is>
          <t>VÄSTMANLANDS LÄN</t>
        </is>
      </c>
      <c r="G158" t="inlineStr">
        <is>
          <t>VÄSTERÅS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46234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46234</v>
      </c>
      <c r="F160" t="inlineStr">
        <is>
          <t>VÄSTMANLANDS LÄN</t>
        </is>
      </c>
      <c r="G160" t="inlineStr">
        <is>
          <t>VÄSTERÅS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46234</v>
      </c>
      <c r="F161" t="inlineStr">
        <is>
          <t>VÄSTMANLANDS LÄN</t>
        </is>
      </c>
      <c r="G161" t="inlineStr">
        <is>
          <t>VÄSTERÅS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46234</v>
      </c>
      <c r="F162" t="inlineStr">
        <is>
          <t>VÄSTMANLANDS LÄN</t>
        </is>
      </c>
      <c r="G162" t="inlineStr">
        <is>
          <t>VÄSTERÅS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46234</v>
      </c>
      <c r="F163" t="inlineStr">
        <is>
          <t>VÄSTMANLANDS LÄN</t>
        </is>
      </c>
      <c r="G163" t="inlineStr">
        <is>
          <t>VÄSTERÅS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45125</v>
      </c>
      <c r="E164" s="1" t="n">
        <v>46234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46234</v>
      </c>
      <c r="F165" t="inlineStr">
        <is>
          <t>VÄSTMANLANDS LÄN</t>
        </is>
      </c>
      <c r="G165" t="inlineStr">
        <is>
          <t>VÄSTERÅS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64208-2023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46234</v>
      </c>
      <c r="F166" t="inlineStr">
        <is>
          <t>VÄSTMANLANDS LÄN</t>
        </is>
      </c>
      <c r="G166" t="inlineStr">
        <is>
          <t>VÄSTERÅS</t>
        </is>
      </c>
      <c r="I166" t="n">
        <v>13.9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45979</v>
      </c>
      <c r="E167" s="1" t="n">
        <v>46234</v>
      </c>
      <c r="F167" t="inlineStr">
        <is>
          <t>VÄSTMANLANDS LÄN</t>
        </is>
      </c>
      <c r="G167" t="inlineStr">
        <is>
          <t>VÄSTERÅS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46234</v>
      </c>
      <c r="F168" t="inlineStr">
        <is>
          <t>VÄSTMANLANDS LÄN</t>
        </is>
      </c>
      <c r="G168" t="inlineStr">
        <is>
          <t>VÄSTERÅS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39127-2022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44816</v>
      </c>
      <c r="E169" s="1" t="n">
        <v>46234</v>
      </c>
      <c r="F169" t="inlineStr">
        <is>
          <t>VÄSTMANLANDS LÄN</t>
        </is>
      </c>
      <c r="G169" t="inlineStr">
        <is>
          <t>VÄSTERÅS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45988</v>
      </c>
      <c r="E170" s="1" t="n">
        <v>46234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46234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46234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46234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46234</v>
      </c>
      <c r="F174" t="inlineStr">
        <is>
          <t>VÄSTMANLANDS LÄN</t>
        </is>
      </c>
      <c r="G174" t="inlineStr">
        <is>
          <t>VÄSTERÅS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46234</v>
      </c>
      <c r="F175" t="inlineStr">
        <is>
          <t>VÄSTMANLANDS LÄN</t>
        </is>
      </c>
      <c r="G175" t="inlineStr">
        <is>
          <t>VÄSTERÅS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44635</v>
      </c>
      <c r="E176" s="1" t="n">
        <v>46234</v>
      </c>
      <c r="F176" t="inlineStr">
        <is>
          <t>VÄSTMANLANDS LÄN</t>
        </is>
      </c>
      <c r="G176" t="inlineStr">
        <is>
          <t>VÄSTERÅS</t>
        </is>
      </c>
      <c r="I176" t="n">
        <v>12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46234</v>
      </c>
      <c r="F177" t="inlineStr">
        <is>
          <t>VÄSTMANLANDS LÄN</t>
        </is>
      </c>
      <c r="G177" t="inlineStr">
        <is>
          <t>VÄSTERÅS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46234</v>
      </c>
      <c r="F178" t="inlineStr">
        <is>
          <t>VÄSTMANLANDS LÄN</t>
        </is>
      </c>
      <c r="G178" t="inlineStr">
        <is>
          <t>VÄSTERÅS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46234</v>
      </c>
      <c r="F179" t="inlineStr">
        <is>
          <t>VÄSTMANLANDS LÄN</t>
        </is>
      </c>
      <c r="G179" t="inlineStr">
        <is>
          <t>VÄSTERÅS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45027</v>
      </c>
      <c r="E180" s="1" t="n">
        <v>46234</v>
      </c>
      <c r="F180" t="inlineStr">
        <is>
          <t>VÄSTMANLANDS LÄN</t>
        </is>
      </c>
      <c r="G180" t="inlineStr">
        <is>
          <t>VÄSTERÅS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46234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46234</v>
      </c>
      <c r="F182" t="inlineStr">
        <is>
          <t>VÄSTMANLANDS LÄN</t>
        </is>
      </c>
      <c r="G182" t="inlineStr">
        <is>
          <t>VÄSTERÅS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52015-2024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45607</v>
      </c>
      <c r="E183" s="1" t="n">
        <v>46234</v>
      </c>
      <c r="F183" t="inlineStr">
        <is>
          <t>VÄSTMANLANDS LÄN</t>
        </is>
      </c>
      <c r="G183" t="inlineStr">
        <is>
          <t>VÄSTERÅS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46030</v>
      </c>
      <c r="E184" s="1" t="n">
        <v>46234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Allmännings- och besparingsskogar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44999</v>
      </c>
      <c r="E185" s="1" t="n">
        <v>46234</v>
      </c>
      <c r="F185" t="inlineStr">
        <is>
          <t>VÄSTMANLANDS LÄN</t>
        </is>
      </c>
      <c r="G185" t="inlineStr">
        <is>
          <t>VÄSTERÅS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45219</v>
      </c>
      <c r="E186" s="1" t="n">
        <v>46234</v>
      </c>
      <c r="F186" t="inlineStr">
        <is>
          <t>VÄSTMANLANDS LÄN</t>
        </is>
      </c>
      <c r="G186" t="inlineStr">
        <is>
          <t>VÄSTERÅS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46234</v>
      </c>
      <c r="F187" t="inlineStr">
        <is>
          <t>VÄSTMANLANDS LÄN</t>
        </is>
      </c>
      <c r="G187" t="inlineStr">
        <is>
          <t>VÄSTERÅS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46234</v>
      </c>
      <c r="F188" t="inlineStr">
        <is>
          <t>VÄSTMANLANDS LÄN</t>
        </is>
      </c>
      <c r="G188" t="inlineStr">
        <is>
          <t>VÄSTERÅS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44582</v>
      </c>
      <c r="E189" s="1" t="n">
        <v>46234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46234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46234</v>
      </c>
      <c r="F191" t="inlineStr">
        <is>
          <t>VÄSTMANLANDS LÄN</t>
        </is>
      </c>
      <c r="G191" t="inlineStr">
        <is>
          <t>VÄSTERÅS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45414</v>
      </c>
      <c r="E192" s="1" t="n">
        <v>46234</v>
      </c>
      <c r="F192" t="inlineStr">
        <is>
          <t>VÄSTMANLANDS LÄN</t>
        </is>
      </c>
      <c r="G192" t="inlineStr">
        <is>
          <t>VÄSTERÅS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18465-2023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45042</v>
      </c>
      <c r="E193" s="1" t="n">
        <v>46234</v>
      </c>
      <c r="F193" t="inlineStr">
        <is>
          <t>VÄSTMANLANDS LÄN</t>
        </is>
      </c>
      <c r="G193" t="inlineStr">
        <is>
          <t>VÄSTERÅS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64202-2023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46234</v>
      </c>
      <c r="F194" t="inlineStr">
        <is>
          <t>VÄSTMANLANDS LÄN</t>
        </is>
      </c>
      <c r="G194" t="inlineStr">
        <is>
          <t>VÄSTERÅS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46059</v>
      </c>
      <c r="E195" s="1" t="n">
        <v>46234</v>
      </c>
      <c r="F195" t="inlineStr">
        <is>
          <t>VÄSTMANLANDS LÄN</t>
        </is>
      </c>
      <c r="G195" t="inlineStr">
        <is>
          <t>VÄSTERÅS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7797-2026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46062</v>
      </c>
      <c r="E196" s="1" t="n">
        <v>46234</v>
      </c>
      <c r="F196" t="inlineStr">
        <is>
          <t>VÄSTMANLANDS LÄN</t>
        </is>
      </c>
      <c r="G196" t="inlineStr">
        <is>
          <t>VÄSTERÅS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46234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Kyrkan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46234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46234</v>
      </c>
      <c r="F199" t="inlineStr">
        <is>
          <t>VÄSTMANLANDS LÄN</t>
        </is>
      </c>
      <c r="G199" t="inlineStr">
        <is>
          <t>VÄSTERÅS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46234</v>
      </c>
      <c r="F200" t="inlineStr">
        <is>
          <t>VÄSTMANLANDS LÄN</t>
        </is>
      </c>
      <c r="G200" t="inlineStr">
        <is>
          <t>VÄSTERÅS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44659</v>
      </c>
      <c r="E201" s="1" t="n">
        <v>46234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46234</v>
      </c>
      <c r="F202" t="inlineStr">
        <is>
          <t>VÄSTMANLANDS LÄN</t>
        </is>
      </c>
      <c r="G202" t="inlineStr">
        <is>
          <t>VÄSTERÅS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52027-2025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45952</v>
      </c>
      <c r="E203" s="1" t="n">
        <v>46234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Övriga statliga verk och myndigheter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46234</v>
      </c>
      <c r="F204" t="inlineStr">
        <is>
          <t>VÄSTMANLANDS LÄN</t>
        </is>
      </c>
      <c r="G204" t="inlineStr">
        <is>
          <t>VÄSTERÅS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46234</v>
      </c>
      <c r="F205" t="inlineStr">
        <is>
          <t>VÄSTMANLANDS LÄN</t>
        </is>
      </c>
      <c r="G205" t="inlineStr">
        <is>
          <t>VÄSTERÅS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44594</v>
      </c>
      <c r="E206" s="1" t="n">
        <v>46234</v>
      </c>
      <c r="F206" t="inlineStr">
        <is>
          <t>VÄSTMANLANDS LÄN</t>
        </is>
      </c>
      <c r="G206" t="inlineStr">
        <is>
          <t>VÄSTERÅS</t>
        </is>
      </c>
      <c r="I206" t="n">
        <v>20.3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11739-2026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46234</v>
      </c>
      <c r="F207" t="inlineStr">
        <is>
          <t>VÄSTMANLANDS LÄN</t>
        </is>
      </c>
      <c r="G207" t="inlineStr">
        <is>
          <t>VÄSTERÅS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10870-2026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46234</v>
      </c>
      <c r="F208" t="inlineStr">
        <is>
          <t>VÄSTMANLANDS LÄN</t>
        </is>
      </c>
      <c r="G208" t="inlineStr">
        <is>
          <t>VÄSTERÅS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46234</v>
      </c>
      <c r="F209" t="inlineStr">
        <is>
          <t>VÄSTMANLANDS LÄN</t>
        </is>
      </c>
      <c r="G209" t="inlineStr">
        <is>
          <t>VÄSTERÅS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63851-2021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44509</v>
      </c>
      <c r="E210" s="1" t="n">
        <v>46234</v>
      </c>
      <c r="F210" t="inlineStr">
        <is>
          <t>VÄSTMANLANDS LÄN</t>
        </is>
      </c>
      <c r="G210" t="inlineStr">
        <is>
          <t>VÄSTERÅS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45077</v>
      </c>
      <c r="E211" s="1" t="n">
        <v>46234</v>
      </c>
      <c r="F211" t="inlineStr">
        <is>
          <t>VÄSTMANLANDS LÄN</t>
        </is>
      </c>
      <c r="G211" t="inlineStr">
        <is>
          <t>VÄSTERÅS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14885-2026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46234</v>
      </c>
      <c r="F212" t="inlineStr">
        <is>
          <t>VÄSTMANLANDS LÄN</t>
        </is>
      </c>
      <c r="G212" t="inlineStr">
        <is>
          <t>VÄSTERÅS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46234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46234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46234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46234</v>
      </c>
      <c r="F216" t="inlineStr">
        <is>
          <t>VÄSTMANLANDS LÄN</t>
        </is>
      </c>
      <c r="G216" t="inlineStr">
        <is>
          <t>VÄSTERÅS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46234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44717</v>
      </c>
      <c r="E218" s="1" t="n">
        <v>46234</v>
      </c>
      <c r="F218" t="inlineStr">
        <is>
          <t>VÄSTMANLANDS LÄN</t>
        </is>
      </c>
      <c r="G218" t="inlineStr">
        <is>
          <t>VÄSTERÅS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46234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16583-2026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46234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46234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46234</v>
      </c>
      <c r="F222" t="inlineStr">
        <is>
          <t>VÄSTMANLANDS LÄN</t>
        </is>
      </c>
      <c r="G222" t="inlineStr">
        <is>
          <t>VÄSTERÅS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46234</v>
      </c>
      <c r="F223" t="inlineStr">
        <is>
          <t>VÄSTMANLANDS LÄN</t>
        </is>
      </c>
      <c r="G223" t="inlineStr">
        <is>
          <t>VÄSTERÅS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46234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Allmännings- och besparingsskogar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46234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Kommuner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44680</v>
      </c>
      <c r="E226" s="1" t="n">
        <v>46234</v>
      </c>
      <c r="F226" t="inlineStr">
        <is>
          <t>VÄSTMANLANDS LÄN</t>
        </is>
      </c>
      <c r="G226" t="inlineStr">
        <is>
          <t>VÄSTERÅS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46234</v>
      </c>
      <c r="F227" t="inlineStr">
        <is>
          <t>VÄSTMANLANDS LÄN</t>
        </is>
      </c>
      <c r="G227" t="inlineStr">
        <is>
          <t>VÄSTERÅS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46234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46234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46234</v>
      </c>
      <c r="F230" t="inlineStr">
        <is>
          <t>VÄSTMANLANDS LÄN</t>
        </is>
      </c>
      <c r="G230" t="inlineStr">
        <is>
          <t>VÄSTERÅS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46234</v>
      </c>
      <c r="F231" t="inlineStr">
        <is>
          <t>VÄSTMANLANDS LÄN</t>
        </is>
      </c>
      <c r="G231" t="inlineStr">
        <is>
          <t>VÄSTERÅS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46234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46234</v>
      </c>
      <c r="F233" t="inlineStr">
        <is>
          <t>VÄSTMANLANDS LÄN</t>
        </is>
      </c>
      <c r="G233" t="inlineStr">
        <is>
          <t>VÄSTERÅS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45019</v>
      </c>
      <c r="E234" s="1" t="n">
        <v>46234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46234</v>
      </c>
      <c r="F235" t="inlineStr">
        <is>
          <t>VÄSTMANLANDS LÄN</t>
        </is>
      </c>
      <c r="G235" t="inlineStr">
        <is>
          <t>VÄSTERÅS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46234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Kommuner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46234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Kommuner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44840</v>
      </c>
      <c r="E238" s="1" t="n">
        <v>46234</v>
      </c>
      <c r="F238" t="inlineStr">
        <is>
          <t>VÄSTMANLANDS LÄN</t>
        </is>
      </c>
      <c r="G238" t="inlineStr">
        <is>
          <t>VÄSTERÅS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44574</v>
      </c>
      <c r="E239" s="1" t="n">
        <v>46234</v>
      </c>
      <c r="F239" t="inlineStr">
        <is>
          <t>VÄSTMANLANDS LÄN</t>
        </is>
      </c>
      <c r="G239" t="inlineStr">
        <is>
          <t>VÄSTERÅS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46234</v>
      </c>
      <c r="F240" t="inlineStr">
        <is>
          <t>VÄSTMANLANDS LÄN</t>
        </is>
      </c>
      <c r="G240" t="inlineStr">
        <is>
          <t>VÄSTERÅS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44664</v>
      </c>
      <c r="E241" s="1" t="n">
        <v>46234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46234</v>
      </c>
      <c r="F242" t="inlineStr">
        <is>
          <t>VÄSTMANLANDS LÄN</t>
        </is>
      </c>
      <c r="G242" t="inlineStr">
        <is>
          <t>VÄSTERÅS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46234</v>
      </c>
      <c r="F243" t="inlineStr">
        <is>
          <t>VÄSTMANLANDS LÄN</t>
        </is>
      </c>
      <c r="G243" t="inlineStr">
        <is>
          <t>VÄSTERÅS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45019</v>
      </c>
      <c r="E244" s="1" t="n">
        <v>46234</v>
      </c>
      <c r="F244" t="inlineStr">
        <is>
          <t>VÄSTMANLANDS LÄN</t>
        </is>
      </c>
      <c r="G244" t="inlineStr">
        <is>
          <t>VÄSTERÅS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45019</v>
      </c>
      <c r="E245" s="1" t="n">
        <v>46234</v>
      </c>
      <c r="F245" t="inlineStr">
        <is>
          <t>VÄSTMANLANDS LÄN</t>
        </is>
      </c>
      <c r="G245" t="inlineStr">
        <is>
          <t>VÄSTERÅS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18482-2023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45042</v>
      </c>
      <c r="E246" s="1" t="n">
        <v>46234</v>
      </c>
      <c r="F246" t="inlineStr">
        <is>
          <t>VÄSTMANLANDS LÄN</t>
        </is>
      </c>
      <c r="G246" t="inlineStr">
        <is>
          <t>VÄSTERÅS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58085-2022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46234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46234</v>
      </c>
      <c r="F248" t="inlineStr">
        <is>
          <t>VÄSTMANLANDS LÄN</t>
        </is>
      </c>
      <c r="G248" t="inlineStr">
        <is>
          <t>VÄSTERÅS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46136</v>
      </c>
      <c r="E249" s="1" t="n">
        <v>46234</v>
      </c>
      <c r="F249" t="inlineStr">
        <is>
          <t>VÄSTMANLANDS LÄN</t>
        </is>
      </c>
      <c r="G249" t="inlineStr">
        <is>
          <t>VÄSTERÅS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45083</v>
      </c>
      <c r="E250" s="1" t="n">
        <v>46234</v>
      </c>
      <c r="F250" t="inlineStr">
        <is>
          <t>VÄSTMANLANDS LÄN</t>
        </is>
      </c>
      <c r="G250" t="inlineStr">
        <is>
          <t>VÄSTERÅS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45400</v>
      </c>
      <c r="E251" s="1" t="n">
        <v>46234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44606</v>
      </c>
      <c r="E252" s="1" t="n">
        <v>46234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46234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46234</v>
      </c>
      <c r="F254" t="inlineStr">
        <is>
          <t>VÄSTMANLANDS LÄN</t>
        </is>
      </c>
      <c r="G254" t="inlineStr">
        <is>
          <t>VÄSTERÅS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67352-2021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44523</v>
      </c>
      <c r="E255" s="1" t="n">
        <v>46234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Övriga Aktiebolag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46234</v>
      </c>
      <c r="F256" t="inlineStr">
        <is>
          <t>VÄSTMANLANDS LÄN</t>
        </is>
      </c>
      <c r="G256" t="inlineStr">
        <is>
          <t>VÄSTERÅS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45579</v>
      </c>
      <c r="E257" s="1" t="n">
        <v>46234</v>
      </c>
      <c r="F257" t="inlineStr">
        <is>
          <t>VÄSTMANLANDS LÄN</t>
        </is>
      </c>
      <c r="G257" t="inlineStr">
        <is>
          <t>VÄSTERÅS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44874</v>
      </c>
      <c r="E258" s="1" t="n">
        <v>46234</v>
      </c>
      <c r="F258" t="inlineStr">
        <is>
          <t>VÄSTMANLANDS LÄN</t>
        </is>
      </c>
      <c r="G258" t="inlineStr">
        <is>
          <t>VÄSTERÅS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46234</v>
      </c>
      <c r="F259" t="inlineStr">
        <is>
          <t>VÄSTMANLANDS LÄN</t>
        </is>
      </c>
      <c r="G259" t="inlineStr">
        <is>
          <t>VÄSTERÅS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46234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46234</v>
      </c>
      <c r="F261" t="inlineStr">
        <is>
          <t>VÄSTMANLANDS LÄN</t>
        </is>
      </c>
      <c r="G261" t="inlineStr">
        <is>
          <t>VÄSTERÅS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18467-2023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45042</v>
      </c>
      <c r="E262" s="1" t="n">
        <v>46234</v>
      </c>
      <c r="F262" t="inlineStr">
        <is>
          <t>VÄSTMANLANDS LÄN</t>
        </is>
      </c>
      <c r="G262" t="inlineStr">
        <is>
          <t>VÄSTERÅS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45457</v>
      </c>
      <c r="E263" s="1" t="n">
        <v>46234</v>
      </c>
      <c r="F263" t="inlineStr">
        <is>
          <t>VÄSTMANLANDS LÄN</t>
        </is>
      </c>
      <c r="G263" t="inlineStr">
        <is>
          <t>VÄSTERÅS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46234</v>
      </c>
      <c r="F264" t="inlineStr">
        <is>
          <t>VÄSTMANLANDS LÄN</t>
        </is>
      </c>
      <c r="G264" t="inlineStr">
        <is>
          <t>VÄSTERÅS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46234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Kyrkan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67350-2021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44523</v>
      </c>
      <c r="E266" s="1" t="n">
        <v>46234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Övriga Aktiebolag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22370-2026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46234</v>
      </c>
      <c r="F267" t="inlineStr">
        <is>
          <t>VÄSTMANLANDS LÄN</t>
        </is>
      </c>
      <c r="G267" t="inlineStr">
        <is>
          <t>VÄSTERÅS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44623</v>
      </c>
      <c r="E268" s="1" t="n">
        <v>46234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22287-2026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46154</v>
      </c>
      <c r="E269" s="1" t="n">
        <v>46234</v>
      </c>
      <c r="F269" t="inlineStr">
        <is>
          <t>VÄSTMANLANDS LÄN</t>
        </is>
      </c>
      <c r="G269" t="inlineStr">
        <is>
          <t>VÄSTERÅS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46234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46234</v>
      </c>
      <c r="F271" t="inlineStr">
        <is>
          <t>VÄSTMANLANDS LÄN</t>
        </is>
      </c>
      <c r="G271" t="inlineStr">
        <is>
          <t>VÄSTERÅS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28341-2026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46234</v>
      </c>
      <c r="F272" t="inlineStr">
        <is>
          <t>VÄSTMANLANDS LÄN</t>
        </is>
      </c>
      <c r="G272" t="inlineStr">
        <is>
          <t>VÄSTERÅS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46234</v>
      </c>
      <c r="F273" t="inlineStr">
        <is>
          <t>VÄSTMANLANDS LÄN</t>
        </is>
      </c>
      <c r="G273" t="inlineStr">
        <is>
          <t>VÄSTERÅS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46234</v>
      </c>
      <c r="F274" t="inlineStr">
        <is>
          <t>VÄSTMANLANDS LÄN</t>
        </is>
      </c>
      <c r="G274" t="inlineStr">
        <is>
          <t>VÄSTERÅS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73994-2021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44556</v>
      </c>
      <c r="E275" s="1" t="n">
        <v>46234</v>
      </c>
      <c r="F275" t="inlineStr">
        <is>
          <t>VÄSTMANLANDS LÄN</t>
        </is>
      </c>
      <c r="G275" t="inlineStr">
        <is>
          <t>VÄSTERÅS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61249-2021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44498</v>
      </c>
      <c r="E276" s="1" t="n">
        <v>46234</v>
      </c>
      <c r="F276" t="inlineStr">
        <is>
          <t>VÄSTMANLANDS LÄN</t>
        </is>
      </c>
      <c r="G276" t="inlineStr">
        <is>
          <t>VÄSTERÅS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45603</v>
      </c>
      <c r="E277" s="1" t="n">
        <v>46234</v>
      </c>
      <c r="F277" t="inlineStr">
        <is>
          <t>VÄSTMANLANDS LÄN</t>
        </is>
      </c>
      <c r="G277" t="inlineStr">
        <is>
          <t>VÄSTERÅS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46234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44792</v>
      </c>
      <c r="E279" s="1" t="n">
        <v>46234</v>
      </c>
      <c r="F279" t="inlineStr">
        <is>
          <t>VÄSTMANLANDS LÄN</t>
        </is>
      </c>
      <c r="G279" t="inlineStr">
        <is>
          <t>VÄSTERÅS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46234</v>
      </c>
      <c r="F280" t="inlineStr">
        <is>
          <t>VÄSTMANLANDS LÄN</t>
        </is>
      </c>
      <c r="G280" t="inlineStr">
        <is>
          <t>VÄSTERÅS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52569-2022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44874</v>
      </c>
      <c r="E281" s="1" t="n">
        <v>46234</v>
      </c>
      <c r="F281" t="inlineStr">
        <is>
          <t>VÄSTMANLANDS LÄN</t>
        </is>
      </c>
      <c r="G281" t="inlineStr">
        <is>
          <t>VÄSTERÅS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21761-2022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44708</v>
      </c>
      <c r="E282" s="1" t="n">
        <v>46234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29746-2022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46234</v>
      </c>
      <c r="F283" t="inlineStr">
        <is>
          <t>VÄSTMANLANDS LÄN</t>
        </is>
      </c>
      <c r="G283" t="inlineStr">
        <is>
          <t>VÄSTERÅS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67353-2021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44523</v>
      </c>
      <c r="E284" s="1" t="n">
        <v>46234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Övriga Aktiebolag</t>
        </is>
      </c>
      <c r="I284" t="n">
        <v>7.6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45169</v>
      </c>
      <c r="E285" s="1" t="n">
        <v>46234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46234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46234</v>
      </c>
      <c r="F287" t="inlineStr">
        <is>
          <t>VÄSTMANLANDS LÄN</t>
        </is>
      </c>
      <c r="G287" t="inlineStr">
        <is>
          <t>VÄSTERÅS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56980-2021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46234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45705</v>
      </c>
      <c r="E289" s="1" t="n">
        <v>46234</v>
      </c>
      <c r="F289" t="inlineStr">
        <is>
          <t>VÄSTMANLANDS LÄN</t>
        </is>
      </c>
      <c r="G289" t="inlineStr">
        <is>
          <t>VÄSTERÅS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46234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44658</v>
      </c>
      <c r="E291" s="1" t="n">
        <v>46234</v>
      </c>
      <c r="F291" t="inlineStr">
        <is>
          <t>VÄSTMANLANDS LÄN</t>
        </is>
      </c>
      <c r="G291" t="inlineStr">
        <is>
          <t>VÄSTERÅS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58960-2022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46234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45281</v>
      </c>
      <c r="E293" s="1" t="n">
        <v>46234</v>
      </c>
      <c r="F293" t="inlineStr">
        <is>
          <t>VÄSTMANLANDS LÄN</t>
        </is>
      </c>
      <c r="G293" t="inlineStr">
        <is>
          <t>VÄSTERÅS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46234</v>
      </c>
      <c r="F294" t="inlineStr">
        <is>
          <t>VÄSTMANLANDS LÄN</t>
        </is>
      </c>
      <c r="G294" t="inlineStr">
        <is>
          <t>VÄSTERÅS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46234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46169</v>
      </c>
      <c r="E296" s="1" t="n">
        <v>46234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8727-2023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44978</v>
      </c>
      <c r="E297" s="1" t="n">
        <v>46234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Kyrkan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16214-2023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45028</v>
      </c>
      <c r="E298" s="1" t="n">
        <v>46234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45274</v>
      </c>
      <c r="E299" s="1" t="n">
        <v>46234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46234</v>
      </c>
      <c r="F300" t="inlineStr">
        <is>
          <t>VÄSTMANLANDS LÄN</t>
        </is>
      </c>
      <c r="G300" t="inlineStr">
        <is>
          <t>VÄSTERÅS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46234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46234</v>
      </c>
      <c r="F302" t="inlineStr">
        <is>
          <t>VÄSTMANLANDS LÄN</t>
        </is>
      </c>
      <c r="G302" t="inlineStr">
        <is>
          <t>VÄSTERÅS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46234</v>
      </c>
      <c r="F303" t="inlineStr">
        <is>
          <t>VÄSTMANLANDS LÄN</t>
        </is>
      </c>
      <c r="G303" t="inlineStr">
        <is>
          <t>VÄSTERÅS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46234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46213</v>
      </c>
      <c r="E305" s="1" t="n">
        <v>46234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46234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70642-2021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44537</v>
      </c>
      <c r="E307" s="1" t="n">
        <v>46234</v>
      </c>
      <c r="F307" t="inlineStr">
        <is>
          <t>VÄSTMANLANDS LÄN</t>
        </is>
      </c>
      <c r="G307" t="inlineStr">
        <is>
          <t>VÄSTERÅS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46234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46234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46234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46234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46234</v>
      </c>
      <c r="F312" t="inlineStr">
        <is>
          <t>VÄSTMANLANDS LÄN</t>
        </is>
      </c>
      <c r="G312" t="inlineStr">
        <is>
          <t>VÄSTERÅS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31057-2026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46234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46234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46234</v>
      </c>
      <c r="F315" t="inlineStr">
        <is>
          <t>VÄSTMANLANDS LÄN</t>
        </is>
      </c>
      <c r="G315" t="inlineStr">
        <is>
          <t>VÄSTERÅS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45296</v>
      </c>
      <c r="E316" s="1" t="n">
        <v>46234</v>
      </c>
      <c r="F316" t="inlineStr">
        <is>
          <t>VÄSTMANLANDS LÄN</t>
        </is>
      </c>
      <c r="G316" t="inlineStr">
        <is>
          <t>VÄSTERÅS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17808-2023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45037</v>
      </c>
      <c r="E317" s="1" t="n">
        <v>46234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46234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51933-2023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45223</v>
      </c>
      <c r="E319" s="1" t="n">
        <v>46234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73597-2021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44552</v>
      </c>
      <c r="E320" s="1" t="n">
        <v>46234</v>
      </c>
      <c r="F320" t="inlineStr">
        <is>
          <t>VÄSTMANLANDS LÄN</t>
        </is>
      </c>
      <c r="G320" t="inlineStr">
        <is>
          <t>VÄSTERÅS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46234</v>
      </c>
      <c r="F321" t="inlineStr">
        <is>
          <t>VÄSTMANLANDS LÄN</t>
        </is>
      </c>
      <c r="G321" t="inlineStr">
        <is>
          <t>VÄSTERÅS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22700-2024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45448</v>
      </c>
      <c r="E322" s="1" t="n">
        <v>46234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44657</v>
      </c>
      <c r="E323" s="1" t="n">
        <v>46234</v>
      </c>
      <c r="F323" t="inlineStr">
        <is>
          <t>VÄSTMANLANDS LÄN</t>
        </is>
      </c>
      <c r="G323" t="inlineStr">
        <is>
          <t>VÄSTERÅS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46234</v>
      </c>
      <c r="F324" t="inlineStr">
        <is>
          <t>VÄSTMANLANDS LÄN</t>
        </is>
      </c>
      <c r="G324" t="inlineStr">
        <is>
          <t>VÄSTERÅS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46234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Allmännings- och besparingsskogar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46184</v>
      </c>
      <c r="E326" s="1" t="n">
        <v>46234</v>
      </c>
      <c r="F326" t="inlineStr">
        <is>
          <t>VÄSTMANLANDS LÄN</t>
        </is>
      </c>
      <c r="G326" t="inlineStr">
        <is>
          <t>VÄSTERÅS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46184</v>
      </c>
      <c r="E327" s="1" t="n">
        <v>46234</v>
      </c>
      <c r="F327" t="inlineStr">
        <is>
          <t>VÄSTMANLANDS LÄN</t>
        </is>
      </c>
      <c r="G327" t="inlineStr">
        <is>
          <t>VÄSTERÅS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27271-2026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46188</v>
      </c>
      <c r="E328" s="1" t="n">
        <v>46234</v>
      </c>
      <c r="F328" t="inlineStr">
        <is>
          <t>VÄSTMANLANDS LÄN</t>
        </is>
      </c>
      <c r="G328" t="inlineStr">
        <is>
          <t>VÄSTERÅS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46234</v>
      </c>
      <c r="F329" t="inlineStr">
        <is>
          <t>VÄSTMANLANDS LÄN</t>
        </is>
      </c>
      <c r="G329" t="inlineStr">
        <is>
          <t>VÄSTERÅS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46234</v>
      </c>
      <c r="F330" t="inlineStr">
        <is>
          <t>VÄSTMANLANDS LÄN</t>
        </is>
      </c>
      <c r="G330" t="inlineStr">
        <is>
          <t>VÄSTERÅS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951-2020</t>
        </is>
      </c>
      <c r="B331" t="inlineStr">
        <is>
          <t>samrådsanmälan</t>
        </is>
      </c>
      <c r="C331" t="inlineStr">
        <is>
          <t>Åtgärd i nyckelbiotop</t>
        </is>
      </c>
      <c r="D331" s="1" t="n">
        <v>43948</v>
      </c>
      <c r="E331" s="1" t="n">
        <v>46234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3639-2022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44740</v>
      </c>
      <c r="E332" s="1" t="n">
        <v>46234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46234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1415-2022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44634</v>
      </c>
      <c r="E334" s="1" t="n">
        <v>46234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Kyrkan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696-2026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46091</v>
      </c>
      <c r="E335" s="1" t="n">
        <v>46234</v>
      </c>
      <c r="F335" t="inlineStr">
        <is>
          <t>VÄSTMANLANDS LÄN</t>
        </is>
      </c>
      <c r="G335" t="inlineStr">
        <is>
          <t>VÄSTERÅS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949-2026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46113</v>
      </c>
      <c r="E336" s="1" t="n">
        <v>46234</v>
      </c>
      <c r="F336" t="inlineStr">
        <is>
          <t>VÄSTMANLANDS LÄN</t>
        </is>
      </c>
      <c r="G336" t="inlineStr">
        <is>
          <t>VÄSTERÅS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1468-2026</t>
        </is>
      </c>
      <c r="B337" t="inlineStr">
        <is>
          <t>samrådsanmälan</t>
        </is>
      </c>
      <c r="C337" t="inlineStr">
        <is>
          <t>Dikesrensning</t>
        </is>
      </c>
      <c r="D337" s="1" t="n">
        <v>46134</v>
      </c>
      <c r="E337" s="1" t="n">
        <v>46234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Sveaskog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2026-07-31T01:55:35Z</dcterms:created>
  <dcterms:modified xmlns:dcterms="http://purl.org/dc/terms/" xmlns:xsi="http://www.w3.org/2001/XMLSchema-instance" xsi:type="dcterms:W3CDTF">2026-07-31T01:55:35Z</dcterms:modified>
</cp:coreProperties>
</file>