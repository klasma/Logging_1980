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46045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46045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46045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46045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46045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46045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46045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46045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46045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46045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46045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46045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46045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46045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46045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46045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46045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46045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37464-2021</t>
        </is>
      </c>
      <c r="B20" s="1" t="n">
        <v>44398</v>
      </c>
      <c r="C20" s="1" t="n">
        <v>46045</v>
      </c>
      <c r="D20" t="inlineStr">
        <is>
          <t>VÄSTMANLANDS LÄN</t>
        </is>
      </c>
      <c r="E20" t="inlineStr">
        <is>
          <t>VÄSTERÅS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Mistel</t>
        </is>
      </c>
      <c r="S20">
        <f>HYPERLINK("https://klasma.github.io/Logging_1980/artfynd/A 37464-2021 artfynd.xlsx", "A 37464-2021")</f>
        <v/>
      </c>
      <c r="T20">
        <f>HYPERLINK("https://klasma.github.io/Logging_1980/kartor/A 37464-2021 karta.png", "A 37464-2021")</f>
        <v/>
      </c>
      <c r="V20">
        <f>HYPERLINK("https://klasma.github.io/Logging_1980/klagomål/A 37464-2021 FSC-klagomål.docx", "A 37464-2021")</f>
        <v/>
      </c>
      <c r="W20">
        <f>HYPERLINK("https://klasma.github.io/Logging_1980/klagomålsmail/A 37464-2021 FSC-klagomål mail.docx", "A 37464-2021")</f>
        <v/>
      </c>
      <c r="X20">
        <f>HYPERLINK("https://klasma.github.io/Logging_1980/tillsyn/A 37464-2021 tillsynsbegäran.docx", "A 37464-2021")</f>
        <v/>
      </c>
      <c r="Y20">
        <f>HYPERLINK("https://klasma.github.io/Logging_1980/tillsynsmail/A 37464-2021 tillsynsbegäran mail.docx", "A 37464-2021")</f>
        <v/>
      </c>
    </row>
    <row r="21" ht="15" customHeight="1">
      <c r="A21" t="inlineStr">
        <is>
          <t>A 29787-2023</t>
        </is>
      </c>
      <c r="B21" s="1" t="n">
        <v>45107</v>
      </c>
      <c r="C21" s="1" t="n">
        <v>46045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HYPERLINK("https://klasma.github.io/Logging_1980/artfynd/A 29787-2023 artfynd.xlsx", "A 29787-2023")</f>
        <v/>
      </c>
      <c r="T21">
        <f>HYPERLINK("https://klasma.github.io/Logging_1980/kartor/A 29787-2023 karta.png", "A 29787-2023")</f>
        <v/>
      </c>
      <c r="V21">
        <f>HYPERLINK("https://klasma.github.io/Logging_1980/klagomål/A 29787-2023 FSC-klagomål.docx", "A 29787-2023")</f>
        <v/>
      </c>
      <c r="W21">
        <f>HYPERLINK("https://klasma.github.io/Logging_1980/klagomålsmail/A 29787-2023 FSC-klagomål mail.docx", "A 29787-2023")</f>
        <v/>
      </c>
      <c r="X21">
        <f>HYPERLINK("https://klasma.github.io/Logging_1980/tillsyn/A 29787-2023 tillsynsbegäran.docx", "A 29787-2023")</f>
        <v/>
      </c>
      <c r="Y21">
        <f>HYPERLINK("https://klasma.github.io/Logging_1980/tillsynsmail/A 29787-2023 tillsynsbegäran mail.docx", "A 29787-2023")</f>
        <v/>
      </c>
    </row>
    <row r="22" ht="15" customHeight="1">
      <c r="A22" t="inlineStr">
        <is>
          <t>A 55684-2023</t>
        </is>
      </c>
      <c r="B22" s="1" t="n">
        <v>45232</v>
      </c>
      <c r="C22" s="1" t="n">
        <v>46045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timmerman</t>
        </is>
      </c>
      <c r="S22">
        <f>HYPERLINK("https://klasma.github.io/Logging_1980/artfynd/A 55684-2023 artfynd.xlsx", "A 55684-2023")</f>
        <v/>
      </c>
      <c r="T22">
        <f>HYPERLINK("https://klasma.github.io/Logging_1980/kartor/A 55684-2023 karta.png", "A 55684-2023")</f>
        <v/>
      </c>
      <c r="V22">
        <f>HYPERLINK("https://klasma.github.io/Logging_1980/klagomål/A 55684-2023 FSC-klagomål.docx", "A 55684-2023")</f>
        <v/>
      </c>
      <c r="W22">
        <f>HYPERLINK("https://klasma.github.io/Logging_1980/klagomålsmail/A 55684-2023 FSC-klagomål mail.docx", "A 55684-2023")</f>
        <v/>
      </c>
      <c r="X22">
        <f>HYPERLINK("https://klasma.github.io/Logging_1980/tillsyn/A 55684-2023 tillsynsbegäran.docx", "A 55684-2023")</f>
        <v/>
      </c>
      <c r="Y22">
        <f>HYPERLINK("https://klasma.github.io/Logging_1980/tillsynsmail/A 55684-2023 tillsynsbegäran mail.docx", "A 55684-2023")</f>
        <v/>
      </c>
    </row>
    <row r="23" ht="15" customHeight="1">
      <c r="A23" t="inlineStr">
        <is>
          <t>A 59566-2021</t>
        </is>
      </c>
      <c r="B23" s="1" t="n">
        <v>44491.60883101852</v>
      </c>
      <c r="C23" s="1" t="n">
        <v>46045</v>
      </c>
      <c r="D23" t="inlineStr">
        <is>
          <t>VÄSTMANLANDS LÄN</t>
        </is>
      </c>
      <c r="E23" t="inlineStr">
        <is>
          <t>VÄSTERÅS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flatbagge</t>
        </is>
      </c>
      <c r="S23">
        <f>HYPERLINK("https://klasma.github.io/Logging_1980/artfynd/A 59566-2021 artfynd.xlsx", "A 59566-2021")</f>
        <v/>
      </c>
      <c r="T23">
        <f>HYPERLINK("https://klasma.github.io/Logging_1980/kartor/A 59566-2021 karta.png", "A 59566-2021")</f>
        <v/>
      </c>
      <c r="V23">
        <f>HYPERLINK("https://klasma.github.io/Logging_1980/klagomål/A 59566-2021 FSC-klagomål.docx", "A 59566-2021")</f>
        <v/>
      </c>
      <c r="W23">
        <f>HYPERLINK("https://klasma.github.io/Logging_1980/klagomålsmail/A 59566-2021 FSC-klagomål mail.docx", "A 59566-2021")</f>
        <v/>
      </c>
      <c r="X23">
        <f>HYPERLINK("https://klasma.github.io/Logging_1980/tillsyn/A 59566-2021 tillsynsbegäran.docx", "A 59566-2021")</f>
        <v/>
      </c>
      <c r="Y23">
        <f>HYPERLINK("https://klasma.github.io/Logging_1980/tillsynsmail/A 59566-2021 tillsynsbegäran mail.docx", "A 59566-2021")</f>
        <v/>
      </c>
    </row>
    <row r="24" ht="15" customHeight="1">
      <c r="A24" t="inlineStr">
        <is>
          <t>A 6249-2024</t>
        </is>
      </c>
      <c r="B24" s="1" t="n">
        <v>45337</v>
      </c>
      <c r="C24" s="1" t="n">
        <v>46045</v>
      </c>
      <c r="D24" t="inlineStr">
        <is>
          <t>VÄSTMANLANDS LÄN</t>
        </is>
      </c>
      <c r="E24" t="inlineStr">
        <is>
          <t>VÄSTERÅS</t>
        </is>
      </c>
      <c r="G24" t="n">
        <v>6.5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HYPERLINK("https://klasma.github.io/Logging_1980/artfynd/A 6249-2024 artfynd.xlsx", "A 6249-2024")</f>
        <v/>
      </c>
      <c r="T24">
        <f>HYPERLINK("https://klasma.github.io/Logging_1980/kartor/A 6249-2024 karta.png", "A 6249-2024")</f>
        <v/>
      </c>
      <c r="V24">
        <f>HYPERLINK("https://klasma.github.io/Logging_1980/klagomål/A 6249-2024 FSC-klagomål.docx", "A 6249-2024")</f>
        <v/>
      </c>
      <c r="W24">
        <f>HYPERLINK("https://klasma.github.io/Logging_1980/klagomålsmail/A 6249-2024 FSC-klagomål mail.docx", "A 6249-2024")</f>
        <v/>
      </c>
      <c r="X24">
        <f>HYPERLINK("https://klasma.github.io/Logging_1980/tillsyn/A 6249-2024 tillsynsbegäran.docx", "A 6249-2024")</f>
        <v/>
      </c>
      <c r="Y24">
        <f>HYPERLINK("https://klasma.github.io/Logging_1980/tillsynsmail/A 6249-2024 tillsynsbegäran mail.docx", "A 6249-2024")</f>
        <v/>
      </c>
      <c r="Z24">
        <f>HYPERLINK("https://klasma.github.io/Logging_1980/fåglar/A 6249-2024 prioriterade fågelarter.docx", "A 6249-2024")</f>
        <v/>
      </c>
    </row>
    <row r="25" ht="15" customHeight="1">
      <c r="A25" t="inlineStr">
        <is>
          <t>A 12905-2022</t>
        </is>
      </c>
      <c r="B25" s="1" t="n">
        <v>44641</v>
      </c>
      <c r="C25" s="1" t="n">
        <v>46045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23.9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12905-2022 artfynd.xlsx", "A 12905-2022")</f>
        <v/>
      </c>
      <c r="T25">
        <f>HYPERLINK("https://klasma.github.io/Logging_1980/kartor/A 12905-2022 karta.png", "A 12905-2022")</f>
        <v/>
      </c>
      <c r="V25">
        <f>HYPERLINK("https://klasma.github.io/Logging_1980/klagomål/A 12905-2022 FSC-klagomål.docx", "A 12905-2022")</f>
        <v/>
      </c>
      <c r="W25">
        <f>HYPERLINK("https://klasma.github.io/Logging_1980/klagomålsmail/A 12905-2022 FSC-klagomål mail.docx", "A 12905-2022")</f>
        <v/>
      </c>
      <c r="X25">
        <f>HYPERLINK("https://klasma.github.io/Logging_1980/tillsyn/A 12905-2022 tillsynsbegäran.docx", "A 12905-2022")</f>
        <v/>
      </c>
      <c r="Y25">
        <f>HYPERLINK("https://klasma.github.io/Logging_1980/tillsynsmail/A 12905-2022 tillsynsbegäran mail.docx", "A 12905-2022")</f>
        <v/>
      </c>
    </row>
    <row r="26" ht="15" customHeight="1">
      <c r="A26" t="inlineStr">
        <is>
          <t>A 43119-2025</t>
        </is>
      </c>
      <c r="B26" s="1" t="n">
        <v>45909.67291666667</v>
      </c>
      <c r="C26" s="1" t="n">
        <v>46045</v>
      </c>
      <c r="D26" t="inlineStr">
        <is>
          <t>VÄSTMANLANDS LÄN</t>
        </is>
      </c>
      <c r="E26" t="inlineStr">
        <is>
          <t>VÄSTERÅS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43119-2025 artfynd.xlsx", "A 43119-2025")</f>
        <v/>
      </c>
      <c r="T26">
        <f>HYPERLINK("https://klasma.github.io/Logging_1980/kartor/A 43119-2025 karta.png", "A 43119-2025")</f>
        <v/>
      </c>
      <c r="V26">
        <f>HYPERLINK("https://klasma.github.io/Logging_1980/klagomål/A 43119-2025 FSC-klagomål.docx", "A 43119-2025")</f>
        <v/>
      </c>
      <c r="W26">
        <f>HYPERLINK("https://klasma.github.io/Logging_1980/klagomålsmail/A 43119-2025 FSC-klagomål mail.docx", "A 43119-2025")</f>
        <v/>
      </c>
      <c r="X26">
        <f>HYPERLINK("https://klasma.github.io/Logging_1980/tillsyn/A 43119-2025 tillsynsbegäran.docx", "A 43119-2025")</f>
        <v/>
      </c>
      <c r="Y26">
        <f>HYPERLINK("https://klasma.github.io/Logging_1980/tillsynsmail/A 43119-2025 tillsynsbegäran mail.docx", "A 43119-2025")</f>
        <v/>
      </c>
    </row>
    <row r="27" ht="15" customHeight="1">
      <c r="A27" t="inlineStr">
        <is>
          <t>A 61254-2023</t>
        </is>
      </c>
      <c r="B27" s="1" t="n">
        <v>45264</v>
      </c>
      <c r="C27" s="1" t="n">
        <v>46045</v>
      </c>
      <c r="D27" t="inlineStr">
        <is>
          <t>VÄSTMANLANDS LÄN</t>
        </is>
      </c>
      <c r="E27" t="inlineStr">
        <is>
          <t>VÄSTERÅS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Mistel</t>
        </is>
      </c>
      <c r="S27">
        <f>HYPERLINK("https://klasma.github.io/Logging_1980/artfynd/A 61254-2023 artfynd.xlsx", "A 61254-2023")</f>
        <v/>
      </c>
      <c r="T27">
        <f>HYPERLINK("https://klasma.github.io/Logging_1980/kartor/A 61254-2023 karta.png", "A 61254-2023")</f>
        <v/>
      </c>
      <c r="V27">
        <f>HYPERLINK("https://klasma.github.io/Logging_1980/klagomål/A 61254-2023 FSC-klagomål.docx", "A 61254-2023")</f>
        <v/>
      </c>
      <c r="W27">
        <f>HYPERLINK("https://klasma.github.io/Logging_1980/klagomålsmail/A 61254-2023 FSC-klagomål mail.docx", "A 61254-2023")</f>
        <v/>
      </c>
      <c r="X27">
        <f>HYPERLINK("https://klasma.github.io/Logging_1980/tillsyn/A 61254-2023 tillsynsbegäran.docx", "A 61254-2023")</f>
        <v/>
      </c>
      <c r="Y27">
        <f>HYPERLINK("https://klasma.github.io/Logging_1980/tillsynsmail/A 61254-2023 tillsynsbegäran mail.docx", "A 61254-2023")</f>
        <v/>
      </c>
    </row>
    <row r="28" ht="15" customHeight="1">
      <c r="A28" t="inlineStr">
        <is>
          <t>A 16374-2025</t>
        </is>
      </c>
      <c r="B28" s="1" t="n">
        <v>45751.40921296296</v>
      </c>
      <c r="C28" s="1" t="n">
        <v>46045</v>
      </c>
      <c r="D28" t="inlineStr">
        <is>
          <t>VÄSTMANLANDS LÄN</t>
        </is>
      </c>
      <c r="E28" t="inlineStr">
        <is>
          <t>VÄSTERÅS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HYPERLINK("https://klasma.github.io/Logging_1980/artfynd/A 16374-2025 artfynd.xlsx", "A 16374-2025")</f>
        <v/>
      </c>
      <c r="T28">
        <f>HYPERLINK("https://klasma.github.io/Logging_1980/kartor/A 16374-2025 karta.png", "A 16374-2025")</f>
        <v/>
      </c>
      <c r="V28">
        <f>HYPERLINK("https://klasma.github.io/Logging_1980/klagomål/A 16374-2025 FSC-klagomål.docx", "A 16374-2025")</f>
        <v/>
      </c>
      <c r="W28">
        <f>HYPERLINK("https://klasma.github.io/Logging_1980/klagomålsmail/A 16374-2025 FSC-klagomål mail.docx", "A 16374-2025")</f>
        <v/>
      </c>
      <c r="X28">
        <f>HYPERLINK("https://klasma.github.io/Logging_1980/tillsyn/A 16374-2025 tillsynsbegäran.docx", "A 16374-2025")</f>
        <v/>
      </c>
      <c r="Y28">
        <f>HYPERLINK("https://klasma.github.io/Logging_1980/tillsynsmail/A 16374-2025 tillsynsbegäran mail.docx", "A 16374-2025")</f>
        <v/>
      </c>
    </row>
    <row r="29" ht="15" customHeight="1">
      <c r="A29" t="inlineStr">
        <is>
          <t>A 48940-2025</t>
        </is>
      </c>
      <c r="B29" s="1" t="n">
        <v>45937.53306712963</v>
      </c>
      <c r="C29" s="1" t="n">
        <v>46045</v>
      </c>
      <c r="D29" t="inlineStr">
        <is>
          <t>VÄSTMANLANDS LÄN</t>
        </is>
      </c>
      <c r="E29" t="inlineStr">
        <is>
          <t>VÄSTERÅS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HYPERLINK("https://klasma.github.io/Logging_1980/artfynd/A 48940-2025 artfynd.xlsx", "A 48940-2025")</f>
        <v/>
      </c>
      <c r="T29">
        <f>HYPERLINK("https://klasma.github.io/Logging_1980/kartor/A 48940-2025 karta.png", "A 48940-2025")</f>
        <v/>
      </c>
      <c r="V29">
        <f>HYPERLINK("https://klasma.github.io/Logging_1980/klagomål/A 48940-2025 FSC-klagomål.docx", "A 48940-2025")</f>
        <v/>
      </c>
      <c r="W29">
        <f>HYPERLINK("https://klasma.github.io/Logging_1980/klagomålsmail/A 48940-2025 FSC-klagomål mail.docx", "A 48940-2025")</f>
        <v/>
      </c>
      <c r="X29">
        <f>HYPERLINK("https://klasma.github.io/Logging_1980/tillsyn/A 48940-2025 tillsynsbegäran.docx", "A 48940-2025")</f>
        <v/>
      </c>
      <c r="Y29">
        <f>HYPERLINK("https://klasma.github.io/Logging_1980/tillsynsmail/A 48940-2025 tillsynsbegäran mail.docx", "A 48940-2025")</f>
        <v/>
      </c>
    </row>
    <row r="30" ht="15" customHeight="1">
      <c r="A30" t="inlineStr">
        <is>
          <t>A 28489-2025</t>
        </is>
      </c>
      <c r="B30" s="1" t="n">
        <v>45819.46664351852</v>
      </c>
      <c r="C30" s="1" t="n">
        <v>46045</v>
      </c>
      <c r="D30" t="inlineStr">
        <is>
          <t>VÄSTMANLANDS LÄN</t>
        </is>
      </c>
      <c r="E30" t="inlineStr">
        <is>
          <t>VÄSTERÅS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HYPERLINK("https://klasma.github.io/Logging_1980/artfynd/A 28489-2025 artfynd.xlsx", "A 28489-2025")</f>
        <v/>
      </c>
      <c r="T30">
        <f>HYPERLINK("https://klasma.github.io/Logging_1980/kartor/A 28489-2025 karta.png", "A 28489-2025")</f>
        <v/>
      </c>
      <c r="V30">
        <f>HYPERLINK("https://klasma.github.io/Logging_1980/klagomål/A 28489-2025 FSC-klagomål.docx", "A 28489-2025")</f>
        <v/>
      </c>
      <c r="W30">
        <f>HYPERLINK("https://klasma.github.io/Logging_1980/klagomålsmail/A 28489-2025 FSC-klagomål mail.docx", "A 28489-2025")</f>
        <v/>
      </c>
      <c r="X30">
        <f>HYPERLINK("https://klasma.github.io/Logging_1980/tillsyn/A 28489-2025 tillsynsbegäran.docx", "A 28489-2025")</f>
        <v/>
      </c>
      <c r="Y30">
        <f>HYPERLINK("https://klasma.github.io/Logging_1980/tillsynsmail/A 28489-2025 tillsynsbegäran mail.docx", "A 28489-2025")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46045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59144-2025</t>
        </is>
      </c>
      <c r="B32" s="1" t="n">
        <v>45988.51458333333</v>
      </c>
      <c r="C32" s="1" t="n">
        <v>46045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HYPERLINK("https://klasma.github.io/Logging_1980/artfynd/A 59144-2025 artfynd.xlsx", "A 59144-2025")</f>
        <v/>
      </c>
      <c r="T32">
        <f>HYPERLINK("https://klasma.github.io/Logging_1980/kartor/A 59144-2025 karta.png", "A 59144-2025")</f>
        <v/>
      </c>
      <c r="V32">
        <f>HYPERLINK("https://klasma.github.io/Logging_1980/klagomål/A 59144-2025 FSC-klagomål.docx", "A 59144-2025")</f>
        <v/>
      </c>
      <c r="W32">
        <f>HYPERLINK("https://klasma.github.io/Logging_1980/klagomålsmail/A 59144-2025 FSC-klagomål mail.docx", "A 59144-2025")</f>
        <v/>
      </c>
      <c r="X32">
        <f>HYPERLINK("https://klasma.github.io/Logging_1980/tillsyn/A 59144-2025 tillsynsbegäran.docx", "A 59144-2025")</f>
        <v/>
      </c>
      <c r="Y32">
        <f>HYPERLINK("https://klasma.github.io/Logging_1980/tillsynsmail/A 59144-2025 tillsynsbegäran mail.docx", "A 59144-2025")</f>
        <v/>
      </c>
    </row>
    <row r="33" ht="15" customHeight="1">
      <c r="A33" t="inlineStr">
        <is>
          <t>A 59140-2025</t>
        </is>
      </c>
      <c r="B33" s="1" t="n">
        <v>45988.51075231482</v>
      </c>
      <c r="C33" s="1" t="n">
        <v>46045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Fiskgjuse</t>
        </is>
      </c>
      <c r="S33">
        <f>HYPERLINK("https://klasma.github.io/Logging_1980/artfynd/A 59140-2025 artfynd.xlsx", "A 59140-2025")</f>
        <v/>
      </c>
      <c r="T33">
        <f>HYPERLINK("https://klasma.github.io/Logging_1980/kartor/A 59140-2025 karta.png", "A 59140-2025")</f>
        <v/>
      </c>
      <c r="V33">
        <f>HYPERLINK("https://klasma.github.io/Logging_1980/klagomål/A 59140-2025 FSC-klagomål.docx", "A 59140-2025")</f>
        <v/>
      </c>
      <c r="W33">
        <f>HYPERLINK("https://klasma.github.io/Logging_1980/klagomålsmail/A 59140-2025 FSC-klagomål mail.docx", "A 59140-2025")</f>
        <v/>
      </c>
      <c r="X33">
        <f>HYPERLINK("https://klasma.github.io/Logging_1980/tillsyn/A 59140-2025 tillsynsbegäran.docx", "A 59140-2025")</f>
        <v/>
      </c>
      <c r="Y33">
        <f>HYPERLINK("https://klasma.github.io/Logging_1980/tillsynsmail/A 59140-2025 tillsynsbegäran mail.docx", "A 59140-2025")</f>
        <v/>
      </c>
      <c r="Z33">
        <f>HYPERLINK("https://klasma.github.io/Logging_1980/fåglar/A 59140-2025 prioriterade fågelarter.docx", "A 59140-2025")</f>
        <v/>
      </c>
    </row>
    <row r="34" ht="15" customHeight="1">
      <c r="A34" t="inlineStr">
        <is>
          <t>A 47695-2023</t>
        </is>
      </c>
      <c r="B34" s="1" t="n">
        <v>45203</v>
      </c>
      <c r="C34" s="1" t="n">
        <v>46045</v>
      </c>
      <c r="D34" t="inlineStr">
        <is>
          <t>VÄSTMANLANDS LÄN</t>
        </is>
      </c>
      <c r="E34" t="inlineStr">
        <is>
          <t>VÄSTERÅS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Hasselticka</t>
        </is>
      </c>
      <c r="S34">
        <f>HYPERLINK("https://klasma.github.io/Logging_1980/artfynd/A 47695-2023 artfynd.xlsx", "A 47695-2023")</f>
        <v/>
      </c>
      <c r="T34">
        <f>HYPERLINK("https://klasma.github.io/Logging_1980/kartor/A 47695-2023 karta.png", "A 47695-2023")</f>
        <v/>
      </c>
      <c r="V34">
        <f>HYPERLINK("https://klasma.github.io/Logging_1980/klagomål/A 47695-2023 FSC-klagomål.docx", "A 47695-2023")</f>
        <v/>
      </c>
      <c r="W34">
        <f>HYPERLINK("https://klasma.github.io/Logging_1980/klagomålsmail/A 47695-2023 FSC-klagomål mail.docx", "A 47695-2023")</f>
        <v/>
      </c>
      <c r="X34">
        <f>HYPERLINK("https://klasma.github.io/Logging_1980/tillsyn/A 47695-2023 tillsynsbegäran.docx", "A 47695-2023")</f>
        <v/>
      </c>
      <c r="Y34">
        <f>HYPERLINK("https://klasma.github.io/Logging_1980/tillsynsmail/A 47695-2023 tillsynsbegäran mail.docx", "A 47695-2023")</f>
        <v/>
      </c>
    </row>
    <row r="35" ht="15" customHeight="1">
      <c r="A35" t="inlineStr">
        <is>
          <t>A 30759-2022</t>
        </is>
      </c>
      <c r="B35" s="1" t="n">
        <v>44764</v>
      </c>
      <c r="C35" s="1" t="n">
        <v>46045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HYPERLINK("https://klasma.github.io/Logging_1980/artfynd/A 30759-2022 artfynd.xlsx", "A 30759-2022")</f>
        <v/>
      </c>
      <c r="T35">
        <f>HYPERLINK("https://klasma.github.io/Logging_1980/kartor/A 30759-2022 karta.png", "A 30759-2022")</f>
        <v/>
      </c>
      <c r="V35">
        <f>HYPERLINK("https://klasma.github.io/Logging_1980/klagomål/A 30759-2022 FSC-klagomål.docx", "A 30759-2022")</f>
        <v/>
      </c>
      <c r="W35">
        <f>HYPERLINK("https://klasma.github.io/Logging_1980/klagomålsmail/A 30759-2022 FSC-klagomål mail.docx", "A 30759-2022")</f>
        <v/>
      </c>
      <c r="X35">
        <f>HYPERLINK("https://klasma.github.io/Logging_1980/tillsyn/A 30759-2022 tillsynsbegäran.docx", "A 30759-2022")</f>
        <v/>
      </c>
      <c r="Y35">
        <f>HYPERLINK("https://klasma.github.io/Logging_1980/tillsynsmail/A 30759-2022 tillsynsbegäran mail.docx", "A 30759-2022")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46045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46045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11077-2022</t>
        </is>
      </c>
      <c r="B38" s="1" t="n">
        <v>44628</v>
      </c>
      <c r="C38" s="1" t="n">
        <v>46045</v>
      </c>
      <c r="D38" t="inlineStr">
        <is>
          <t>VÄSTMANLANDS LÄN</t>
        </is>
      </c>
      <c r="E38" t="inlineStr">
        <is>
          <t>VÄSTERÅS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67943-2021</t>
        </is>
      </c>
      <c r="B39" s="1" t="n">
        <v>44525</v>
      </c>
      <c r="C39" s="1" t="n">
        <v>46045</v>
      </c>
      <c r="D39" t="inlineStr">
        <is>
          <t>VÄSTMANLANDS LÄN</t>
        </is>
      </c>
      <c r="E39" t="inlineStr">
        <is>
          <t>VÄSTERÅS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21857-2022</t>
        </is>
      </c>
      <c r="B40" s="1" t="n">
        <v>44711</v>
      </c>
      <c r="C40" s="1" t="n">
        <v>46045</v>
      </c>
      <c r="D40" t="inlineStr">
        <is>
          <t>VÄSTMANLANDS LÄN</t>
        </is>
      </c>
      <c r="E40" t="inlineStr">
        <is>
          <t>VÄSTERÅS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46045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46045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46045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46045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46045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46045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46045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46045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46045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46045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46045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46045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46045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46045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46045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46045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46045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46045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11625-2021</t>
        </is>
      </c>
      <c r="B59" s="1" t="n">
        <v>44264</v>
      </c>
      <c r="C59" s="1" t="n">
        <v>46045</v>
      </c>
      <c r="D59" t="inlineStr">
        <is>
          <t>VÄSTMANLANDS LÄN</t>
        </is>
      </c>
      <c r="E59" t="inlineStr">
        <is>
          <t>VÄSTERÅS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20134-2022</t>
        </is>
      </c>
      <c r="B60" s="1" t="n">
        <v>44698</v>
      </c>
      <c r="C60" s="1" t="n">
        <v>46045</v>
      </c>
      <c r="D60" t="inlineStr">
        <is>
          <t>VÄSTMANLANDS LÄN</t>
        </is>
      </c>
      <c r="E60" t="inlineStr">
        <is>
          <t>VÄSTERÅS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72019-2021</t>
        </is>
      </c>
      <c r="B61" s="1" t="n">
        <v>44540</v>
      </c>
      <c r="C61" s="1" t="n">
        <v>46045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12138-2022</t>
        </is>
      </c>
      <c r="B62" s="1" t="n">
        <v>44636.62225694444</v>
      </c>
      <c r="C62" s="1" t="n">
        <v>46045</v>
      </c>
      <c r="D62" t="inlineStr">
        <is>
          <t>VÄSTMANLANDS LÄN</t>
        </is>
      </c>
      <c r="E62" t="inlineStr">
        <is>
          <t>VÄSTERÅS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32312-2021</t>
        </is>
      </c>
      <c r="B63" s="1" t="n">
        <v>44371</v>
      </c>
      <c r="C63" s="1" t="n">
        <v>46045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19336-2022</t>
        </is>
      </c>
      <c r="B64" s="1" t="n">
        <v>44692</v>
      </c>
      <c r="C64" s="1" t="n">
        <v>46045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53858-2022</t>
        </is>
      </c>
      <c r="B65" s="1" t="n">
        <v>44880.63131944444</v>
      </c>
      <c r="C65" s="1" t="n">
        <v>46045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10753-2021</t>
        </is>
      </c>
      <c r="B66" s="1" t="n">
        <v>44259</v>
      </c>
      <c r="C66" s="1" t="n">
        <v>46045</v>
      </c>
      <c r="D66" t="inlineStr">
        <is>
          <t>VÄSTMANLANDS LÄN</t>
        </is>
      </c>
      <c r="E66" t="inlineStr">
        <is>
          <t>VÄSTERÅS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73334-2021</t>
        </is>
      </c>
      <c r="B67" s="1" t="n">
        <v>44551</v>
      </c>
      <c r="C67" s="1" t="n">
        <v>46045</v>
      </c>
      <c r="D67" t="inlineStr">
        <is>
          <t>VÄSTMANLANDS LÄN</t>
        </is>
      </c>
      <c r="E67" t="inlineStr">
        <is>
          <t>VÄSTERÅS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23766-2022</t>
        </is>
      </c>
      <c r="B68" s="1" t="n">
        <v>44722.38283564815</v>
      </c>
      <c r="C68" s="1" t="n">
        <v>46045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836-2022</t>
        </is>
      </c>
      <c r="B69" s="1" t="n">
        <v>44571</v>
      </c>
      <c r="C69" s="1" t="n">
        <v>46045</v>
      </c>
      <c r="D69" t="inlineStr">
        <is>
          <t>VÄSTMANLANDS LÄN</t>
        </is>
      </c>
      <c r="E69" t="inlineStr">
        <is>
          <t>VÄSTERÅS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7719-2022</t>
        </is>
      </c>
      <c r="B70" s="1" t="n">
        <v>44608.3350462963</v>
      </c>
      <c r="C70" s="1" t="n">
        <v>46045</v>
      </c>
      <c r="D70" t="inlineStr">
        <is>
          <t>VÄSTMANLANDS LÄN</t>
        </is>
      </c>
      <c r="E70" t="inlineStr">
        <is>
          <t>VÄSTERÅS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22602-2022</t>
        </is>
      </c>
      <c r="B71" s="1" t="n">
        <v>44714.36796296296</v>
      </c>
      <c r="C71" s="1" t="n">
        <v>46045</v>
      </c>
      <c r="D71" t="inlineStr">
        <is>
          <t>VÄSTMANLANDS LÄN</t>
        </is>
      </c>
      <c r="E71" t="inlineStr">
        <is>
          <t>VÄSTERÅS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17036-2022</t>
        </is>
      </c>
      <c r="B72" s="1" t="n">
        <v>44676.89392361111</v>
      </c>
      <c r="C72" s="1" t="n">
        <v>46045</v>
      </c>
      <c r="D72" t="inlineStr">
        <is>
          <t>VÄSTMANLANDS LÄN</t>
        </is>
      </c>
      <c r="E72" t="inlineStr">
        <is>
          <t>VÄSTERÅS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30761-2022</t>
        </is>
      </c>
      <c r="B73" s="1" t="n">
        <v>44764</v>
      </c>
      <c r="C73" s="1" t="n">
        <v>46045</v>
      </c>
      <c r="D73" t="inlineStr">
        <is>
          <t>VÄSTMANLANDS LÄN</t>
        </is>
      </c>
      <c r="E73" t="inlineStr">
        <is>
          <t>VÄSTERÅS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10499-2022</t>
        </is>
      </c>
      <c r="B74" s="1" t="n">
        <v>44623.66508101852</v>
      </c>
      <c r="C74" s="1" t="n">
        <v>46045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7275-2021</t>
        </is>
      </c>
      <c r="B75" s="1" t="n">
        <v>44238</v>
      </c>
      <c r="C75" s="1" t="n">
        <v>46045</v>
      </c>
      <c r="D75" t="inlineStr">
        <is>
          <t>VÄSTMANLANDS LÄN</t>
        </is>
      </c>
      <c r="E75" t="inlineStr">
        <is>
          <t>VÄSTERÅS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15640-2022</t>
        </is>
      </c>
      <c r="B76" s="1" t="n">
        <v>44662</v>
      </c>
      <c r="C76" s="1" t="n">
        <v>46045</v>
      </c>
      <c r="D76" t="inlineStr">
        <is>
          <t>VÄSTMANLANDS LÄN</t>
        </is>
      </c>
      <c r="E76" t="inlineStr">
        <is>
          <t>VÄSTERÅS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30468-2022</t>
        </is>
      </c>
      <c r="B77" s="1" t="n">
        <v>44761.67310185185</v>
      </c>
      <c r="C77" s="1" t="n">
        <v>46045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9149-2021</t>
        </is>
      </c>
      <c r="B78" s="1" t="n">
        <v>44249</v>
      </c>
      <c r="C78" s="1" t="n">
        <v>46045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39206-2021</t>
        </is>
      </c>
      <c r="B79" s="1" t="n">
        <v>44413</v>
      </c>
      <c r="C79" s="1" t="n">
        <v>46045</v>
      </c>
      <c r="D79" t="inlineStr">
        <is>
          <t>VÄSTMANLANDS LÄN</t>
        </is>
      </c>
      <c r="E79" t="inlineStr">
        <is>
          <t>VÄSTERÅS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34073-2022</t>
        </is>
      </c>
      <c r="B80" s="1" t="n">
        <v>44791</v>
      </c>
      <c r="C80" s="1" t="n">
        <v>46045</v>
      </c>
      <c r="D80" t="inlineStr">
        <is>
          <t>VÄSTMANLANDS LÄN</t>
        </is>
      </c>
      <c r="E80" t="inlineStr">
        <is>
          <t>VÄSTERÅS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1186-2022</t>
        </is>
      </c>
      <c r="B81" s="1" t="n">
        <v>44572</v>
      </c>
      <c r="C81" s="1" t="n">
        <v>46045</v>
      </c>
      <c r="D81" t="inlineStr">
        <is>
          <t>VÄSTMANLANDS LÄN</t>
        </is>
      </c>
      <c r="E81" t="inlineStr">
        <is>
          <t>VÄSTERÅS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7534-2022</t>
        </is>
      </c>
      <c r="B82" s="1" t="n">
        <v>44607</v>
      </c>
      <c r="C82" s="1" t="n">
        <v>46045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13367-2022</t>
        </is>
      </c>
      <c r="B83" s="1" t="n">
        <v>44645</v>
      </c>
      <c r="C83" s="1" t="n">
        <v>46045</v>
      </c>
      <c r="D83" t="inlineStr">
        <is>
          <t>VÄSTMANLANDS LÄN</t>
        </is>
      </c>
      <c r="E83" t="inlineStr">
        <is>
          <t>VÄSTERÅS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13252-2021</t>
        </is>
      </c>
      <c r="B84" s="1" t="n">
        <v>44272</v>
      </c>
      <c r="C84" s="1" t="n">
        <v>46045</v>
      </c>
      <c r="D84" t="inlineStr">
        <is>
          <t>VÄSTMANLANDS LÄN</t>
        </is>
      </c>
      <c r="E84" t="inlineStr">
        <is>
          <t>VÄSTERÅS</t>
        </is>
      </c>
      <c r="G84" t="n">
        <v>24.2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67353-2021</t>
        </is>
      </c>
      <c r="B85" s="1" t="n">
        <v>44523</v>
      </c>
      <c r="C85" s="1" t="n">
        <v>46045</v>
      </c>
      <c r="D85" t="inlineStr">
        <is>
          <t>VÄSTMANLANDS LÄN</t>
        </is>
      </c>
      <c r="E85" t="inlineStr">
        <is>
          <t>VÄSTERÅS</t>
        </is>
      </c>
      <c r="F85" t="inlineStr">
        <is>
          <t>Övriga Aktiebolag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51219-2023</t>
        </is>
      </c>
      <c r="B86" s="1" t="n">
        <v>45219.45475694445</v>
      </c>
      <c r="C86" s="1" t="n">
        <v>46045</v>
      </c>
      <c r="D86" t="inlineStr">
        <is>
          <t>VÄSTMANLANDS LÄN</t>
        </is>
      </c>
      <c r="E86" t="inlineStr">
        <is>
          <t>VÄSTERÅS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18457-2023</t>
        </is>
      </c>
      <c r="B87" s="1" t="n">
        <v>45042</v>
      </c>
      <c r="C87" s="1" t="n">
        <v>46045</v>
      </c>
      <c r="D87" t="inlineStr">
        <is>
          <t>VÄSTMANLANDS LÄN</t>
        </is>
      </c>
      <c r="E87" t="inlineStr">
        <is>
          <t>VÄSTERÅS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20492-2022</t>
        </is>
      </c>
      <c r="B88" s="1" t="n">
        <v>44699</v>
      </c>
      <c r="C88" s="1" t="n">
        <v>46045</v>
      </c>
      <c r="D88" t="inlineStr">
        <is>
          <t>VÄSTMANLANDS LÄN</t>
        </is>
      </c>
      <c r="E88" t="inlineStr">
        <is>
          <t>VÄSTERÅS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32436-2021</t>
        </is>
      </c>
      <c r="B89" s="1" t="n">
        <v>44371</v>
      </c>
      <c r="C89" s="1" t="n">
        <v>46045</v>
      </c>
      <c r="D89" t="inlineStr">
        <is>
          <t>VÄSTMANLANDS LÄN</t>
        </is>
      </c>
      <c r="E89" t="inlineStr">
        <is>
          <t>VÄSTERÅS</t>
        </is>
      </c>
      <c r="F89" t="inlineStr">
        <is>
          <t>Övriga Aktiebolag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41114-2022</t>
        </is>
      </c>
      <c r="B90" s="1" t="n">
        <v>44825.68005787037</v>
      </c>
      <c r="C90" s="1" t="n">
        <v>46045</v>
      </c>
      <c r="D90" t="inlineStr">
        <is>
          <t>VÄSTMANLANDS LÄN</t>
        </is>
      </c>
      <c r="E90" t="inlineStr">
        <is>
          <t>VÄSTERÅS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17991-2022</t>
        </is>
      </c>
      <c r="B91" s="1" t="n">
        <v>44683.85064814815</v>
      </c>
      <c r="C91" s="1" t="n">
        <v>46045</v>
      </c>
      <c r="D91" t="inlineStr">
        <is>
          <t>VÄSTMANLANDS LÄN</t>
        </is>
      </c>
      <c r="E91" t="inlineStr">
        <is>
          <t>VÄSTERÅS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34461-2022</t>
        </is>
      </c>
      <c r="B92" s="1" t="n">
        <v>44792</v>
      </c>
      <c r="C92" s="1" t="n">
        <v>46045</v>
      </c>
      <c r="D92" t="inlineStr">
        <is>
          <t>VÄSTMANLANDS LÄN</t>
        </is>
      </c>
      <c r="E92" t="inlineStr">
        <is>
          <t>VÄSTERÅS</t>
        </is>
      </c>
      <c r="G92" t="n">
        <v>9.6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8727-2023</t>
        </is>
      </c>
      <c r="B93" s="1" t="n">
        <v>44978</v>
      </c>
      <c r="C93" s="1" t="n">
        <v>46045</v>
      </c>
      <c r="D93" t="inlineStr">
        <is>
          <t>VÄSTMANLANDS LÄN</t>
        </is>
      </c>
      <c r="E93" t="inlineStr">
        <is>
          <t>VÄSTERÅS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55973-2024</t>
        </is>
      </c>
      <c r="B94" s="1" t="n">
        <v>45623</v>
      </c>
      <c r="C94" s="1" t="n">
        <v>46045</v>
      </c>
      <c r="D94" t="inlineStr">
        <is>
          <t>VÄSTMANLANDS LÄN</t>
        </is>
      </c>
      <c r="E94" t="inlineStr">
        <is>
          <t>VÄSTERÅS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17258-2024</t>
        </is>
      </c>
      <c r="B95" s="1" t="n">
        <v>45414</v>
      </c>
      <c r="C95" s="1" t="n">
        <v>46045</v>
      </c>
      <c r="D95" t="inlineStr">
        <is>
          <t>VÄSTMANLANDS LÄN</t>
        </is>
      </c>
      <c r="E95" t="inlineStr">
        <is>
          <t>VÄSTERÅS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63851-2021</t>
        </is>
      </c>
      <c r="B96" s="1" t="n">
        <v>44509</v>
      </c>
      <c r="C96" s="1" t="n">
        <v>46045</v>
      </c>
      <c r="D96" t="inlineStr">
        <is>
          <t>VÄSTMANLANDS LÄN</t>
        </is>
      </c>
      <c r="E96" t="inlineStr">
        <is>
          <t>VÄSTERÅS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12618-2023</t>
        </is>
      </c>
      <c r="B97" s="1" t="n">
        <v>44999</v>
      </c>
      <c r="C97" s="1" t="n">
        <v>46045</v>
      </c>
      <c r="D97" t="inlineStr">
        <is>
          <t>VÄSTMANLANDS LÄN</t>
        </is>
      </c>
      <c r="E97" t="inlineStr">
        <is>
          <t>VÄSTERÅS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11752-2021</t>
        </is>
      </c>
      <c r="B98" s="1" t="n">
        <v>44265</v>
      </c>
      <c r="C98" s="1" t="n">
        <v>46045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64201-2023</t>
        </is>
      </c>
      <c r="B99" s="1" t="n">
        <v>45279</v>
      </c>
      <c r="C99" s="1" t="n">
        <v>46045</v>
      </c>
      <c r="D99" t="inlineStr">
        <is>
          <t>VÄSTMANLANDS LÄN</t>
        </is>
      </c>
      <c r="E99" t="inlineStr">
        <is>
          <t>VÄSTERÅS</t>
        </is>
      </c>
      <c r="G99" t="n">
        <v>13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23455-2024</t>
        </is>
      </c>
      <c r="B100" s="1" t="n">
        <v>45453</v>
      </c>
      <c r="C100" s="1" t="n">
        <v>46045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15273-2024</t>
        </is>
      </c>
      <c r="B101" s="1" t="n">
        <v>45400.58168981481</v>
      </c>
      <c r="C101" s="1" t="n">
        <v>46045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24121-2024</t>
        </is>
      </c>
      <c r="B102" s="1" t="n">
        <v>45456</v>
      </c>
      <c r="C102" s="1" t="n">
        <v>46045</v>
      </c>
      <c r="D102" t="inlineStr">
        <is>
          <t>VÄSTMANLANDS LÄN</t>
        </is>
      </c>
      <c r="E102" t="inlineStr">
        <is>
          <t>VÄSTERÅS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401-2024</t>
        </is>
      </c>
      <c r="B103" s="1" t="n">
        <v>45296.45457175926</v>
      </c>
      <c r="C103" s="1" t="n">
        <v>46045</v>
      </c>
      <c r="D103" t="inlineStr">
        <is>
          <t>VÄSTMANLANDS LÄN</t>
        </is>
      </c>
      <c r="E103" t="inlineStr">
        <is>
          <t>VÄSTERÅS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51951-2023</t>
        </is>
      </c>
      <c r="B104" s="1" t="n">
        <v>45223</v>
      </c>
      <c r="C104" s="1" t="n">
        <v>46045</v>
      </c>
      <c r="D104" t="inlineStr">
        <is>
          <t>VÄSTMANLANDS LÄN</t>
        </is>
      </c>
      <c r="E104" t="inlineStr">
        <is>
          <t>VÄSTERÅS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24834-2021</t>
        </is>
      </c>
      <c r="B105" s="1" t="n">
        <v>44340</v>
      </c>
      <c r="C105" s="1" t="n">
        <v>46045</v>
      </c>
      <c r="D105" t="inlineStr">
        <is>
          <t>VÄSTMANLANDS LÄN</t>
        </is>
      </c>
      <c r="E105" t="inlineStr">
        <is>
          <t>VÄSTERÅS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59740-2024</t>
        </is>
      </c>
      <c r="B106" s="1" t="n">
        <v>45639.52766203704</v>
      </c>
      <c r="C106" s="1" t="n">
        <v>46045</v>
      </c>
      <c r="D106" t="inlineStr">
        <is>
          <t>VÄSTMANLANDS LÄN</t>
        </is>
      </c>
      <c r="E106" t="inlineStr">
        <is>
          <t>VÄSTERÅS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58577-2023</t>
        </is>
      </c>
      <c r="B107" s="1" t="n">
        <v>45251</v>
      </c>
      <c r="C107" s="1" t="n">
        <v>46045</v>
      </c>
      <c r="D107" t="inlineStr">
        <is>
          <t>VÄSTMANLANDS LÄN</t>
        </is>
      </c>
      <c r="E107" t="inlineStr">
        <is>
          <t>VÄSTERÅS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33512-2021</t>
        </is>
      </c>
      <c r="B108" s="1" t="n">
        <v>44377</v>
      </c>
      <c r="C108" s="1" t="n">
        <v>46045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39127-2022</t>
        </is>
      </c>
      <c r="B109" s="1" t="n">
        <v>44816</v>
      </c>
      <c r="C109" s="1" t="n">
        <v>46045</v>
      </c>
      <c r="D109" t="inlineStr">
        <is>
          <t>VÄSTMANLANDS LÄN</t>
        </is>
      </c>
      <c r="E109" t="inlineStr">
        <is>
          <t>VÄSTERÅS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5123-2023</t>
        </is>
      </c>
      <c r="B110" s="1" t="n">
        <v>44958</v>
      </c>
      <c r="C110" s="1" t="n">
        <v>46045</v>
      </c>
      <c r="D110" t="inlineStr">
        <is>
          <t>VÄSTMANLANDS LÄN</t>
        </is>
      </c>
      <c r="E110" t="inlineStr">
        <is>
          <t>VÄSTERÅS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10225-2023</t>
        </is>
      </c>
      <c r="B111" s="1" t="n">
        <v>44986.61635416667</v>
      </c>
      <c r="C111" s="1" t="n">
        <v>46045</v>
      </c>
      <c r="D111" t="inlineStr">
        <is>
          <t>VÄSTMANLANDS LÄN</t>
        </is>
      </c>
      <c r="E111" t="inlineStr">
        <is>
          <t>VÄSTERÅS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15316-2022</t>
        </is>
      </c>
      <c r="B112" s="1" t="n">
        <v>44659.48399305555</v>
      </c>
      <c r="C112" s="1" t="n">
        <v>46045</v>
      </c>
      <c r="D112" t="inlineStr">
        <is>
          <t>VÄSTMANLANDS LÄN</t>
        </is>
      </c>
      <c r="E112" t="inlineStr">
        <is>
          <t>VÄSTERÅS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56945-2024</t>
        </is>
      </c>
      <c r="B113" s="1" t="n">
        <v>45628.62780092593</v>
      </c>
      <c r="C113" s="1" t="n">
        <v>46045</v>
      </c>
      <c r="D113" t="inlineStr">
        <is>
          <t>VÄSTMANLANDS LÄN</t>
        </is>
      </c>
      <c r="E113" t="inlineStr">
        <is>
          <t>VÄSTERÅS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64714-2023</t>
        </is>
      </c>
      <c r="B114" s="1" t="n">
        <v>45281.69546296296</v>
      </c>
      <c r="C114" s="1" t="n">
        <v>46045</v>
      </c>
      <c r="D114" t="inlineStr">
        <is>
          <t>VÄSTMANLANDS LÄN</t>
        </is>
      </c>
      <c r="E114" t="inlineStr">
        <is>
          <t>VÄSTERÅS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1652-2022</t>
        </is>
      </c>
      <c r="B115" s="1" t="n">
        <v>44574</v>
      </c>
      <c r="C115" s="1" t="n">
        <v>46045</v>
      </c>
      <c r="D115" t="inlineStr">
        <is>
          <t>VÄSTMANLANDS LÄN</t>
        </is>
      </c>
      <c r="E115" t="inlineStr">
        <is>
          <t>VÄSTERÅS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25850-2024</t>
        </is>
      </c>
      <c r="B116" s="1" t="n">
        <v>45467</v>
      </c>
      <c r="C116" s="1" t="n">
        <v>46045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Kommuner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46156-2022</t>
        </is>
      </c>
      <c r="B117" s="1" t="n">
        <v>44847.4725462963</v>
      </c>
      <c r="C117" s="1" t="n">
        <v>46045</v>
      </c>
      <c r="D117" t="inlineStr">
        <is>
          <t>VÄSTMANLANDS LÄN</t>
        </is>
      </c>
      <c r="E117" t="inlineStr">
        <is>
          <t>VÄSTERÅS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58960-2022</t>
        </is>
      </c>
      <c r="B118" s="1" t="n">
        <v>44903</v>
      </c>
      <c r="C118" s="1" t="n">
        <v>46045</v>
      </c>
      <c r="D118" t="inlineStr">
        <is>
          <t>VÄSTMANLANDS LÄN</t>
        </is>
      </c>
      <c r="E118" t="inlineStr">
        <is>
          <t>VÄSTERÅS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38822-2025</t>
        </is>
      </c>
      <c r="B119" s="1" t="n">
        <v>45887.50528935185</v>
      </c>
      <c r="C119" s="1" t="n">
        <v>46045</v>
      </c>
      <c r="D119" t="inlineStr">
        <is>
          <t>VÄSTMANLANDS LÄN</t>
        </is>
      </c>
      <c r="E119" t="inlineStr">
        <is>
          <t>VÄSTERÅS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59747-2024</t>
        </is>
      </c>
      <c r="B120" s="1" t="n">
        <v>45639.53532407407</v>
      </c>
      <c r="C120" s="1" t="n">
        <v>46045</v>
      </c>
      <c r="D120" t="inlineStr">
        <is>
          <t>VÄSTMANLANDS LÄN</t>
        </is>
      </c>
      <c r="E120" t="inlineStr">
        <is>
          <t>VÄSTERÅS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60949-2022</t>
        </is>
      </c>
      <c r="B121" s="1" t="n">
        <v>44908</v>
      </c>
      <c r="C121" s="1" t="n">
        <v>46045</v>
      </c>
      <c r="D121" t="inlineStr">
        <is>
          <t>VÄSTMANLANDS LÄN</t>
        </is>
      </c>
      <c r="E121" t="inlineStr">
        <is>
          <t>VÄSTERÅS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24572-2023</t>
        </is>
      </c>
      <c r="B122" s="1" t="n">
        <v>45083</v>
      </c>
      <c r="C122" s="1" t="n">
        <v>46045</v>
      </c>
      <c r="D122" t="inlineStr">
        <is>
          <t>VÄSTMANLANDS LÄN</t>
        </is>
      </c>
      <c r="E122" t="inlineStr">
        <is>
          <t>VÄSTERÅS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49232-2024</t>
        </is>
      </c>
      <c r="B123" s="1" t="n">
        <v>45595</v>
      </c>
      <c r="C123" s="1" t="n">
        <v>46045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56980-2021</t>
        </is>
      </c>
      <c r="B124" s="1" t="n">
        <v>44482.43167824074</v>
      </c>
      <c r="C124" s="1" t="n">
        <v>46045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38823-2025</t>
        </is>
      </c>
      <c r="B125" s="1" t="n">
        <v>45887.50710648148</v>
      </c>
      <c r="C125" s="1" t="n">
        <v>46045</v>
      </c>
      <c r="D125" t="inlineStr">
        <is>
          <t>VÄSTMANLANDS LÄN</t>
        </is>
      </c>
      <c r="E125" t="inlineStr">
        <is>
          <t>VÄSTERÅS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21827-2024</t>
        </is>
      </c>
      <c r="B126" s="1" t="n">
        <v>45442.72315972222</v>
      </c>
      <c r="C126" s="1" t="n">
        <v>46045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Kommuner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18119-2025</t>
        </is>
      </c>
      <c r="B127" s="1" t="n">
        <v>45761.58875</v>
      </c>
      <c r="C127" s="1" t="n">
        <v>46045</v>
      </c>
      <c r="D127" t="inlineStr">
        <is>
          <t>VÄSTMANLANDS LÄN</t>
        </is>
      </c>
      <c r="E127" t="inlineStr">
        <is>
          <t>VÄSTERÅS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18126-2025</t>
        </is>
      </c>
      <c r="B128" s="1" t="n">
        <v>45761.595</v>
      </c>
      <c r="C128" s="1" t="n">
        <v>46045</v>
      </c>
      <c r="D128" t="inlineStr">
        <is>
          <t>VÄSTMANLANDS LÄN</t>
        </is>
      </c>
      <c r="E128" t="inlineStr">
        <is>
          <t>VÄSTERÅS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18157-2025</t>
        </is>
      </c>
      <c r="B129" s="1" t="n">
        <v>45761.62535879629</v>
      </c>
      <c r="C129" s="1" t="n">
        <v>46045</v>
      </c>
      <c r="D129" t="inlineStr">
        <is>
          <t>VÄSTMANLANDS LÄN</t>
        </is>
      </c>
      <c r="E129" t="inlineStr">
        <is>
          <t>VÄSTERÅS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39624-2025</t>
        </is>
      </c>
      <c r="B130" s="1" t="n">
        <v>45890.57650462963</v>
      </c>
      <c r="C130" s="1" t="n">
        <v>46045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Kommuner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52569-2022</t>
        </is>
      </c>
      <c r="B131" s="1" t="n">
        <v>44874.61123842592</v>
      </c>
      <c r="C131" s="1" t="n">
        <v>46045</v>
      </c>
      <c r="D131" t="inlineStr">
        <is>
          <t>VÄSTMANLANDS LÄN</t>
        </is>
      </c>
      <c r="E131" t="inlineStr">
        <is>
          <t>VÄSTERÅS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50987-2024</t>
        </is>
      </c>
      <c r="B132" s="1" t="n">
        <v>45603</v>
      </c>
      <c r="C132" s="1" t="n">
        <v>46045</v>
      </c>
      <c r="D132" t="inlineStr">
        <is>
          <t>VÄSTMANLANDS LÄN</t>
        </is>
      </c>
      <c r="E132" t="inlineStr">
        <is>
          <t>VÄSTERÅS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14851-2024</t>
        </is>
      </c>
      <c r="B133" s="1" t="n">
        <v>45398</v>
      </c>
      <c r="C133" s="1" t="n">
        <v>46045</v>
      </c>
      <c r="D133" t="inlineStr">
        <is>
          <t>VÄSTMANLANDS LÄN</t>
        </is>
      </c>
      <c r="E133" t="inlineStr">
        <is>
          <t>VÄSTERÅS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16035-2023</t>
        </is>
      </c>
      <c r="B134" s="1" t="n">
        <v>45027.37611111111</v>
      </c>
      <c r="C134" s="1" t="n">
        <v>46045</v>
      </c>
      <c r="D134" t="inlineStr">
        <is>
          <t>VÄSTMANLANDS LÄN</t>
        </is>
      </c>
      <c r="E134" t="inlineStr">
        <is>
          <t>VÄSTERÅS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16037-2023</t>
        </is>
      </c>
      <c r="B135" s="1" t="n">
        <v>45027.37814814815</v>
      </c>
      <c r="C135" s="1" t="n">
        <v>46045</v>
      </c>
      <c r="D135" t="inlineStr">
        <is>
          <t>VÄSTMANLANDS LÄN</t>
        </is>
      </c>
      <c r="E135" t="inlineStr">
        <is>
          <t>VÄSTERÅS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39411-2025</t>
        </is>
      </c>
      <c r="B136" s="1" t="n">
        <v>45889.65506944444</v>
      </c>
      <c r="C136" s="1" t="n">
        <v>46045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15355-2023</t>
        </is>
      </c>
      <c r="B137" s="1" t="n">
        <v>45019</v>
      </c>
      <c r="C137" s="1" t="n">
        <v>46045</v>
      </c>
      <c r="D137" t="inlineStr">
        <is>
          <t>VÄSTMANLANDS LÄN</t>
        </is>
      </c>
      <c r="E137" t="inlineStr">
        <is>
          <t>VÄSTERÅS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61069-2022</t>
        </is>
      </c>
      <c r="B138" s="1" t="n">
        <v>44908</v>
      </c>
      <c r="C138" s="1" t="n">
        <v>46045</v>
      </c>
      <c r="D138" t="inlineStr">
        <is>
          <t>VÄSTMANLANDS LÄN</t>
        </is>
      </c>
      <c r="E138" t="inlineStr">
        <is>
          <t>VÄSTERÅS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63481-2023</t>
        </is>
      </c>
      <c r="B139" s="1" t="n">
        <v>45274.65821759259</v>
      </c>
      <c r="C139" s="1" t="n">
        <v>46045</v>
      </c>
      <c r="D139" t="inlineStr">
        <is>
          <t>VÄSTMANLANDS LÄN</t>
        </is>
      </c>
      <c r="E139" t="inlineStr">
        <is>
          <t>VÄSTERÅS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61059-2024</t>
        </is>
      </c>
      <c r="B140" s="1" t="n">
        <v>45645</v>
      </c>
      <c r="C140" s="1" t="n">
        <v>46045</v>
      </c>
      <c r="D140" t="inlineStr">
        <is>
          <t>VÄSTMANLANDS LÄN</t>
        </is>
      </c>
      <c r="E140" t="inlineStr">
        <is>
          <t>VÄSTERÅS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64208-2023</t>
        </is>
      </c>
      <c r="B141" s="1" t="n">
        <v>45279.74216435185</v>
      </c>
      <c r="C141" s="1" t="n">
        <v>46045</v>
      </c>
      <c r="D141" t="inlineStr">
        <is>
          <t>VÄSTMANLANDS LÄN</t>
        </is>
      </c>
      <c r="E141" t="inlineStr">
        <is>
          <t>VÄSTERÅS</t>
        </is>
      </c>
      <c r="G141" t="n">
        <v>13.9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32350-2023</t>
        </is>
      </c>
      <c r="B142" s="1" t="n">
        <v>45110</v>
      </c>
      <c r="C142" s="1" t="n">
        <v>46045</v>
      </c>
      <c r="D142" t="inlineStr">
        <is>
          <t>VÄSTMANLANDS LÄN</t>
        </is>
      </c>
      <c r="E142" t="inlineStr">
        <is>
          <t>VÄSTERÅS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25340-2021</t>
        </is>
      </c>
      <c r="B143" s="1" t="n">
        <v>44342</v>
      </c>
      <c r="C143" s="1" t="n">
        <v>46045</v>
      </c>
      <c r="D143" t="inlineStr">
        <is>
          <t>VÄSTMANLANDS LÄN</t>
        </is>
      </c>
      <c r="E143" t="inlineStr">
        <is>
          <t>VÄSTERÅS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41219-2022</t>
        </is>
      </c>
      <c r="B144" s="1" t="n">
        <v>44826.31732638889</v>
      </c>
      <c r="C144" s="1" t="n">
        <v>46045</v>
      </c>
      <c r="D144" t="inlineStr">
        <is>
          <t>VÄSTMANLANDS LÄN</t>
        </is>
      </c>
      <c r="E144" t="inlineStr">
        <is>
          <t>VÄSTERÅS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18482-2023</t>
        </is>
      </c>
      <c r="B145" s="1" t="n">
        <v>45042</v>
      </c>
      <c r="C145" s="1" t="n">
        <v>46045</v>
      </c>
      <c r="D145" t="inlineStr">
        <is>
          <t>VÄSTMANLANDS LÄN</t>
        </is>
      </c>
      <c r="E145" t="inlineStr">
        <is>
          <t>VÄSTERÅS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55676-2023</t>
        </is>
      </c>
      <c r="B146" s="1" t="n">
        <v>45232</v>
      </c>
      <c r="C146" s="1" t="n">
        <v>46045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Övriga Aktiebolag</t>
        </is>
      </c>
      <c r="G146" t="n">
        <v>37.9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39810-2024</t>
        </is>
      </c>
      <c r="B147" s="1" t="n">
        <v>45553</v>
      </c>
      <c r="C147" s="1" t="n">
        <v>46045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Kyrkan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12649-2023</t>
        </is>
      </c>
      <c r="B148" s="1" t="n">
        <v>44999</v>
      </c>
      <c r="C148" s="1" t="n">
        <v>46045</v>
      </c>
      <c r="D148" t="inlineStr">
        <is>
          <t>VÄSTMANLANDS LÄN</t>
        </is>
      </c>
      <c r="E148" t="inlineStr">
        <is>
          <t>VÄSTERÅS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40547-2025</t>
        </is>
      </c>
      <c r="B149" s="1" t="n">
        <v>45896.43211805556</v>
      </c>
      <c r="C149" s="1" t="n">
        <v>46045</v>
      </c>
      <c r="D149" t="inlineStr">
        <is>
          <t>VÄSTMANLANDS LÄN</t>
        </is>
      </c>
      <c r="E149" t="inlineStr">
        <is>
          <t>VÄSTERÅS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40886-2025</t>
        </is>
      </c>
      <c r="B150" s="1" t="n">
        <v>45897.60268518519</v>
      </c>
      <c r="C150" s="1" t="n">
        <v>46045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1594-2023</t>
        </is>
      </c>
      <c r="B151" s="1" t="n">
        <v>44935</v>
      </c>
      <c r="C151" s="1" t="n">
        <v>46045</v>
      </c>
      <c r="D151" t="inlineStr">
        <is>
          <t>VÄSTMANLANDS LÄN</t>
        </is>
      </c>
      <c r="E151" t="inlineStr">
        <is>
          <t>VÄSTERÅS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52199-2022</t>
        </is>
      </c>
      <c r="B152" s="1" t="n">
        <v>44873.55695601852</v>
      </c>
      <c r="C152" s="1" t="n">
        <v>46045</v>
      </c>
      <c r="D152" t="inlineStr">
        <is>
          <t>VÄSTMANLANDS LÄN</t>
        </is>
      </c>
      <c r="E152" t="inlineStr">
        <is>
          <t>VÄSTERÅS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24229-2021</t>
        </is>
      </c>
      <c r="B153" s="1" t="n">
        <v>44336</v>
      </c>
      <c r="C153" s="1" t="n">
        <v>46045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52764-2022</t>
        </is>
      </c>
      <c r="B154" s="1" t="n">
        <v>44875.32902777778</v>
      </c>
      <c r="C154" s="1" t="n">
        <v>46045</v>
      </c>
      <c r="D154" t="inlineStr">
        <is>
          <t>VÄSTMANLANDS LÄN</t>
        </is>
      </c>
      <c r="E154" t="inlineStr">
        <is>
          <t>VÄSTERÅS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70642-2021</t>
        </is>
      </c>
      <c r="B155" s="1" t="n">
        <v>44537</v>
      </c>
      <c r="C155" s="1" t="n">
        <v>46045</v>
      </c>
      <c r="D155" t="inlineStr">
        <is>
          <t>VÄSTMANLANDS LÄN</t>
        </is>
      </c>
      <c r="E155" t="inlineStr">
        <is>
          <t>VÄSTERÅS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15330-2023</t>
        </is>
      </c>
      <c r="B156" s="1" t="n">
        <v>45019</v>
      </c>
      <c r="C156" s="1" t="n">
        <v>46045</v>
      </c>
      <c r="D156" t="inlineStr">
        <is>
          <t>VÄSTMANLANDS LÄN</t>
        </is>
      </c>
      <c r="E156" t="inlineStr">
        <is>
          <t>VÄSTERÅS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18467-2023</t>
        </is>
      </c>
      <c r="B157" s="1" t="n">
        <v>45042</v>
      </c>
      <c r="C157" s="1" t="n">
        <v>46045</v>
      </c>
      <c r="D157" t="inlineStr">
        <is>
          <t>VÄSTMANLANDS LÄN</t>
        </is>
      </c>
      <c r="E157" t="inlineStr">
        <is>
          <t>VÄSTERÅS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6603-2022</t>
        </is>
      </c>
      <c r="B158" s="1" t="n">
        <v>44601</v>
      </c>
      <c r="C158" s="1" t="n">
        <v>46045</v>
      </c>
      <c r="D158" t="inlineStr">
        <is>
          <t>VÄSTMANLANDS LÄN</t>
        </is>
      </c>
      <c r="E158" t="inlineStr">
        <is>
          <t>VÄSTERÅS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16844-2023</t>
        </is>
      </c>
      <c r="B159" s="1" t="n">
        <v>45033</v>
      </c>
      <c r="C159" s="1" t="n">
        <v>46045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11691-2023</t>
        </is>
      </c>
      <c r="B160" s="1" t="n">
        <v>44994</v>
      </c>
      <c r="C160" s="1" t="n">
        <v>46045</v>
      </c>
      <c r="D160" t="inlineStr">
        <is>
          <t>VÄSTMANLANDS LÄN</t>
        </is>
      </c>
      <c r="E160" t="inlineStr">
        <is>
          <t>VÄSTERÅS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41920-2025</t>
        </is>
      </c>
      <c r="B161" s="1" t="n">
        <v>45903.42475694444</v>
      </c>
      <c r="C161" s="1" t="n">
        <v>46045</v>
      </c>
      <c r="D161" t="inlineStr">
        <is>
          <t>VÄSTMANLANDS LÄN</t>
        </is>
      </c>
      <c r="E161" t="inlineStr">
        <is>
          <t>VÄSTERÅS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57873-2022</t>
        </is>
      </c>
      <c r="B162" s="1" t="n">
        <v>44899.78981481482</v>
      </c>
      <c r="C162" s="1" t="n">
        <v>46045</v>
      </c>
      <c r="D162" t="inlineStr">
        <is>
          <t>VÄSTMANLANDS LÄN</t>
        </is>
      </c>
      <c r="E162" t="inlineStr">
        <is>
          <t>VÄSTERÅS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52015-2024</t>
        </is>
      </c>
      <c r="B163" s="1" t="n">
        <v>45607</v>
      </c>
      <c r="C163" s="1" t="n">
        <v>46045</v>
      </c>
      <c r="D163" t="inlineStr">
        <is>
          <t>VÄSTMANLANDS LÄN</t>
        </is>
      </c>
      <c r="E163" t="inlineStr">
        <is>
          <t>VÄSTERÅS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42894-2025</t>
        </is>
      </c>
      <c r="B164" s="1" t="n">
        <v>45908.66902777777</v>
      </c>
      <c r="C164" s="1" t="n">
        <v>46045</v>
      </c>
      <c r="D164" t="inlineStr">
        <is>
          <t>VÄSTMANLANDS LÄN</t>
        </is>
      </c>
      <c r="E164" t="inlineStr">
        <is>
          <t>VÄSTERÅS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42899-2025</t>
        </is>
      </c>
      <c r="B165" s="1" t="n">
        <v>45908.6750925926</v>
      </c>
      <c r="C165" s="1" t="n">
        <v>46045</v>
      </c>
      <c r="D165" t="inlineStr">
        <is>
          <t>VÄSTMANLANDS LÄN</t>
        </is>
      </c>
      <c r="E165" t="inlineStr">
        <is>
          <t>VÄSTERÅS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3118-2022</t>
        </is>
      </c>
      <c r="B166" s="1" t="n">
        <v>44582</v>
      </c>
      <c r="C166" s="1" t="n">
        <v>46045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15329-2023</t>
        </is>
      </c>
      <c r="B167" s="1" t="n">
        <v>45019</v>
      </c>
      <c r="C167" s="1" t="n">
        <v>46045</v>
      </c>
      <c r="D167" t="inlineStr">
        <is>
          <t>VÄSTMANLANDS LÄN</t>
        </is>
      </c>
      <c r="E167" t="inlineStr">
        <is>
          <t>VÄSTERÅS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10912-2024</t>
        </is>
      </c>
      <c r="B168" s="1" t="n">
        <v>45370.39363425926</v>
      </c>
      <c r="C168" s="1" t="n">
        <v>46045</v>
      </c>
      <c r="D168" t="inlineStr">
        <is>
          <t>VÄSTMANLANDS LÄN</t>
        </is>
      </c>
      <c r="E168" t="inlineStr">
        <is>
          <t>VÄSTERÅS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24838-2021</t>
        </is>
      </c>
      <c r="B169" s="1" t="n">
        <v>44340</v>
      </c>
      <c r="C169" s="1" t="n">
        <v>46045</v>
      </c>
      <c r="D169" t="inlineStr">
        <is>
          <t>VÄSTMANLANDS LÄN</t>
        </is>
      </c>
      <c r="E169" t="inlineStr">
        <is>
          <t>VÄSTERÅS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10546-2024</t>
        </is>
      </c>
      <c r="B170" s="1" t="n">
        <v>45366</v>
      </c>
      <c r="C170" s="1" t="n">
        <v>46045</v>
      </c>
      <c r="D170" t="inlineStr">
        <is>
          <t>VÄSTMANLANDS LÄN</t>
        </is>
      </c>
      <c r="E170" t="inlineStr">
        <is>
          <t>VÄSTERÅS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16074-2025</t>
        </is>
      </c>
      <c r="B171" s="1" t="n">
        <v>45749</v>
      </c>
      <c r="C171" s="1" t="n">
        <v>46045</v>
      </c>
      <c r="D171" t="inlineStr">
        <is>
          <t>VÄSTMANLANDS LÄN</t>
        </is>
      </c>
      <c r="E171" t="inlineStr">
        <is>
          <t>VÄSTERÅS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13228-2025</t>
        </is>
      </c>
      <c r="B172" s="1" t="n">
        <v>45735.46513888889</v>
      </c>
      <c r="C172" s="1" t="n">
        <v>46045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42898-2025</t>
        </is>
      </c>
      <c r="B173" s="1" t="n">
        <v>45908</v>
      </c>
      <c r="C173" s="1" t="n">
        <v>46045</v>
      </c>
      <c r="D173" t="inlineStr">
        <is>
          <t>VÄSTMANLANDS LÄN</t>
        </is>
      </c>
      <c r="E173" t="inlineStr">
        <is>
          <t>VÄSTERÅS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14691-2022</t>
        </is>
      </c>
      <c r="B174" s="1" t="n">
        <v>44655.92976851852</v>
      </c>
      <c r="C174" s="1" t="n">
        <v>46045</v>
      </c>
      <c r="D174" t="inlineStr">
        <is>
          <t>VÄSTMANLANDS LÄN</t>
        </is>
      </c>
      <c r="E174" t="inlineStr">
        <is>
          <t>VÄSTERÅS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7437-2025</t>
        </is>
      </c>
      <c r="B175" s="1" t="n">
        <v>45705</v>
      </c>
      <c r="C175" s="1" t="n">
        <v>46045</v>
      </c>
      <c r="D175" t="inlineStr">
        <is>
          <t>VÄSTMANLANDS LÄN</t>
        </is>
      </c>
      <c r="E175" t="inlineStr">
        <is>
          <t>VÄSTERÅS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59143-2022</t>
        </is>
      </c>
      <c r="B176" s="1" t="n">
        <v>44904.45761574074</v>
      </c>
      <c r="C176" s="1" t="n">
        <v>46045</v>
      </c>
      <c r="D176" t="inlineStr">
        <is>
          <t>VÄSTMANLANDS LÄN</t>
        </is>
      </c>
      <c r="E176" t="inlineStr">
        <is>
          <t>VÄSTERÅS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60797-2022</t>
        </is>
      </c>
      <c r="B177" s="1" t="n">
        <v>44914.43560185185</v>
      </c>
      <c r="C177" s="1" t="n">
        <v>46045</v>
      </c>
      <c r="D177" t="inlineStr">
        <is>
          <t>VÄSTMANLANDS LÄN</t>
        </is>
      </c>
      <c r="E177" t="inlineStr">
        <is>
          <t>VÄSTERÅS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32868-2024</t>
        </is>
      </c>
      <c r="B178" s="1" t="n">
        <v>45516.65678240741</v>
      </c>
      <c r="C178" s="1" t="n">
        <v>46045</v>
      </c>
      <c r="D178" t="inlineStr">
        <is>
          <t>VÄSTMANLANDS LÄN</t>
        </is>
      </c>
      <c r="E178" t="inlineStr">
        <is>
          <t>VÄSTERÅS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15350-2023</t>
        </is>
      </c>
      <c r="B179" s="1" t="n">
        <v>45019</v>
      </c>
      <c r="C179" s="1" t="n">
        <v>46045</v>
      </c>
      <c r="D179" t="inlineStr">
        <is>
          <t>VÄSTMANLANDS LÄN</t>
        </is>
      </c>
      <c r="E179" t="inlineStr">
        <is>
          <t>VÄSTERÅS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1700-2023</t>
        </is>
      </c>
      <c r="B180" s="1" t="n">
        <v>44936</v>
      </c>
      <c r="C180" s="1" t="n">
        <v>46045</v>
      </c>
      <c r="D180" t="inlineStr">
        <is>
          <t>VÄSTMANLANDS LÄN</t>
        </is>
      </c>
      <c r="E180" t="inlineStr">
        <is>
          <t>VÄSTERÅS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5363-2025</t>
        </is>
      </c>
      <c r="B181" s="1" t="n">
        <v>45692</v>
      </c>
      <c r="C181" s="1" t="n">
        <v>46045</v>
      </c>
      <c r="D181" t="inlineStr">
        <is>
          <t>VÄSTMANLANDS LÄN</t>
        </is>
      </c>
      <c r="E181" t="inlineStr">
        <is>
          <t>VÄSTERÅS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9103-2025</t>
        </is>
      </c>
      <c r="B182" s="1" t="n">
        <v>45713.69668981482</v>
      </c>
      <c r="C182" s="1" t="n">
        <v>46045</v>
      </c>
      <c r="D182" t="inlineStr">
        <is>
          <t>VÄSTMANLANDS LÄN</t>
        </is>
      </c>
      <c r="E182" t="inlineStr">
        <is>
          <t>VÄSTERÅS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59536-2024</t>
        </is>
      </c>
      <c r="B183" s="1" t="n">
        <v>45638</v>
      </c>
      <c r="C183" s="1" t="n">
        <v>46045</v>
      </c>
      <c r="D183" t="inlineStr">
        <is>
          <t>VÄSTMANLANDS LÄN</t>
        </is>
      </c>
      <c r="E183" t="inlineStr">
        <is>
          <t>VÄSTERÅS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55801-2024</t>
        </is>
      </c>
      <c r="B184" s="1" t="n">
        <v>45623.44805555556</v>
      </c>
      <c r="C184" s="1" t="n">
        <v>46045</v>
      </c>
      <c r="D184" t="inlineStr">
        <is>
          <t>VÄSTMANLANDS LÄN</t>
        </is>
      </c>
      <c r="E184" t="inlineStr">
        <is>
          <t>VÄSTERÅS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12143-2022</t>
        </is>
      </c>
      <c r="B185" s="1" t="n">
        <v>44636</v>
      </c>
      <c r="C185" s="1" t="n">
        <v>46045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Kommuner</t>
        </is>
      </c>
      <c r="G185" t="n">
        <v>12.9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12148-2022</t>
        </is>
      </c>
      <c r="B186" s="1" t="n">
        <v>44636.63550925926</v>
      </c>
      <c r="C186" s="1" t="n">
        <v>46045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Kommuner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41469-2024</t>
        </is>
      </c>
      <c r="B187" s="1" t="n">
        <v>45560</v>
      </c>
      <c r="C187" s="1" t="n">
        <v>46045</v>
      </c>
      <c r="D187" t="inlineStr">
        <is>
          <t>VÄSTMANLANDS LÄN</t>
        </is>
      </c>
      <c r="E187" t="inlineStr">
        <is>
          <t>VÄSTERÅS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61258-2023</t>
        </is>
      </c>
      <c r="B188" s="1" t="n">
        <v>45264</v>
      </c>
      <c r="C188" s="1" t="n">
        <v>46045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38538-2023</t>
        </is>
      </c>
      <c r="B189" s="1" t="n">
        <v>45162</v>
      </c>
      <c r="C189" s="1" t="n">
        <v>46045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31880-2021</t>
        </is>
      </c>
      <c r="B190" s="1" t="n">
        <v>44370</v>
      </c>
      <c r="C190" s="1" t="n">
        <v>46045</v>
      </c>
      <c r="D190" t="inlineStr">
        <is>
          <t>VÄSTMANLANDS LÄN</t>
        </is>
      </c>
      <c r="E190" t="inlineStr">
        <is>
          <t>VÄSTERÅS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12289-2024</t>
        </is>
      </c>
      <c r="B191" s="1" t="n">
        <v>45378.57865740741</v>
      </c>
      <c r="C191" s="1" t="n">
        <v>46045</v>
      </c>
      <c r="D191" t="inlineStr">
        <is>
          <t>VÄSTMANLANDS LÄN</t>
        </is>
      </c>
      <c r="E191" t="inlineStr">
        <is>
          <t>VÄSTERÅS</t>
        </is>
      </c>
      <c r="G191" t="n">
        <v>15.4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46799-2025</t>
        </is>
      </c>
      <c r="B192" s="1" t="n">
        <v>45926.65934027778</v>
      </c>
      <c r="C192" s="1" t="n">
        <v>46045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Övriga statliga verk och myndigheter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47092-2025</t>
        </is>
      </c>
      <c r="B193" s="1" t="n">
        <v>45929.65053240741</v>
      </c>
      <c r="C193" s="1" t="n">
        <v>46045</v>
      </c>
      <c r="D193" t="inlineStr">
        <is>
          <t>VÄSTMANLANDS LÄN</t>
        </is>
      </c>
      <c r="E193" t="inlineStr">
        <is>
          <t>VÄSTERÅS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47089-2025</t>
        </is>
      </c>
      <c r="B194" s="1" t="n">
        <v>45929.64620370371</v>
      </c>
      <c r="C194" s="1" t="n">
        <v>46045</v>
      </c>
      <c r="D194" t="inlineStr">
        <is>
          <t>VÄSTMANLANDS LÄN</t>
        </is>
      </c>
      <c r="E194" t="inlineStr">
        <is>
          <t>VÄSTERÅS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12950-2023</t>
        </is>
      </c>
      <c r="B195" s="1" t="n">
        <v>45001</v>
      </c>
      <c r="C195" s="1" t="n">
        <v>46045</v>
      </c>
      <c r="D195" t="inlineStr">
        <is>
          <t>VÄSTMANLANDS LÄN</t>
        </is>
      </c>
      <c r="E195" t="inlineStr">
        <is>
          <t>VÄSTERÅS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47096-2025</t>
        </is>
      </c>
      <c r="B196" s="1" t="n">
        <v>45929.65461805555</v>
      </c>
      <c r="C196" s="1" t="n">
        <v>46045</v>
      </c>
      <c r="D196" t="inlineStr">
        <is>
          <t>VÄSTMANLANDS LÄN</t>
        </is>
      </c>
      <c r="E196" t="inlineStr">
        <is>
          <t>VÄSTERÅS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47107-2025</t>
        </is>
      </c>
      <c r="B197" s="1" t="n">
        <v>45929.66028935185</v>
      </c>
      <c r="C197" s="1" t="n">
        <v>46045</v>
      </c>
      <c r="D197" t="inlineStr">
        <is>
          <t>VÄSTMANLANDS LÄN</t>
        </is>
      </c>
      <c r="E197" t="inlineStr">
        <is>
          <t>VÄSTERÅS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47101-2025</t>
        </is>
      </c>
      <c r="B198" s="1" t="n">
        <v>45929.65755787037</v>
      </c>
      <c r="C198" s="1" t="n">
        <v>46045</v>
      </c>
      <c r="D198" t="inlineStr">
        <is>
          <t>VÄSTMANLANDS LÄN</t>
        </is>
      </c>
      <c r="E198" t="inlineStr">
        <is>
          <t>VÄSTERÅS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47076-2025</t>
        </is>
      </c>
      <c r="B199" s="1" t="n">
        <v>45929.63734953704</v>
      </c>
      <c r="C199" s="1" t="n">
        <v>46045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42659-2021</t>
        </is>
      </c>
      <c r="B200" s="1" t="n">
        <v>44428</v>
      </c>
      <c r="C200" s="1" t="n">
        <v>46045</v>
      </c>
      <c r="D200" t="inlineStr">
        <is>
          <t>VÄSTMANLANDS LÄN</t>
        </is>
      </c>
      <c r="E200" t="inlineStr">
        <is>
          <t>VÄSTERÅS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40782-2022</t>
        </is>
      </c>
      <c r="B201" s="1" t="n">
        <v>44824</v>
      </c>
      <c r="C201" s="1" t="n">
        <v>46045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47640-2025</t>
        </is>
      </c>
      <c r="B202" s="1" t="n">
        <v>45931.50824074074</v>
      </c>
      <c r="C202" s="1" t="n">
        <v>46045</v>
      </c>
      <c r="D202" t="inlineStr">
        <is>
          <t>VÄSTMANLANDS LÄN</t>
        </is>
      </c>
      <c r="E202" t="inlineStr">
        <is>
          <t>VÄSTERÅS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17808-2023</t>
        </is>
      </c>
      <c r="B203" s="1" t="n">
        <v>45037</v>
      </c>
      <c r="C203" s="1" t="n">
        <v>46045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21694-2025</t>
        </is>
      </c>
      <c r="B204" s="1" t="n">
        <v>45783</v>
      </c>
      <c r="C204" s="1" t="n">
        <v>46045</v>
      </c>
      <c r="D204" t="inlineStr">
        <is>
          <t>VÄSTMANLANDS LÄN</t>
        </is>
      </c>
      <c r="E204" t="inlineStr">
        <is>
          <t>VÄSTERÅS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48339-2025</t>
        </is>
      </c>
      <c r="B205" s="1" t="n">
        <v>45933.64113425926</v>
      </c>
      <c r="C205" s="1" t="n">
        <v>46045</v>
      </c>
      <c r="D205" t="inlineStr">
        <is>
          <t>VÄSTMANLANDS LÄN</t>
        </is>
      </c>
      <c r="E205" t="inlineStr">
        <is>
          <t>VÄSTERÅS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22675-2025</t>
        </is>
      </c>
      <c r="B206" s="1" t="n">
        <v>45786</v>
      </c>
      <c r="C206" s="1" t="n">
        <v>46045</v>
      </c>
      <c r="D206" t="inlineStr">
        <is>
          <t>VÄSTMANLANDS LÄN</t>
        </is>
      </c>
      <c r="E206" t="inlineStr">
        <is>
          <t>VÄSTERÅS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12612-2023</t>
        </is>
      </c>
      <c r="B207" s="1" t="n">
        <v>44999</v>
      </c>
      <c r="C207" s="1" t="n">
        <v>46045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8541-2023</t>
        </is>
      </c>
      <c r="B208" s="1" t="n">
        <v>44977.60398148148</v>
      </c>
      <c r="C208" s="1" t="n">
        <v>46045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9152-2021</t>
        </is>
      </c>
      <c r="B209" s="1" t="n">
        <v>44249</v>
      </c>
      <c r="C209" s="1" t="n">
        <v>46045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Kyrkan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48948-2025</t>
        </is>
      </c>
      <c r="B210" s="1" t="n">
        <v>45937.54346064815</v>
      </c>
      <c r="C210" s="1" t="n">
        <v>46045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22978-2022</t>
        </is>
      </c>
      <c r="B211" s="1" t="n">
        <v>44717.72328703704</v>
      </c>
      <c r="C211" s="1" t="n">
        <v>46045</v>
      </c>
      <c r="D211" t="inlineStr">
        <is>
          <t>VÄSTMANLANDS LÄN</t>
        </is>
      </c>
      <c r="E211" t="inlineStr">
        <is>
          <t>VÄSTERÅS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14800-2024</t>
        </is>
      </c>
      <c r="B212" s="1" t="n">
        <v>45397</v>
      </c>
      <c r="C212" s="1" t="n">
        <v>46045</v>
      </c>
      <c r="D212" t="inlineStr">
        <is>
          <t>VÄSTMANLANDS LÄN</t>
        </is>
      </c>
      <c r="E212" t="inlineStr">
        <is>
          <t>VÄSTERÅS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49240-2025</t>
        </is>
      </c>
      <c r="B213" s="1" t="n">
        <v>45938.48452546296</v>
      </c>
      <c r="C213" s="1" t="n">
        <v>46045</v>
      </c>
      <c r="D213" t="inlineStr">
        <is>
          <t>VÄSTMANLANDS LÄN</t>
        </is>
      </c>
      <c r="E213" t="inlineStr">
        <is>
          <t>VÄSTERÅS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15622-2022</t>
        </is>
      </c>
      <c r="B214" s="1" t="n">
        <v>44662</v>
      </c>
      <c r="C214" s="1" t="n">
        <v>46045</v>
      </c>
      <c r="D214" t="inlineStr">
        <is>
          <t>VÄSTMANLANDS LÄN</t>
        </is>
      </c>
      <c r="E214" t="inlineStr">
        <is>
          <t>VÄSTERÅS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12229-2025</t>
        </is>
      </c>
      <c r="B215" s="1" t="n">
        <v>45729.57048611111</v>
      </c>
      <c r="C215" s="1" t="n">
        <v>46045</v>
      </c>
      <c r="D215" t="inlineStr">
        <is>
          <t>VÄSTMANLANDS LÄN</t>
        </is>
      </c>
      <c r="E215" t="inlineStr">
        <is>
          <t>VÄSTERÅS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23569-2025</t>
        </is>
      </c>
      <c r="B216" s="1" t="n">
        <v>45792.60494212963</v>
      </c>
      <c r="C216" s="1" t="n">
        <v>46045</v>
      </c>
      <c r="D216" t="inlineStr">
        <is>
          <t>VÄSTMANLANDS LÄN</t>
        </is>
      </c>
      <c r="E216" t="inlineStr">
        <is>
          <t>VÄSTERÅS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44695-2022</t>
        </is>
      </c>
      <c r="B217" s="1" t="n">
        <v>44840</v>
      </c>
      <c r="C217" s="1" t="n">
        <v>46045</v>
      </c>
      <c r="D217" t="inlineStr">
        <is>
          <t>VÄSTMANLANDS LÄN</t>
        </is>
      </c>
      <c r="E217" t="inlineStr">
        <is>
          <t>VÄSTERÅS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50564-2025</t>
        </is>
      </c>
      <c r="B218" s="1" t="n">
        <v>45945.55349537037</v>
      </c>
      <c r="C218" s="1" t="n">
        <v>46045</v>
      </c>
      <c r="D218" t="inlineStr">
        <is>
          <t>VÄSTMANLANDS LÄN</t>
        </is>
      </c>
      <c r="E218" t="inlineStr">
        <is>
          <t>VÄSTERÅS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38345-2024</t>
        </is>
      </c>
      <c r="B219" s="1" t="n">
        <v>45545</v>
      </c>
      <c r="C219" s="1" t="n">
        <v>46045</v>
      </c>
      <c r="D219" t="inlineStr">
        <is>
          <t>VÄSTMANLANDS LÄN</t>
        </is>
      </c>
      <c r="E219" t="inlineStr">
        <is>
          <t>VÄSTERÅS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50565-2025</t>
        </is>
      </c>
      <c r="B220" s="1" t="n">
        <v>45945.55697916666</v>
      </c>
      <c r="C220" s="1" t="n">
        <v>46045</v>
      </c>
      <c r="D220" t="inlineStr">
        <is>
          <t>VÄSTMANLANDS LÄN</t>
        </is>
      </c>
      <c r="E220" t="inlineStr">
        <is>
          <t>VÄSTERÅS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51307-2025</t>
        </is>
      </c>
      <c r="B221" s="1" t="n">
        <v>45950.36666666667</v>
      </c>
      <c r="C221" s="1" t="n">
        <v>46045</v>
      </c>
      <c r="D221" t="inlineStr">
        <is>
          <t>VÄSTMANLANDS LÄN</t>
        </is>
      </c>
      <c r="E221" t="inlineStr">
        <is>
          <t>VÄSTERÅS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51200-2025</t>
        </is>
      </c>
      <c r="B222" s="1" t="n">
        <v>45947.63462962963</v>
      </c>
      <c r="C222" s="1" t="n">
        <v>46045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Övriga statliga verk och myndigheter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13241-2025</t>
        </is>
      </c>
      <c r="B223" s="1" t="n">
        <v>45735.47672453704</v>
      </c>
      <c r="C223" s="1" t="n">
        <v>46045</v>
      </c>
      <c r="D223" t="inlineStr">
        <is>
          <t>VÄSTMANLANDS LÄN</t>
        </is>
      </c>
      <c r="E223" t="inlineStr">
        <is>
          <t>VÄSTERÅS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31623-2024</t>
        </is>
      </c>
      <c r="B224" s="1" t="n">
        <v>45506</v>
      </c>
      <c r="C224" s="1" t="n">
        <v>46045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23641-2023</t>
        </is>
      </c>
      <c r="B225" s="1" t="n">
        <v>45077.53309027778</v>
      </c>
      <c r="C225" s="1" t="n">
        <v>46045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24546-2025</t>
        </is>
      </c>
      <c r="B226" s="1" t="n">
        <v>45798.44658564815</v>
      </c>
      <c r="C226" s="1" t="n">
        <v>46045</v>
      </c>
      <c r="D226" t="inlineStr">
        <is>
          <t>VÄSTMANLANDS LÄN</t>
        </is>
      </c>
      <c r="E226" t="inlineStr">
        <is>
          <t>VÄSTERÅS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52027-2025</t>
        </is>
      </c>
      <c r="B227" s="1" t="n">
        <v>45952</v>
      </c>
      <c r="C227" s="1" t="n">
        <v>46045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statliga verk och myndigheter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52263-2025</t>
        </is>
      </c>
      <c r="B228" s="1" t="n">
        <v>45953.52658564815</v>
      </c>
      <c r="C228" s="1" t="n">
        <v>46045</v>
      </c>
      <c r="D228" t="inlineStr">
        <is>
          <t>VÄSTMANLANDS LÄN</t>
        </is>
      </c>
      <c r="E228" t="inlineStr">
        <is>
          <t>VÄSTERÅS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52268-2025</t>
        </is>
      </c>
      <c r="B229" s="1" t="n">
        <v>45953.5362037037</v>
      </c>
      <c r="C229" s="1" t="n">
        <v>46045</v>
      </c>
      <c r="D229" t="inlineStr">
        <is>
          <t>VÄSTMANLANDS LÄN</t>
        </is>
      </c>
      <c r="E229" t="inlineStr">
        <is>
          <t>VÄSTERÅS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52272-2025</t>
        </is>
      </c>
      <c r="B230" s="1" t="n">
        <v>45953.54679398148</v>
      </c>
      <c r="C230" s="1" t="n">
        <v>46045</v>
      </c>
      <c r="D230" t="inlineStr">
        <is>
          <t>VÄSTMANLANDS LÄN</t>
        </is>
      </c>
      <c r="E230" t="inlineStr">
        <is>
          <t>VÄSTERÅS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52270-2025</t>
        </is>
      </c>
      <c r="B231" s="1" t="n">
        <v>45953.53826388889</v>
      </c>
      <c r="C231" s="1" t="n">
        <v>46045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13388-2025</t>
        </is>
      </c>
      <c r="B232" s="1" t="n">
        <v>45735</v>
      </c>
      <c r="C232" s="1" t="n">
        <v>46045</v>
      </c>
      <c r="D232" t="inlineStr">
        <is>
          <t>VÄSTMANLANDS LÄN</t>
        </is>
      </c>
      <c r="E232" t="inlineStr">
        <is>
          <t>VÄSTERÅS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13338-2025</t>
        </is>
      </c>
      <c r="B233" s="1" t="n">
        <v>45735</v>
      </c>
      <c r="C233" s="1" t="n">
        <v>46045</v>
      </c>
      <c r="D233" t="inlineStr">
        <is>
          <t>VÄSTMANLANDS LÄN</t>
        </is>
      </c>
      <c r="E233" t="inlineStr">
        <is>
          <t>VÄSTERÅS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25568-2025</t>
        </is>
      </c>
      <c r="B234" s="1" t="n">
        <v>45803.46421296296</v>
      </c>
      <c r="C234" s="1" t="n">
        <v>46045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Allmännings- och besparingsskogar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15046-2025</t>
        </is>
      </c>
      <c r="B235" s="1" t="n">
        <v>45743</v>
      </c>
      <c r="C235" s="1" t="n">
        <v>46045</v>
      </c>
      <c r="D235" t="inlineStr">
        <is>
          <t>VÄSTMANLANDS LÄN</t>
        </is>
      </c>
      <c r="E235" t="inlineStr">
        <is>
          <t>VÄSTERÅS</t>
        </is>
      </c>
      <c r="G235" t="n">
        <v>17.7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56076-2023</t>
        </is>
      </c>
      <c r="B236" s="1" t="n">
        <v>45235</v>
      </c>
      <c r="C236" s="1" t="n">
        <v>46045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Aktiebolag</t>
        </is>
      </c>
      <c r="G236" t="n">
        <v>37.8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13632-2025</t>
        </is>
      </c>
      <c r="B237" s="1" t="n">
        <v>45736</v>
      </c>
      <c r="C237" s="1" t="n">
        <v>46045</v>
      </c>
      <c r="D237" t="inlineStr">
        <is>
          <t>VÄSTMANLANDS LÄN</t>
        </is>
      </c>
      <c r="E237" t="inlineStr">
        <is>
          <t>VÄSTERÅS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62299-2025</t>
        </is>
      </c>
      <c r="B238" s="1" t="n">
        <v>46006.64915509259</v>
      </c>
      <c r="C238" s="1" t="n">
        <v>46045</v>
      </c>
      <c r="D238" t="inlineStr">
        <is>
          <t>VÄSTMANLANDS LÄN</t>
        </is>
      </c>
      <c r="E238" t="inlineStr">
        <is>
          <t>VÄSTERÅS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50996-2024</t>
        </is>
      </c>
      <c r="B239" s="1" t="n">
        <v>45603</v>
      </c>
      <c r="C239" s="1" t="n">
        <v>46045</v>
      </c>
      <c r="D239" t="inlineStr">
        <is>
          <t>VÄSTMANLANDS LÄN</t>
        </is>
      </c>
      <c r="E239" t="inlineStr">
        <is>
          <t>VÄSTERÅS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13239-2025</t>
        </is>
      </c>
      <c r="B240" s="1" t="n">
        <v>45735.47221064815</v>
      </c>
      <c r="C240" s="1" t="n">
        <v>46045</v>
      </c>
      <c r="D240" t="inlineStr">
        <is>
          <t>VÄSTMANLANDS LÄN</t>
        </is>
      </c>
      <c r="E240" t="inlineStr">
        <is>
          <t>VÄSTERÅS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54659-2025</t>
        </is>
      </c>
      <c r="B241" s="1" t="n">
        <v>45966.4027199074</v>
      </c>
      <c r="C241" s="1" t="n">
        <v>46045</v>
      </c>
      <c r="D241" t="inlineStr">
        <is>
          <t>VÄSTMANLANDS LÄN</t>
        </is>
      </c>
      <c r="E241" t="inlineStr">
        <is>
          <t>VÄSTERÅS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27394-2025</t>
        </is>
      </c>
      <c r="B242" s="1" t="n">
        <v>45812</v>
      </c>
      <c r="C242" s="1" t="n">
        <v>46045</v>
      </c>
      <c r="D242" t="inlineStr">
        <is>
          <t>VÄSTMANLANDS LÄN</t>
        </is>
      </c>
      <c r="E242" t="inlineStr">
        <is>
          <t>VÄSTERÅS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27290-2025</t>
        </is>
      </c>
      <c r="B243" s="1" t="n">
        <v>45812</v>
      </c>
      <c r="C243" s="1" t="n">
        <v>46045</v>
      </c>
      <c r="D243" t="inlineStr">
        <is>
          <t>VÄSTMANLANDS LÄN</t>
        </is>
      </c>
      <c r="E243" t="inlineStr">
        <is>
          <t>VÄSTERÅS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56532-2022</t>
        </is>
      </c>
      <c r="B244" s="1" t="n">
        <v>44893</v>
      </c>
      <c r="C244" s="1" t="n">
        <v>46045</v>
      </c>
      <c r="D244" t="inlineStr">
        <is>
          <t>VÄSTMANLANDS LÄN</t>
        </is>
      </c>
      <c r="E244" t="inlineStr">
        <is>
          <t>VÄSTERÅS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52396-2022</t>
        </is>
      </c>
      <c r="B245" s="1" t="n">
        <v>44874.39711805555</v>
      </c>
      <c r="C245" s="1" t="n">
        <v>46045</v>
      </c>
      <c r="D245" t="inlineStr">
        <is>
          <t>VÄSTMANLANDS LÄN</t>
        </is>
      </c>
      <c r="E245" t="inlineStr">
        <is>
          <t>VÄSTERÅS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47082-2025</t>
        </is>
      </c>
      <c r="B246" s="1" t="n">
        <v>45929.64188657407</v>
      </c>
      <c r="C246" s="1" t="n">
        <v>46045</v>
      </c>
      <c r="D246" t="inlineStr">
        <is>
          <t>VÄSTMANLANDS LÄN</t>
        </is>
      </c>
      <c r="E246" t="inlineStr">
        <is>
          <t>VÄSTERÅS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51933-2023</t>
        </is>
      </c>
      <c r="B247" s="1" t="n">
        <v>45223</v>
      </c>
      <c r="C247" s="1" t="n">
        <v>46045</v>
      </c>
      <c r="D247" t="inlineStr">
        <is>
          <t>VÄSTMANLANDS LÄN</t>
        </is>
      </c>
      <c r="E247" t="inlineStr">
        <is>
          <t>VÄSTERÅS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54537-2024</t>
        </is>
      </c>
      <c r="B248" s="1" t="n">
        <v>45617.60714120371</v>
      </c>
      <c r="C248" s="1" t="n">
        <v>46045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58085-2022</t>
        </is>
      </c>
      <c r="B249" s="1" t="n">
        <v>44900.62505787037</v>
      </c>
      <c r="C249" s="1" t="n">
        <v>46045</v>
      </c>
      <c r="D249" t="inlineStr">
        <is>
          <t>VÄSTMANLANDS LÄN</t>
        </is>
      </c>
      <c r="E249" t="inlineStr">
        <is>
          <t>VÄSTERÅS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28443-2025</t>
        </is>
      </c>
      <c r="B250" s="1" t="n">
        <v>45819.39668981481</v>
      </c>
      <c r="C250" s="1" t="n">
        <v>46045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Allmännings- och besparingsskogar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30096-2023</t>
        </is>
      </c>
      <c r="B251" s="1" t="n">
        <v>45110</v>
      </c>
      <c r="C251" s="1" t="n">
        <v>46045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64207-2023</t>
        </is>
      </c>
      <c r="B252" s="1" t="n">
        <v>45279.73480324074</v>
      </c>
      <c r="C252" s="1" t="n">
        <v>46045</v>
      </c>
      <c r="D252" t="inlineStr">
        <is>
          <t>VÄSTMANLANDS LÄN</t>
        </is>
      </c>
      <c r="E252" t="inlineStr">
        <is>
          <t>VÄSTERÅS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56300-2025</t>
        </is>
      </c>
      <c r="B253" s="1" t="n">
        <v>45974.60678240741</v>
      </c>
      <c r="C253" s="1" t="n">
        <v>46045</v>
      </c>
      <c r="D253" t="inlineStr">
        <is>
          <t>VÄSTMANLANDS LÄN</t>
        </is>
      </c>
      <c r="E253" t="inlineStr">
        <is>
          <t>VÄSTERÅS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55980-2025</t>
        </is>
      </c>
      <c r="B254" s="1" t="n">
        <v>45973.52245370371</v>
      </c>
      <c r="C254" s="1" t="n">
        <v>46045</v>
      </c>
      <c r="D254" t="inlineStr">
        <is>
          <t>VÄSTMANLANDS LÄN</t>
        </is>
      </c>
      <c r="E254" t="inlineStr">
        <is>
          <t>VÄSTERÅS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51572-2023</t>
        </is>
      </c>
      <c r="B255" s="1" t="n">
        <v>45222</v>
      </c>
      <c r="C255" s="1" t="n">
        <v>46045</v>
      </c>
      <c r="D255" t="inlineStr">
        <is>
          <t>VÄSTMANLANDS LÄN</t>
        </is>
      </c>
      <c r="E255" t="inlineStr">
        <is>
          <t>VÄSTERÅS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56016-2025</t>
        </is>
      </c>
      <c r="B256" s="1" t="n">
        <v>45973.58966435185</v>
      </c>
      <c r="C256" s="1" t="n">
        <v>46045</v>
      </c>
      <c r="D256" t="inlineStr">
        <is>
          <t>VÄSTMANLANDS LÄN</t>
        </is>
      </c>
      <c r="E256" t="inlineStr">
        <is>
          <t>VÄSTERÅS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18155-2025</t>
        </is>
      </c>
      <c r="B257" s="1" t="n">
        <v>45761.62292824074</v>
      </c>
      <c r="C257" s="1" t="n">
        <v>46045</v>
      </c>
      <c r="D257" t="inlineStr">
        <is>
          <t>VÄSTMANLANDS LÄN</t>
        </is>
      </c>
      <c r="E257" t="inlineStr">
        <is>
          <t>VÄSTERÅS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59765-2023</t>
        </is>
      </c>
      <c r="B258" s="1" t="n">
        <v>45257</v>
      </c>
      <c r="C258" s="1" t="n">
        <v>46045</v>
      </c>
      <c r="D258" t="inlineStr">
        <is>
          <t>VÄSTMANLANDS LÄN</t>
        </is>
      </c>
      <c r="E258" t="inlineStr">
        <is>
          <t>VÄSTERÅS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58231-2022</t>
        </is>
      </c>
      <c r="B259" s="1" t="n">
        <v>44901.38724537037</v>
      </c>
      <c r="C259" s="1" t="n">
        <v>46045</v>
      </c>
      <c r="D259" t="inlineStr">
        <is>
          <t>VÄSTMANLANDS LÄN</t>
        </is>
      </c>
      <c r="E259" t="inlineStr">
        <is>
          <t>VÄSTERÅS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57327-2025</t>
        </is>
      </c>
      <c r="B260" s="1" t="n">
        <v>45980</v>
      </c>
      <c r="C260" s="1" t="n">
        <v>46045</v>
      </c>
      <c r="D260" t="inlineStr">
        <is>
          <t>VÄSTMANLANDS LÄN</t>
        </is>
      </c>
      <c r="E260" t="inlineStr">
        <is>
          <t>VÄSTERÅS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57104-2025</t>
        </is>
      </c>
      <c r="B261" s="1" t="n">
        <v>45979</v>
      </c>
      <c r="C261" s="1" t="n">
        <v>46045</v>
      </c>
      <c r="D261" t="inlineStr">
        <is>
          <t>VÄSTMANLANDS LÄN</t>
        </is>
      </c>
      <c r="E261" t="inlineStr">
        <is>
          <t>VÄSTERÅS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57114-2025</t>
        </is>
      </c>
      <c r="B262" s="1" t="n">
        <v>45979</v>
      </c>
      <c r="C262" s="1" t="n">
        <v>46045</v>
      </c>
      <c r="D262" t="inlineStr">
        <is>
          <t>VÄSTMANLANDS LÄN</t>
        </is>
      </c>
      <c r="E262" t="inlineStr">
        <is>
          <t>VÄSTERÅS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57102-2025</t>
        </is>
      </c>
      <c r="B263" s="1" t="n">
        <v>45979</v>
      </c>
      <c r="C263" s="1" t="n">
        <v>46045</v>
      </c>
      <c r="D263" t="inlineStr">
        <is>
          <t>VÄSTMANLANDS LÄN</t>
        </is>
      </c>
      <c r="E263" t="inlineStr">
        <is>
          <t>VÄSTERÅS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54536-2024</t>
        </is>
      </c>
      <c r="B264" s="1" t="n">
        <v>45617.6058449074</v>
      </c>
      <c r="C264" s="1" t="n">
        <v>46045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Sveaskog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31587-2025</t>
        </is>
      </c>
      <c r="B265" s="1" t="n">
        <v>45833</v>
      </c>
      <c r="C265" s="1" t="n">
        <v>46045</v>
      </c>
      <c r="D265" t="inlineStr">
        <is>
          <t>VÄSTMANLANDS LÄN</t>
        </is>
      </c>
      <c r="E265" t="inlineStr">
        <is>
          <t>VÄSTERÅS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73601-2021</t>
        </is>
      </c>
      <c r="B266" s="1" t="n">
        <v>44552.39164351852</v>
      </c>
      <c r="C266" s="1" t="n">
        <v>46045</v>
      </c>
      <c r="D266" t="inlineStr">
        <is>
          <t>VÄSTMANLANDS LÄN</t>
        </is>
      </c>
      <c r="E266" t="inlineStr">
        <is>
          <t>VÄSTERÅS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31569-2025</t>
        </is>
      </c>
      <c r="B267" s="1" t="n">
        <v>45833.66190972222</v>
      </c>
      <c r="C267" s="1" t="n">
        <v>46045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982-2026</t>
        </is>
      </c>
      <c r="B268" s="1" t="n">
        <v>46030.57869212963</v>
      </c>
      <c r="C268" s="1" t="n">
        <v>46045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Allmännings- och besparingsskogar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32053-2023</t>
        </is>
      </c>
      <c r="B269" s="1" t="n">
        <v>45119</v>
      </c>
      <c r="C269" s="1" t="n">
        <v>46045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38381-2022</t>
        </is>
      </c>
      <c r="B270" s="1" t="n">
        <v>44812</v>
      </c>
      <c r="C270" s="1" t="n">
        <v>46045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24402-2024</t>
        </is>
      </c>
      <c r="B271" s="1" t="n">
        <v>45457</v>
      </c>
      <c r="C271" s="1" t="n">
        <v>46045</v>
      </c>
      <c r="D271" t="inlineStr">
        <is>
          <t>VÄSTMANLANDS LÄN</t>
        </is>
      </c>
      <c r="E271" t="inlineStr">
        <is>
          <t>VÄSTERÅS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58395-2022</t>
        </is>
      </c>
      <c r="B272" s="1" t="n">
        <v>44901</v>
      </c>
      <c r="C272" s="1" t="n">
        <v>46045</v>
      </c>
      <c r="D272" t="inlineStr">
        <is>
          <t>VÄSTMANLANDS LÄN</t>
        </is>
      </c>
      <c r="E272" t="inlineStr">
        <is>
          <t>VÄSTERÅS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32834-2025</t>
        </is>
      </c>
      <c r="B273" s="1" t="n">
        <v>45839.55408564815</v>
      </c>
      <c r="C273" s="1" t="n">
        <v>46045</v>
      </c>
      <c r="D273" t="inlineStr">
        <is>
          <t>VÄSTMANLANDS LÄN</t>
        </is>
      </c>
      <c r="E273" t="inlineStr">
        <is>
          <t>VÄSTERÅS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35700-2024</t>
        </is>
      </c>
      <c r="B274" s="1" t="n">
        <v>45532.44508101852</v>
      </c>
      <c r="C274" s="1" t="n">
        <v>46045</v>
      </c>
      <c r="D274" t="inlineStr">
        <is>
          <t>VÄSTMANLANDS LÄN</t>
        </is>
      </c>
      <c r="E274" t="inlineStr">
        <is>
          <t>VÄSTERÅS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59142-2025</t>
        </is>
      </c>
      <c r="B275" s="1" t="n">
        <v>45988.51334490741</v>
      </c>
      <c r="C275" s="1" t="n">
        <v>46045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74314-2021</t>
        </is>
      </c>
      <c r="B276" s="1" t="n">
        <v>44559</v>
      </c>
      <c r="C276" s="1" t="n">
        <v>46045</v>
      </c>
      <c r="D276" t="inlineStr">
        <is>
          <t>VÄSTMANLANDS LÄN</t>
        </is>
      </c>
      <c r="E276" t="inlineStr">
        <is>
          <t>VÄSTERÅS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15907-2025</t>
        </is>
      </c>
      <c r="B277" s="1" t="n">
        <v>45749</v>
      </c>
      <c r="C277" s="1" t="n">
        <v>46045</v>
      </c>
      <c r="D277" t="inlineStr">
        <is>
          <t>VÄSTMANLANDS LÄN</t>
        </is>
      </c>
      <c r="E277" t="inlineStr">
        <is>
          <t>VÄSTERÅS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32851-2024</t>
        </is>
      </c>
      <c r="B278" s="1" t="n">
        <v>45516.63484953704</v>
      </c>
      <c r="C278" s="1" t="n">
        <v>46045</v>
      </c>
      <c r="D278" t="inlineStr">
        <is>
          <t>VÄSTMANLANDS LÄN</t>
        </is>
      </c>
      <c r="E278" t="inlineStr">
        <is>
          <t>VÄSTERÅS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53833-2022</t>
        </is>
      </c>
      <c r="B279" s="1" t="n">
        <v>44880</v>
      </c>
      <c r="C279" s="1" t="n">
        <v>46045</v>
      </c>
      <c r="D279" t="inlineStr">
        <is>
          <t>VÄSTMANLANDS LÄN</t>
        </is>
      </c>
      <c r="E279" t="inlineStr">
        <is>
          <t>VÄSTERÅS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5604-2022</t>
        </is>
      </c>
      <c r="B280" s="1" t="n">
        <v>44595.68612268518</v>
      </c>
      <c r="C280" s="1" t="n">
        <v>46045</v>
      </c>
      <c r="D280" t="inlineStr">
        <is>
          <t>VÄSTMANLANDS LÄN</t>
        </is>
      </c>
      <c r="E280" t="inlineStr">
        <is>
          <t>VÄSTERÅS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53836-2022</t>
        </is>
      </c>
      <c r="B281" s="1" t="n">
        <v>44880</v>
      </c>
      <c r="C281" s="1" t="n">
        <v>46045</v>
      </c>
      <c r="D281" t="inlineStr">
        <is>
          <t>VÄSTMANLANDS LÄN</t>
        </is>
      </c>
      <c r="E281" t="inlineStr">
        <is>
          <t>VÄSTERÅS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31361-2025</t>
        </is>
      </c>
      <c r="B282" s="1" t="n">
        <v>45833.43606481481</v>
      </c>
      <c r="C282" s="1" t="n">
        <v>46045</v>
      </c>
      <c r="D282" t="inlineStr">
        <is>
          <t>VÄSTMANLANDS LÄN</t>
        </is>
      </c>
      <c r="E282" t="inlineStr">
        <is>
          <t>VÄSTERÅS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41849-2024</t>
        </is>
      </c>
      <c r="B283" s="1" t="n">
        <v>45561</v>
      </c>
      <c r="C283" s="1" t="n">
        <v>46045</v>
      </c>
      <c r="D283" t="inlineStr">
        <is>
          <t>VÄSTMANLANDS LÄN</t>
        </is>
      </c>
      <c r="E283" t="inlineStr">
        <is>
          <t>VÄSTERÅS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31578-2025</t>
        </is>
      </c>
      <c r="B284" s="1" t="n">
        <v>45833</v>
      </c>
      <c r="C284" s="1" t="n">
        <v>46045</v>
      </c>
      <c r="D284" t="inlineStr">
        <is>
          <t>VÄSTMANLANDS LÄN</t>
        </is>
      </c>
      <c r="E284" t="inlineStr">
        <is>
          <t>VÄSTERÅS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35788-2025</t>
        </is>
      </c>
      <c r="B285" s="1" t="n">
        <v>45860</v>
      </c>
      <c r="C285" s="1" t="n">
        <v>46045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50948-2023</t>
        </is>
      </c>
      <c r="B286" s="1" t="n">
        <v>45218</v>
      </c>
      <c r="C286" s="1" t="n">
        <v>46045</v>
      </c>
      <c r="D286" t="inlineStr">
        <is>
          <t>VÄSTMANLANDS LÄN</t>
        </is>
      </c>
      <c r="E286" t="inlineStr">
        <is>
          <t>VÄSTERÅS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32861-2024</t>
        </is>
      </c>
      <c r="B287" s="1" t="n">
        <v>45516.64833333333</v>
      </c>
      <c r="C287" s="1" t="n">
        <v>46045</v>
      </c>
      <c r="D287" t="inlineStr">
        <is>
          <t>VÄSTMANLANDS LÄN</t>
        </is>
      </c>
      <c r="E287" t="inlineStr">
        <is>
          <t>VÄSTERÅS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37022-2025</t>
        </is>
      </c>
      <c r="B288" s="1" t="n">
        <v>45874</v>
      </c>
      <c r="C288" s="1" t="n">
        <v>46045</v>
      </c>
      <c r="D288" t="inlineStr">
        <is>
          <t>VÄSTMANLANDS LÄN</t>
        </is>
      </c>
      <c r="E288" t="inlineStr">
        <is>
          <t>VÄSTERÅS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12258-2022</t>
        </is>
      </c>
      <c r="B289" s="1" t="n">
        <v>44637</v>
      </c>
      <c r="C289" s="1" t="n">
        <v>46045</v>
      </c>
      <c r="D289" t="inlineStr">
        <is>
          <t>VÄSTMANLANDS LÄN</t>
        </is>
      </c>
      <c r="E289" t="inlineStr">
        <is>
          <t>VÄSTERÅS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16214-2023</t>
        </is>
      </c>
      <c r="B290" s="1" t="n">
        <v>45028</v>
      </c>
      <c r="C290" s="1" t="n">
        <v>46045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38432-2023</t>
        </is>
      </c>
      <c r="B291" s="1" t="n">
        <v>45160</v>
      </c>
      <c r="C291" s="1" t="n">
        <v>46045</v>
      </c>
      <c r="D291" t="inlineStr">
        <is>
          <t>VÄSTMANLANDS LÄN</t>
        </is>
      </c>
      <c r="E291" t="inlineStr">
        <is>
          <t>VÄSTERÅS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38436-2023</t>
        </is>
      </c>
      <c r="B292" s="1" t="n">
        <v>45160</v>
      </c>
      <c r="C292" s="1" t="n">
        <v>46045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49234-2024</t>
        </is>
      </c>
      <c r="B293" s="1" t="n">
        <v>45595</v>
      </c>
      <c r="C293" s="1" t="n">
        <v>46045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Övriga Aktiebolag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31106-2025</t>
        </is>
      </c>
      <c r="B294" s="1" t="n">
        <v>45832.6050462963</v>
      </c>
      <c r="C294" s="1" t="n">
        <v>46045</v>
      </c>
      <c r="D294" t="inlineStr">
        <is>
          <t>VÄSTMANLANDS LÄN</t>
        </is>
      </c>
      <c r="E294" t="inlineStr">
        <is>
          <t>VÄSTERÅS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8800-2023</t>
        </is>
      </c>
      <c r="B295" s="1" t="n">
        <v>44978.59603009259</v>
      </c>
      <c r="C295" s="1" t="n">
        <v>46045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41344-2023</t>
        </is>
      </c>
      <c r="B296" s="1" t="n">
        <v>45174</v>
      </c>
      <c r="C296" s="1" t="n">
        <v>46045</v>
      </c>
      <c r="D296" t="inlineStr">
        <is>
          <t>VÄSTMANLANDS LÄN</t>
        </is>
      </c>
      <c r="E296" t="inlineStr">
        <is>
          <t>VÄSTERÅS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32998-2023</t>
        </is>
      </c>
      <c r="B297" s="1" t="n">
        <v>45125</v>
      </c>
      <c r="C297" s="1" t="n">
        <v>46045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18465-2023</t>
        </is>
      </c>
      <c r="B298" s="1" t="n">
        <v>45042</v>
      </c>
      <c r="C298" s="1" t="n">
        <v>46045</v>
      </c>
      <c r="D298" t="inlineStr">
        <is>
          <t>VÄSTMANLANDS LÄN</t>
        </is>
      </c>
      <c r="E298" t="inlineStr">
        <is>
          <t>VÄSTERÅS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59520-2024</t>
        </is>
      </c>
      <c r="B299" s="1" t="n">
        <v>45638</v>
      </c>
      <c r="C299" s="1" t="n">
        <v>46045</v>
      </c>
      <c r="D299" t="inlineStr">
        <is>
          <t>VÄSTMANLANDS LÄN</t>
        </is>
      </c>
      <c r="E299" t="inlineStr">
        <is>
          <t>VÄSTERÅS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73994-2021</t>
        </is>
      </c>
      <c r="B300" s="1" t="n">
        <v>44556</v>
      </c>
      <c r="C300" s="1" t="n">
        <v>46045</v>
      </c>
      <c r="D300" t="inlineStr">
        <is>
          <t>VÄSTMANLANDS LÄN</t>
        </is>
      </c>
      <c r="E300" t="inlineStr">
        <is>
          <t>VÄSTERÅS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56902-2024</t>
        </is>
      </c>
      <c r="B301" s="1" t="n">
        <v>45628</v>
      </c>
      <c r="C301" s="1" t="n">
        <v>46045</v>
      </c>
      <c r="D301" t="inlineStr">
        <is>
          <t>VÄSTMANLANDS LÄN</t>
        </is>
      </c>
      <c r="E301" t="inlineStr">
        <is>
          <t>VÄSTERÅS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73597-2021</t>
        </is>
      </c>
      <c r="B302" s="1" t="n">
        <v>44552.38523148148</v>
      </c>
      <c r="C302" s="1" t="n">
        <v>46045</v>
      </c>
      <c r="D302" t="inlineStr">
        <is>
          <t>VÄSTMANLANDS LÄN</t>
        </is>
      </c>
      <c r="E302" t="inlineStr">
        <is>
          <t>VÄSTERÅS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13376-2022</t>
        </is>
      </c>
      <c r="B303" s="1" t="n">
        <v>44645</v>
      </c>
      <c r="C303" s="1" t="n">
        <v>46045</v>
      </c>
      <c r="D303" t="inlineStr">
        <is>
          <t>VÄSTMANLANDS LÄN</t>
        </is>
      </c>
      <c r="E303" t="inlineStr">
        <is>
          <t>VÄSTERÅS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31618-2024</t>
        </is>
      </c>
      <c r="B304" s="1" t="n">
        <v>45506</v>
      </c>
      <c r="C304" s="1" t="n">
        <v>46045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Kommuner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67350-2021</t>
        </is>
      </c>
      <c r="B305" s="1" t="n">
        <v>44523</v>
      </c>
      <c r="C305" s="1" t="n">
        <v>46045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46189-2023</t>
        </is>
      </c>
      <c r="B306" s="1" t="n">
        <v>45196</v>
      </c>
      <c r="C306" s="1" t="n">
        <v>46045</v>
      </c>
      <c r="D306" t="inlineStr">
        <is>
          <t>VÄSTMANLANDS LÄN</t>
        </is>
      </c>
      <c r="E306" t="inlineStr">
        <is>
          <t>VÄSTERÅS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12131-2022</t>
        </is>
      </c>
      <c r="B307" s="1" t="n">
        <v>44636</v>
      </c>
      <c r="C307" s="1" t="n">
        <v>46045</v>
      </c>
      <c r="D307" t="inlineStr">
        <is>
          <t>VÄSTMANLANDS LÄN</t>
        </is>
      </c>
      <c r="E307" t="inlineStr">
        <is>
          <t>VÄSTERÅS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7378-2022</t>
        </is>
      </c>
      <c r="B308" s="1" t="n">
        <v>44606.61012731482</v>
      </c>
      <c r="C308" s="1" t="n">
        <v>46045</v>
      </c>
      <c r="D308" t="inlineStr">
        <is>
          <t>VÄSTMANLANDS LÄN</t>
        </is>
      </c>
      <c r="E308" t="inlineStr">
        <is>
          <t>VÄSTERÅS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40304-2023</t>
        </is>
      </c>
      <c r="B309" s="1" t="n">
        <v>45169</v>
      </c>
      <c r="C309" s="1" t="n">
        <v>46045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10496-2022</t>
        </is>
      </c>
      <c r="B310" s="1" t="n">
        <v>44623.65987268519</v>
      </c>
      <c r="C310" s="1" t="n">
        <v>46045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15201-2022</t>
        </is>
      </c>
      <c r="B311" s="1" t="n">
        <v>44658</v>
      </c>
      <c r="C311" s="1" t="n">
        <v>46045</v>
      </c>
      <c r="D311" t="inlineStr">
        <is>
          <t>VÄSTMANLANDS LÄN</t>
        </is>
      </c>
      <c r="E311" t="inlineStr">
        <is>
          <t>VÄSTERÅS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11983-2022</t>
        </is>
      </c>
      <c r="B312" s="1" t="n">
        <v>44635.68010416667</v>
      </c>
      <c r="C312" s="1" t="n">
        <v>46045</v>
      </c>
      <c r="D312" t="inlineStr">
        <is>
          <t>VÄSTMANLANDS LÄN</t>
        </is>
      </c>
      <c r="E312" t="inlineStr">
        <is>
          <t>VÄSTERÅS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11989-2022</t>
        </is>
      </c>
      <c r="B313" s="1" t="n">
        <v>44635.69003472223</v>
      </c>
      <c r="C313" s="1" t="n">
        <v>46045</v>
      </c>
      <c r="D313" t="inlineStr">
        <is>
          <t>VÄSTMANLANDS LÄN</t>
        </is>
      </c>
      <c r="E313" t="inlineStr">
        <is>
          <t>VÄSTERÅS</t>
        </is>
      </c>
      <c r="G313" t="n">
        <v>12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8357-2022</t>
        </is>
      </c>
      <c r="B314" s="1" t="n">
        <v>44610.6044212963</v>
      </c>
      <c r="C314" s="1" t="n">
        <v>46045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8362-2022</t>
        </is>
      </c>
      <c r="B315" s="1" t="n">
        <v>44610.60694444444</v>
      </c>
      <c r="C315" s="1" t="n">
        <v>46045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Sveaskog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11950-2022</t>
        </is>
      </c>
      <c r="B316" s="1" t="n">
        <v>44635</v>
      </c>
      <c r="C316" s="1" t="n">
        <v>46045</v>
      </c>
      <c r="D316" t="inlineStr">
        <is>
          <t>VÄSTMANLANDS LÄN</t>
        </is>
      </c>
      <c r="E316" t="inlineStr">
        <is>
          <t>VÄSTERÅS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2523-2025</t>
        </is>
      </c>
      <c r="B317" s="1" t="n">
        <v>45674</v>
      </c>
      <c r="C317" s="1" t="n">
        <v>46045</v>
      </c>
      <c r="D317" t="inlineStr">
        <is>
          <t>VÄSTMANLANDS LÄN</t>
        </is>
      </c>
      <c r="E317" t="inlineStr">
        <is>
          <t>VÄSTERÅS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21761-2022</t>
        </is>
      </c>
      <c r="B318" s="1" t="n">
        <v>44708.4474537037</v>
      </c>
      <c r="C318" s="1" t="n">
        <v>46045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7439-2025</t>
        </is>
      </c>
      <c r="B319" s="1" t="n">
        <v>45705.39998842592</v>
      </c>
      <c r="C319" s="1" t="n">
        <v>46045</v>
      </c>
      <c r="D319" t="inlineStr">
        <is>
          <t>VÄSTMANLANDS LÄN</t>
        </is>
      </c>
      <c r="E319" t="inlineStr">
        <is>
          <t>VÄSTERÅS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42257-2023</t>
        </is>
      </c>
      <c r="B320" s="1" t="n">
        <v>45180</v>
      </c>
      <c r="C320" s="1" t="n">
        <v>46045</v>
      </c>
      <c r="D320" t="inlineStr">
        <is>
          <t>VÄSTMANLANDS LÄN</t>
        </is>
      </c>
      <c r="E320" t="inlineStr">
        <is>
          <t>VÄSTERÅS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17725-2022</t>
        </is>
      </c>
      <c r="B321" s="1" t="n">
        <v>44680.71219907407</v>
      </c>
      <c r="C321" s="1" t="n">
        <v>46045</v>
      </c>
      <c r="D321" t="inlineStr">
        <is>
          <t>VÄSTMANLANDS LÄN</t>
        </is>
      </c>
      <c r="E321" t="inlineStr">
        <is>
          <t>VÄSTERÅS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27722-2022</t>
        </is>
      </c>
      <c r="B322" s="1" t="n">
        <v>44743</v>
      </c>
      <c r="C322" s="1" t="n">
        <v>46045</v>
      </c>
      <c r="D322" t="inlineStr">
        <is>
          <t>VÄSTMANLANDS LÄN</t>
        </is>
      </c>
      <c r="E322" t="inlineStr">
        <is>
          <t>VÄSTERÅS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36641-2023</t>
        </is>
      </c>
      <c r="B323" s="1" t="n">
        <v>45153</v>
      </c>
      <c r="C323" s="1" t="n">
        <v>46045</v>
      </c>
      <c r="D323" t="inlineStr">
        <is>
          <t>VÄSTMANLANDS LÄN</t>
        </is>
      </c>
      <c r="E323" t="inlineStr">
        <is>
          <t>VÄSTERÅS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51223-2023</t>
        </is>
      </c>
      <c r="B324" s="1" t="n">
        <v>45219.45563657407</v>
      </c>
      <c r="C324" s="1" t="n">
        <v>46045</v>
      </c>
      <c r="D324" t="inlineStr">
        <is>
          <t>VÄSTMANLANDS LÄN</t>
        </is>
      </c>
      <c r="E324" t="inlineStr">
        <is>
          <t>VÄSTERÅS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15889-2022</t>
        </is>
      </c>
      <c r="B325" s="1" t="n">
        <v>44664</v>
      </c>
      <c r="C325" s="1" t="n">
        <v>46045</v>
      </c>
      <c r="D325" t="inlineStr">
        <is>
          <t>VÄSTMANLANDS LÄN</t>
        </is>
      </c>
      <c r="E325" t="inlineStr">
        <is>
          <t>VÄSTERÅS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63483-2023</t>
        </is>
      </c>
      <c r="B326" s="1" t="n">
        <v>45274.65981481481</v>
      </c>
      <c r="C326" s="1" t="n">
        <v>46045</v>
      </c>
      <c r="D326" t="inlineStr">
        <is>
          <t>VÄSTMANLANDS LÄN</t>
        </is>
      </c>
      <c r="E326" t="inlineStr">
        <is>
          <t>VÄSTERÅS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51230-2023</t>
        </is>
      </c>
      <c r="B327" s="1" t="n">
        <v>45219.46137731482</v>
      </c>
      <c r="C327" s="1" t="n">
        <v>46045</v>
      </c>
      <c r="D327" t="inlineStr">
        <is>
          <t>VÄSTMANLANDS LÄN</t>
        </is>
      </c>
      <c r="E327" t="inlineStr">
        <is>
          <t>VÄSTERÅS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23765-2022</t>
        </is>
      </c>
      <c r="B328" s="1" t="n">
        <v>44722.38237268518</v>
      </c>
      <c r="C328" s="1" t="n">
        <v>46045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26556-2022</t>
        </is>
      </c>
      <c r="B329" s="1" t="n">
        <v>44739.47778935185</v>
      </c>
      <c r="C329" s="1" t="n">
        <v>46045</v>
      </c>
      <c r="D329" t="inlineStr">
        <is>
          <t>VÄSTMANLANDS LÄN</t>
        </is>
      </c>
      <c r="E329" t="inlineStr">
        <is>
          <t>VÄSTERÅS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26568-2022</t>
        </is>
      </c>
      <c r="B330" s="1" t="n">
        <v>44739</v>
      </c>
      <c r="C330" s="1" t="n">
        <v>46045</v>
      </c>
      <c r="D330" t="inlineStr">
        <is>
          <t>VÄSTMANLANDS LÄN</t>
        </is>
      </c>
      <c r="E330" t="inlineStr">
        <is>
          <t>VÄSTERÅS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64202-2023</t>
        </is>
      </c>
      <c r="B331" s="1" t="n">
        <v>45279.7046412037</v>
      </c>
      <c r="C331" s="1" t="n">
        <v>46045</v>
      </c>
      <c r="D331" t="inlineStr">
        <is>
          <t>VÄSTMANLANDS LÄN</t>
        </is>
      </c>
      <c r="E331" t="inlineStr">
        <is>
          <t>VÄSTERÅS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64793-2023</t>
        </is>
      </c>
      <c r="B332" s="1" t="n">
        <v>45282.36827546296</v>
      </c>
      <c r="C332" s="1" t="n">
        <v>46045</v>
      </c>
      <c r="D332" t="inlineStr">
        <is>
          <t>VÄSTMANLANDS LÄN</t>
        </is>
      </c>
      <c r="E332" t="inlineStr">
        <is>
          <t>VÄSTERÅS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15050-2025</t>
        </is>
      </c>
      <c r="B333" s="1" t="n">
        <v>45743</v>
      </c>
      <c r="C333" s="1" t="n">
        <v>46045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51147-2023</t>
        </is>
      </c>
      <c r="B334" s="1" t="n">
        <v>45219.3633912037</v>
      </c>
      <c r="C334" s="1" t="n">
        <v>46045</v>
      </c>
      <c r="D334" t="inlineStr">
        <is>
          <t>VÄSTMANLANDS LÄN</t>
        </is>
      </c>
      <c r="E334" t="inlineStr">
        <is>
          <t>VÄSTERÅS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18131-2025</t>
        </is>
      </c>
      <c r="B335" s="1" t="n">
        <v>45761.60011574074</v>
      </c>
      <c r="C335" s="1" t="n">
        <v>46045</v>
      </c>
      <c r="D335" t="inlineStr">
        <is>
          <t>VÄSTMANLANDS LÄN</t>
        </is>
      </c>
      <c r="E335" t="inlineStr">
        <is>
          <t>VÄSTERÅS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13614-2022</t>
        </is>
      </c>
      <c r="B336" s="1" t="n">
        <v>44648.55094907407</v>
      </c>
      <c r="C336" s="1" t="n">
        <v>46045</v>
      </c>
      <c r="D336" t="inlineStr">
        <is>
          <t>VÄSTMANLANDS LÄN</t>
        </is>
      </c>
      <c r="E336" t="inlineStr">
        <is>
          <t>VÄSTERÅS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46116-2022</t>
        </is>
      </c>
      <c r="B337" s="1" t="n">
        <v>44847.42292824074</v>
      </c>
      <c r="C337" s="1" t="n">
        <v>46045</v>
      </c>
      <c r="D337" t="inlineStr">
        <is>
          <t>VÄSTMANLANDS LÄN</t>
        </is>
      </c>
      <c r="E337" t="inlineStr">
        <is>
          <t>VÄSTERÅS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38329-2021</t>
        </is>
      </c>
      <c r="B338" s="1" t="n">
        <v>44405</v>
      </c>
      <c r="C338" s="1" t="n">
        <v>46045</v>
      </c>
      <c r="D338" t="inlineStr">
        <is>
          <t>VÄSTMANLANDS LÄN</t>
        </is>
      </c>
      <c r="E338" t="inlineStr">
        <is>
          <t>VÄSTERÅS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5724-2023</t>
        </is>
      </c>
      <c r="B339" s="1" t="n">
        <v>44961</v>
      </c>
      <c r="C339" s="1" t="n">
        <v>46045</v>
      </c>
      <c r="D339" t="inlineStr">
        <is>
          <t>VÄSTMANLANDS LÄN</t>
        </is>
      </c>
      <c r="E339" t="inlineStr">
        <is>
          <t>VÄSTERÅS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14799-2024</t>
        </is>
      </c>
      <c r="B340" s="1" t="n">
        <v>45397</v>
      </c>
      <c r="C340" s="1" t="n">
        <v>46045</v>
      </c>
      <c r="D340" t="inlineStr">
        <is>
          <t>VÄSTMANLANDS LÄN</t>
        </is>
      </c>
      <c r="E340" t="inlineStr">
        <is>
          <t>VÄSTERÅS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67352-2021</t>
        </is>
      </c>
      <c r="B341" s="1" t="n">
        <v>44523</v>
      </c>
      <c r="C341" s="1" t="n">
        <v>46045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Övriga Aktiebolag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16497-2022</t>
        </is>
      </c>
      <c r="B342" s="1" t="n">
        <v>44671</v>
      </c>
      <c r="C342" s="1" t="n">
        <v>46045</v>
      </c>
      <c r="D342" t="inlineStr">
        <is>
          <t>VÄSTMANLANDS LÄN</t>
        </is>
      </c>
      <c r="E342" t="inlineStr">
        <is>
          <t>VÄSTERÅS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26475-2024</t>
        </is>
      </c>
      <c r="B343" s="1" t="n">
        <v>45469</v>
      </c>
      <c r="C343" s="1" t="n">
        <v>46045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Kommuner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22700-2024</t>
        </is>
      </c>
      <c r="B344" s="1" t="n">
        <v>45448.33162037037</v>
      </c>
      <c r="C344" s="1" t="n">
        <v>46045</v>
      </c>
      <c r="D344" t="inlineStr">
        <is>
          <t>VÄSTMANLANDS LÄN</t>
        </is>
      </c>
      <c r="E344" t="inlineStr">
        <is>
          <t>VÄSTERÅS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14926-2022</t>
        </is>
      </c>
      <c r="B345" s="1" t="n">
        <v>44657</v>
      </c>
      <c r="C345" s="1" t="n">
        <v>46045</v>
      </c>
      <c r="D345" t="inlineStr">
        <is>
          <t>VÄSTMANLANDS LÄN</t>
        </is>
      </c>
      <c r="E345" t="inlineStr">
        <is>
          <t>VÄSTERÅS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29746-2022</t>
        </is>
      </c>
      <c r="B346" s="1" t="n">
        <v>44755</v>
      </c>
      <c r="C346" s="1" t="n">
        <v>46045</v>
      </c>
      <c r="D346" t="inlineStr">
        <is>
          <t>VÄSTMANLANDS LÄN</t>
        </is>
      </c>
      <c r="E346" t="inlineStr">
        <is>
          <t>VÄSTERÅS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11137-2023</t>
        </is>
      </c>
      <c r="B347" s="1" t="n">
        <v>44987</v>
      </c>
      <c r="C347" s="1" t="n">
        <v>46045</v>
      </c>
      <c r="D347" t="inlineStr">
        <is>
          <t>VÄSTMANLANDS LÄN</t>
        </is>
      </c>
      <c r="E347" t="inlineStr">
        <is>
          <t>VÄSTERÅS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15348-2023</t>
        </is>
      </c>
      <c r="B348" s="1" t="n">
        <v>45019</v>
      </c>
      <c r="C348" s="1" t="n">
        <v>46045</v>
      </c>
      <c r="D348" t="inlineStr">
        <is>
          <t>VÄSTMANLANDS LÄN</t>
        </is>
      </c>
      <c r="E348" t="inlineStr">
        <is>
          <t>VÄSTERÅS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8346-2022</t>
        </is>
      </c>
      <c r="B349" s="1" t="n">
        <v>44610</v>
      </c>
      <c r="C349" s="1" t="n">
        <v>46045</v>
      </c>
      <c r="D349" t="inlineStr">
        <is>
          <t>VÄSTMANLANDS LÄN</t>
        </is>
      </c>
      <c r="E349" t="inlineStr">
        <is>
          <t>VÄSTERÅS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21926-2024</t>
        </is>
      </c>
      <c r="B350" s="1" t="n">
        <v>45443.46515046297</v>
      </c>
      <c r="C350" s="1" t="n">
        <v>46045</v>
      </c>
      <c r="D350" t="inlineStr">
        <is>
          <t>VÄSTMANLANDS LÄN</t>
        </is>
      </c>
      <c r="E350" t="inlineStr">
        <is>
          <t>VÄSTERÅS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22832-2023</t>
        </is>
      </c>
      <c r="B351" s="1" t="n">
        <v>45072</v>
      </c>
      <c r="C351" s="1" t="n">
        <v>46045</v>
      </c>
      <c r="D351" t="inlineStr">
        <is>
          <t>VÄSTMANLANDS LÄN</t>
        </is>
      </c>
      <c r="E351" t="inlineStr">
        <is>
          <t>VÄSTERÅS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39817-2024</t>
        </is>
      </c>
      <c r="B352" s="1" t="n">
        <v>45553</v>
      </c>
      <c r="C352" s="1" t="n">
        <v>46045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Kyrkan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45804-2024</t>
        </is>
      </c>
      <c r="B353" s="1" t="n">
        <v>45579</v>
      </c>
      <c r="C353" s="1" t="n">
        <v>46045</v>
      </c>
      <c r="D353" t="inlineStr">
        <is>
          <t>VÄSTMANLANDS LÄN</t>
        </is>
      </c>
      <c r="E353" t="inlineStr">
        <is>
          <t>VÄSTERÅS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6785-2021</t>
        </is>
      </c>
      <c r="B354" s="1" t="n">
        <v>44236</v>
      </c>
      <c r="C354" s="1" t="n">
        <v>46045</v>
      </c>
      <c r="D354" t="inlineStr">
        <is>
          <t>VÄSTMANLANDS LÄN</t>
        </is>
      </c>
      <c r="E354" t="inlineStr">
        <is>
          <t>VÄSTERÅS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50193-2022</t>
        </is>
      </c>
      <c r="B355" s="1" t="n">
        <v>44865.61626157408</v>
      </c>
      <c r="C355" s="1" t="n">
        <v>46045</v>
      </c>
      <c r="D355" t="inlineStr">
        <is>
          <t>VÄSTMANLANDS LÄN</t>
        </is>
      </c>
      <c r="E355" t="inlineStr">
        <is>
          <t>VÄSTERÅS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6277-2022</t>
        </is>
      </c>
      <c r="B356" s="1" t="n">
        <v>44600.46858796296</v>
      </c>
      <c r="C356" s="1" t="n">
        <v>46045</v>
      </c>
      <c r="D356" t="inlineStr">
        <is>
          <t>VÄSTMANLANDS LÄN</t>
        </is>
      </c>
      <c r="E356" t="inlineStr">
        <is>
          <t>VÄSTERÅS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32341-2023</t>
        </is>
      </c>
      <c r="B357" s="1" t="n">
        <v>45110</v>
      </c>
      <c r="C357" s="1" t="n">
        <v>46045</v>
      </c>
      <c r="D357" t="inlineStr">
        <is>
          <t>VÄSTMANLANDS LÄN</t>
        </is>
      </c>
      <c r="E357" t="inlineStr">
        <is>
          <t>VÄSTERÅS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51004-2024</t>
        </is>
      </c>
      <c r="B358" s="1" t="n">
        <v>45603.38747685185</v>
      </c>
      <c r="C358" s="1" t="n">
        <v>46045</v>
      </c>
      <c r="D358" t="inlineStr">
        <is>
          <t>VÄSTMANLANDS LÄN</t>
        </is>
      </c>
      <c r="E358" t="inlineStr">
        <is>
          <t>VÄSTERÅS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9967-2021</t>
        </is>
      </c>
      <c r="B359" s="1" t="n">
        <v>44253</v>
      </c>
      <c r="C359" s="1" t="n">
        <v>46045</v>
      </c>
      <c r="D359" t="inlineStr">
        <is>
          <t>VÄSTMANLANDS LÄN</t>
        </is>
      </c>
      <c r="E359" t="inlineStr">
        <is>
          <t>VÄSTERÅS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9969-2021</t>
        </is>
      </c>
      <c r="B360" s="1" t="n">
        <v>44253</v>
      </c>
      <c r="C360" s="1" t="n">
        <v>46045</v>
      </c>
      <c r="D360" t="inlineStr">
        <is>
          <t>VÄSTMANLANDS LÄN</t>
        </is>
      </c>
      <c r="E360" t="inlineStr">
        <is>
          <t>VÄSTERÅS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61249-2021</t>
        </is>
      </c>
      <c r="B361" s="1" t="n">
        <v>44498</v>
      </c>
      <c r="C361" s="1" t="n">
        <v>46045</v>
      </c>
      <c r="D361" t="inlineStr">
        <is>
          <t>VÄSTMANLANDS LÄN</t>
        </is>
      </c>
      <c r="E361" t="inlineStr">
        <is>
          <t>VÄSTERÅS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2026-01-23T10:54:03Z</dcterms:created>
  <dcterms:modified xmlns:dcterms="http://purl.org/dc/terms/" xmlns:xsi="http://www.w3.org/2001/XMLSchema-instance" xsi:type="dcterms:W3CDTF">2026-01-23T10:54:03Z</dcterms:modified>
</cp:coreProperties>
</file>