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46218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46218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46218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46218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46218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s="2" t="inlineStr">
        <is>
          <t>Raggtaggsvamp
Knärot
Dropptaggsvamp
Orange taggsvamp
Tallticka
Ullticka
Blodticka
Blåmossa
Bronshjon
Grovticka
Grönpyrola
Smal svampklubba
Trådticka
Vedticka
Spillkråka</t>
        </is>
      </c>
      <c r="V6">
        <f>HYPERLINK("https://klasma.github.io/Logging_1980/artfynd/A 52775-2022 artfynd.xlsx", "A 52775-2022")</f>
        <v/>
      </c>
      <c r="W6">
        <f>HYPERLINK("https://klasma.github.io/Logging_1980/kartor/A 52775-2022 karta.png", "A 52775-2022")</f>
        <v/>
      </c>
      <c r="X6">
        <f>HYPERLINK("https://klasma.github.io/Logging_1980/knärot/A 52775-2022 karta knärot.png", "A 52775-2022")</f>
        <v/>
      </c>
      <c r="Y6">
        <f>HYPERLINK("https://klasma.github.io/Logging_1980/klagomål/A 52775-2022 FSC-klagomål.docx", "A 52775-2022")</f>
        <v/>
      </c>
      <c r="Z6">
        <f>HYPERLINK("https://klasma.github.io/Logging_1980/klagomålsmail/A 52775-2022 FSC-klagomål mail.docx", "A 52775-2022")</f>
        <v/>
      </c>
      <c r="AA6">
        <f>HYPERLINK("https://klasma.github.io/Logging_1980/tillsyn/A 52775-2022 tillsynsbegäran.docx", "A 52775-2022")</f>
        <v/>
      </c>
      <c r="AB6">
        <f>HYPERLINK("https://klasma.github.io/Logging_1980/tillsynsmail/A 52775-2022 tillsynsbegäran mail.docx", "A 52775-2022")</f>
        <v/>
      </c>
      <c r="AC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46218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7">
        <f>HYPERLINK("https://klasma.github.io/Logging_1980/artfynd/A 67268-2021 artfynd.xlsx", "A 67268-2021")</f>
        <v/>
      </c>
      <c r="W7">
        <f>HYPERLINK("https://klasma.github.io/Logging_1980/kartor/A 67268-2021 karta.png", "A 67268-2021")</f>
        <v/>
      </c>
      <c r="X7">
        <f>HYPERLINK("https://klasma.github.io/Logging_1980/knärot/A 67268-2021 karta knärot.png", "A 67268-2021")</f>
        <v/>
      </c>
      <c r="Y7">
        <f>HYPERLINK("https://klasma.github.io/Logging_1980/klagomål/A 67268-2021 FSC-klagomål.docx", "A 67268-2021")</f>
        <v/>
      </c>
      <c r="Z7">
        <f>HYPERLINK("https://klasma.github.io/Logging_1980/klagomålsmail/A 67268-2021 FSC-klagomål mail.docx", "A 67268-2021")</f>
        <v/>
      </c>
      <c r="AA7">
        <f>HYPERLINK("https://klasma.github.io/Logging_1980/tillsyn/A 67268-2021 tillsynsbegäran.docx", "A 67268-2021")</f>
        <v/>
      </c>
      <c r="AB7">
        <f>HYPERLINK("https://klasma.github.io/Logging_1980/tillsynsmail/A 67268-2021 tillsynsbegäran mail.docx", "A 67268-2021")</f>
        <v/>
      </c>
      <c r="AC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46218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46218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46218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46218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46218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46218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s="2" t="inlineStr">
        <is>
          <t>Knärot
Blåmossa
Vedticka
Mattlummer
Revlummer</t>
        </is>
      </c>
      <c r="V13">
        <f>HYPERLINK("https://klasma.github.io/Logging_1980/artfynd/A 26563-2026 artfynd.xlsx", "A 26563-2026")</f>
        <v/>
      </c>
      <c r="W13">
        <f>HYPERLINK("https://klasma.github.io/Logging_1980/kartor/A 26563-2026 karta.png", "A 26563-2026")</f>
        <v/>
      </c>
      <c r="X13">
        <f>HYPERLINK("https://klasma.github.io/Logging_1980/knärot/A 26563-2026 karta knärot.png", "A 26563-2026")</f>
        <v/>
      </c>
      <c r="Y13">
        <f>HYPERLINK("https://klasma.github.io/Logging_1980/klagomål/A 26563-2026 FSC-klagomål.docx", "A 26563-2026")</f>
        <v/>
      </c>
      <c r="Z13">
        <f>HYPERLINK("https://klasma.github.io/Logging_1980/klagomålsmail/A 26563-2026 FSC-klagomål mail.docx", "A 26563-2026")</f>
        <v/>
      </c>
      <c r="AA13">
        <f>HYPERLINK("https://klasma.github.io/Logging_1980/tillsyn/A 26563-2026 tillsynsbegäran.docx", "A 26563-2026")</f>
        <v/>
      </c>
      <c r="AB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46218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s="2" t="inlineStr">
        <is>
          <t>Nordfladdermus
Blåsippa
Dvärgpipistrell
Större brunfladdermus
Vattenfladdermus</t>
        </is>
      </c>
      <c r="V14">
        <f>HYPERLINK("https://klasma.github.io/Logging_1980/artfynd/A 22453-2026 artfynd.xlsx", "A 22453-2026")</f>
        <v/>
      </c>
      <c r="W14">
        <f>HYPERLINK("https://klasma.github.io/Logging_1980/kartor/A 22453-2026 karta.png", "A 22453-2026")</f>
        <v/>
      </c>
      <c r="Y14">
        <f>HYPERLINK("https://klasma.github.io/Logging_1980/klagomål/A 22453-2026 FSC-klagomål.docx", "A 22453-2026")</f>
        <v/>
      </c>
      <c r="Z14">
        <f>HYPERLINK("https://klasma.github.io/Logging_1980/klagomålsmail/A 22453-2026 FSC-klagomål mail.docx", "A 22453-2026")</f>
        <v/>
      </c>
      <c r="AA14">
        <f>HYPERLINK("https://klasma.github.io/Logging_1980/tillsyn/A 22453-2026 tillsynsbegäran.docx", "A 22453-2026")</f>
        <v/>
      </c>
      <c r="AB14">
        <f>HYPERLINK("https://klasma.github.io/Logging_1980/tillsynsmail/A 22453-2026 tillsynsbegäran mail.docx", "A 22453-2026")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46218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s="2" t="inlineStr">
        <is>
          <t>Sexfläckig bastardsvärmare
Jungfrulin
Ängsskära
Blåsippa
Gullviva</t>
        </is>
      </c>
      <c r="V15">
        <f>HYPERLINK("https://klasma.github.io/Logging_1980/artfynd/A 6603-2022 artfynd.xlsx", "A 6603-2022")</f>
        <v/>
      </c>
      <c r="W15">
        <f>HYPERLINK("https://klasma.github.io/Logging_1980/kartor/A 6603-2022 karta.png", "A 6603-2022")</f>
        <v/>
      </c>
      <c r="Y15">
        <f>HYPERLINK("https://klasma.github.io/Logging_1980/klagomål/A 6603-2022 FSC-klagomål.docx", "A 6603-2022")</f>
        <v/>
      </c>
      <c r="Z15">
        <f>HYPERLINK("https://klasma.github.io/Logging_1980/klagomålsmail/A 6603-2022 FSC-klagomål mail.docx", "A 6603-2022")</f>
        <v/>
      </c>
      <c r="AA15">
        <f>HYPERLINK("https://klasma.github.io/Logging_1980/tillsyn/A 6603-2022 tillsynsbegäran.docx", "A 6603-2022")</f>
        <v/>
      </c>
      <c r="AB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46218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46218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s="2" t="inlineStr">
        <is>
          <t>Backsippa
Flentimotej
Jungfrulin
Solvända</t>
        </is>
      </c>
      <c r="V17">
        <f>HYPERLINK("https://klasma.github.io/Logging_1980/artfynd/A 25672-2024 artfynd.xlsx", "A 25672-2024")</f>
        <v/>
      </c>
      <c r="W17">
        <f>HYPERLINK("https://klasma.github.io/Logging_1980/kartor/A 25672-2024 karta.png", "A 25672-2024")</f>
        <v/>
      </c>
      <c r="Y17">
        <f>HYPERLINK("https://klasma.github.io/Logging_1980/klagomål/A 25672-2024 FSC-klagomål.docx", "A 25672-2024")</f>
        <v/>
      </c>
      <c r="Z17">
        <f>HYPERLINK("https://klasma.github.io/Logging_1980/klagomålsmail/A 25672-2024 FSC-klagomål mail.docx", "A 25672-2024")</f>
        <v/>
      </c>
      <c r="AA17">
        <f>HYPERLINK("https://klasma.github.io/Logging_1980/tillsyn/A 25672-2024 tillsynsbegäran.docx", "A 25672-2024")</f>
        <v/>
      </c>
      <c r="AB17">
        <f>HYPERLINK("https://klasma.github.io/Logging_1980/tillsynsmail/A 25672-2024 tillsynsbegäran mail.docx", "A 25672-2024")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46218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s="2" t="inlineStr">
        <is>
          <t>Ask
Tallticka
Scharlakansvårskål agg.
Blåsippa</t>
        </is>
      </c>
      <c r="V18">
        <f>HYPERLINK("https://klasma.github.io/Logging_1980/artfynd/A 40782-2022 artfynd.xlsx", "A 40782-2022")</f>
        <v/>
      </c>
      <c r="W18">
        <f>HYPERLINK("https://klasma.github.io/Logging_1980/kartor/A 40782-2022 karta.png", "A 40782-2022")</f>
        <v/>
      </c>
      <c r="Y18">
        <f>HYPERLINK("https://klasma.github.io/Logging_1980/klagomål/A 40782-2022 FSC-klagomål.docx", "A 40782-2022")</f>
        <v/>
      </c>
      <c r="Z18">
        <f>HYPERLINK("https://klasma.github.io/Logging_1980/klagomålsmail/A 40782-2022 FSC-klagomål mail.docx", "A 40782-2022")</f>
        <v/>
      </c>
      <c r="AA18">
        <f>HYPERLINK("https://klasma.github.io/Logging_1980/tillsyn/A 40782-2022 tillsynsbegäran.docx", "A 40782-2022")</f>
        <v/>
      </c>
      <c r="AB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46218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s="2" t="inlineStr">
        <is>
          <t>Gullklöver
Svinrot
Hasselticka
Kopparödla</t>
        </is>
      </c>
      <c r="V19">
        <f>HYPERLINK("https://klasma.github.io/Logging_1980/artfynd/A 47695-2023 artfynd.xlsx", "A 47695-2023")</f>
        <v/>
      </c>
      <c r="W19">
        <f>HYPERLINK("https://klasma.github.io/Logging_1980/kartor/A 47695-2023 karta.png", "A 47695-2023")</f>
        <v/>
      </c>
      <c r="Y19">
        <f>HYPERLINK("https://klasma.github.io/Logging_1980/klagomål/A 47695-2023 FSC-klagomål.docx", "A 47695-2023")</f>
        <v/>
      </c>
      <c r="Z19">
        <f>HYPERLINK("https://klasma.github.io/Logging_1980/klagomålsmail/A 47695-2023 FSC-klagomål mail.docx", "A 47695-2023")</f>
        <v/>
      </c>
      <c r="AA19">
        <f>HYPERLINK("https://klasma.github.io/Logging_1980/tillsyn/A 47695-2023 tillsynsbegäran.docx", "A 47695-2023")</f>
        <v/>
      </c>
      <c r="AB19">
        <f>HYPERLINK("https://klasma.github.io/Logging_1980/tillsynsmail/A 47695-2023 tillsynsbegäran mail.docx", "A 47695-2023")</f>
        <v/>
      </c>
    </row>
    <row r="20" ht="15" customHeight="1">
      <c r="A20" t="inlineStr">
        <is>
          <t>A 41262-2023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45174</v>
      </c>
      <c r="E20" s="1" t="n">
        <v>46218</v>
      </c>
      <c r="F20" t="inlineStr">
        <is>
          <t>VÄSTMANLANDS LÄN</t>
        </is>
      </c>
      <c r="G20" t="inlineStr">
        <is>
          <t>VÄSTERÅS</t>
        </is>
      </c>
      <c r="H20" t="inlineStr">
        <is>
          <t>Kommuner</t>
        </is>
      </c>
      <c r="I20" t="n">
        <v>11.4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Grönsångare
Gulsparv
Kungsfågel
Vanlig groda</t>
        </is>
      </c>
      <c r="V20">
        <f>HYPERLINK("https://klasma.github.io/Logging_1980/artfynd/A 41262-2023 artfynd.xlsx", "A 41262-2023")</f>
        <v/>
      </c>
      <c r="W20">
        <f>HYPERLINK("https://klasma.github.io/Logging_1980/kartor/A 41262-2023 karta.png", "A 41262-2023")</f>
        <v/>
      </c>
      <c r="Y20">
        <f>HYPERLINK("https://klasma.github.io/Logging_1980/klagomål/A 41262-2023 FSC-klagomål.docx", "A 41262-2023")</f>
        <v/>
      </c>
      <c r="Z20">
        <f>HYPERLINK("https://klasma.github.io/Logging_1980/klagomålsmail/A 41262-2023 FSC-klagomål mail.docx", "A 41262-2023")</f>
        <v/>
      </c>
      <c r="AA20">
        <f>HYPERLINK("https://klasma.github.io/Logging_1980/tillsyn/A 41262-2023 tillsynsbegäran.docx", "A 41262-2023")</f>
        <v/>
      </c>
      <c r="AB20">
        <f>HYPERLINK("https://klasma.github.io/Logging_1980/tillsynsmail/A 41262-2023 tillsynsbegäran mail.docx", "A 41262-2023")</f>
        <v/>
      </c>
      <c r="AC20">
        <f>HYPERLINK("https://klasma.github.io/Logging_1980/fåglar/A 41262-2023 prioriterade fågelarter.docx", "A 41262-2023")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46218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s="2" t="inlineStr">
        <is>
          <t>Nordfladdermus
Gråskimlig fladdermus
Större brunfladdermus
Vattenfladdermus</t>
        </is>
      </c>
      <c r="V21">
        <f>HYPERLINK("https://klasma.github.io/Logging_1980/artfynd/A 22449-2026 artfynd.xlsx", "A 22449-2026")</f>
        <v/>
      </c>
      <c r="W21">
        <f>HYPERLINK("https://klasma.github.io/Logging_1980/kartor/A 22449-2026 karta.png", "A 22449-2026")</f>
        <v/>
      </c>
      <c r="Y21">
        <f>HYPERLINK("https://klasma.github.io/Logging_1980/klagomål/A 22449-2026 FSC-klagomål.docx", "A 22449-2026")</f>
        <v/>
      </c>
      <c r="Z21">
        <f>HYPERLINK("https://klasma.github.io/Logging_1980/klagomålsmail/A 22449-2026 FSC-klagomål mail.docx", "A 22449-2026")</f>
        <v/>
      </c>
      <c r="AA21">
        <f>HYPERLINK("https://klasma.github.io/Logging_1980/tillsyn/A 22449-2026 tillsynsbegäran.docx", "A 22449-2026")</f>
        <v/>
      </c>
      <c r="AB21">
        <f>HYPERLINK("https://klasma.github.io/Logging_1980/tillsynsmail/A 22449-2026 tillsynsbegäran mail.docx", "A 22449-2026")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46218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Vithornad barkskinnbagge
Xyletinus ater
Mindre märgborre
Fiskgjuse</t>
        </is>
      </c>
      <c r="V22">
        <f>HYPERLINK("https://klasma.github.io/Logging_1980/artfynd/A 47228-2022 artfynd.xlsx", "A 47228-2022")</f>
        <v/>
      </c>
      <c r="W22">
        <f>HYPERLINK("https://klasma.github.io/Logging_1980/kartor/A 47228-2022 karta.png", "A 47228-2022")</f>
        <v/>
      </c>
      <c r="Y22">
        <f>HYPERLINK("https://klasma.github.io/Logging_1980/klagomål/A 47228-2022 FSC-klagomål.docx", "A 47228-2022")</f>
        <v/>
      </c>
      <c r="Z22">
        <f>HYPERLINK("https://klasma.github.io/Logging_1980/klagomålsmail/A 47228-2022 FSC-klagomål mail.docx", "A 47228-2022")</f>
        <v/>
      </c>
      <c r="AA22">
        <f>HYPERLINK("https://klasma.github.io/Logging_1980/tillsyn/A 47228-2022 tillsynsbegäran.docx", "A 47228-2022")</f>
        <v/>
      </c>
      <c r="AB22">
        <f>HYPERLINK("https://klasma.github.io/Logging_1980/tillsynsmail/A 47228-2022 tillsynsbegäran mail.docx", "A 47228-2022")</f>
        <v/>
      </c>
      <c r="AC22">
        <f>HYPERLINK("https://klasma.github.io/Logging_1980/fåglar/A 47228-2022 prioriterade fågelarter.docx", "A 47228-2022")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46218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s="2" t="inlineStr">
        <is>
          <t>Knärot
Motaggsvamp
Blomkålssvamp
Grönpyrola</t>
        </is>
      </c>
      <c r="V23">
        <f>HYPERLINK("https://klasma.github.io/Logging_1980/artfynd/A 16686-2026 artfynd.xlsx", "A 16686-2026")</f>
        <v/>
      </c>
      <c r="W23">
        <f>HYPERLINK("https://klasma.github.io/Logging_1980/kartor/A 16686-2026 karta.png", "A 16686-2026")</f>
        <v/>
      </c>
      <c r="X23">
        <f>HYPERLINK("https://klasma.github.io/Logging_1980/knärot/A 16686-2026 karta knärot.png", "A 16686-2026")</f>
        <v/>
      </c>
      <c r="Y23">
        <f>HYPERLINK("https://klasma.github.io/Logging_1980/klagomål/A 16686-2026 FSC-klagomål.docx", "A 16686-2026")</f>
        <v/>
      </c>
      <c r="Z23">
        <f>HYPERLINK("https://klasma.github.io/Logging_1980/klagomålsmail/A 16686-2026 FSC-klagomål mail.docx", "A 16686-2026")</f>
        <v/>
      </c>
      <c r="AA23">
        <f>HYPERLINK("https://klasma.github.io/Logging_1980/tillsyn/A 16686-2026 tillsynsbegäran.docx", "A 16686-2026")</f>
        <v/>
      </c>
      <c r="AB23">
        <f>HYPERLINK("https://klasma.github.io/Logging_1980/tillsynsmail/A 16686-2026 tillsynsbegäran mail.docx", "A 16686-2026")</f>
        <v/>
      </c>
    </row>
    <row r="24" ht="15" customHeight="1">
      <c r="A24" t="inlineStr">
        <is>
          <t>A 16581-2026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46218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17.5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12</v>
      </c>
      <c r="U24" s="2" t="inlineStr">
        <is>
          <t>Grönpyrola
Spillkråka
Tjäder
Revlummer</t>
        </is>
      </c>
      <c r="V24">
        <f>HYPERLINK("https://klasma.github.io/Logging_1980/artfynd/A 16581-2026 artfynd.xlsx", "A 16581-2026")</f>
        <v/>
      </c>
      <c r="W24">
        <f>HYPERLINK("https://klasma.github.io/Logging_1980/kartor/A 16581-2026 karta.png", "A 16581-2026")</f>
        <v/>
      </c>
      <c r="Y24">
        <f>HYPERLINK("https://klasma.github.io/Logging_1980/klagomål/A 16581-2026 FSC-klagomål.docx", "A 16581-2026")</f>
        <v/>
      </c>
      <c r="Z24">
        <f>HYPERLINK("https://klasma.github.io/Logging_1980/klagomålsmail/A 16581-2026 FSC-klagomål mail.docx", "A 16581-2026")</f>
        <v/>
      </c>
      <c r="AA24">
        <f>HYPERLINK("https://klasma.github.io/Logging_1980/tillsyn/A 16581-2026 tillsynsbegäran.docx", "A 16581-2026")</f>
        <v/>
      </c>
      <c r="AB24">
        <f>HYPERLINK("https://klasma.github.io/Logging_1980/tillsynsmail/A 16581-2026 tillsynsbegäran mail.docx", "A 16581-2026")</f>
        <v/>
      </c>
      <c r="AC24">
        <f>HYPERLINK("https://klasma.github.io/Logging_1980/fåglar/A 16581-2026 prioriterade fågelarter.docx", "A 16581-2026")</f>
        <v/>
      </c>
    </row>
    <row r="25" ht="15" customHeight="1">
      <c r="A25" t="inlineStr">
        <is>
          <t>A 11804-2022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44634</v>
      </c>
      <c r="E25" s="1" t="n">
        <v>46218</v>
      </c>
      <c r="F25" t="inlineStr">
        <is>
          <t>VÄSTMANLANDS LÄN</t>
        </is>
      </c>
      <c r="G25" t="inlineStr">
        <is>
          <t>VÄSTERÅS</t>
        </is>
      </c>
      <c r="I25" t="n">
        <v>10.6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Svart trolldruva
Nattviol</t>
        </is>
      </c>
      <c r="V25">
        <f>HYPERLINK("https://klasma.github.io/Logging_1980/artfynd/A 11804-2022 artfynd.xlsx", "A 11804-2022")</f>
        <v/>
      </c>
      <c r="W25">
        <f>HYPERLINK("https://klasma.github.io/Logging_1980/kartor/A 11804-2022 karta.png", "A 11804-2022")</f>
        <v/>
      </c>
      <c r="Y25">
        <f>HYPERLINK("https://klasma.github.io/Logging_1980/klagomål/A 11804-2022 FSC-klagomål.docx", "A 11804-2022")</f>
        <v/>
      </c>
      <c r="Z25">
        <f>HYPERLINK("https://klasma.github.io/Logging_1980/klagomålsmail/A 11804-2022 FSC-klagomål mail.docx", "A 11804-2022")</f>
        <v/>
      </c>
      <c r="AA25">
        <f>HYPERLINK("https://klasma.github.io/Logging_1980/tillsyn/A 11804-2022 tillsynsbegäran.docx", "A 11804-2022")</f>
        <v/>
      </c>
      <c r="AB25">
        <f>HYPERLINK("https://klasma.github.io/Logging_1980/tillsynsmail/A 11804-2022 tillsynsbegäran mail.docx", "A 11804-2022")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46218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s="2" t="inlineStr">
        <is>
          <t>Backsippa
Vårstarr
Gullviva</t>
        </is>
      </c>
      <c r="V26">
        <f>HYPERLINK("https://klasma.github.io/Logging_1980/artfynd/A 64735-2023 artfynd.xlsx", "A 64735-2023")</f>
        <v/>
      </c>
      <c r="W26">
        <f>HYPERLINK("https://klasma.github.io/Logging_1980/kartor/A 64735-2023 karta.png", "A 64735-2023")</f>
        <v/>
      </c>
      <c r="Y26">
        <f>HYPERLINK("https://klasma.github.io/Logging_1980/klagomål/A 64735-2023 FSC-klagomål.docx", "A 64735-2023")</f>
        <v/>
      </c>
      <c r="Z26">
        <f>HYPERLINK("https://klasma.github.io/Logging_1980/klagomålsmail/A 64735-2023 FSC-klagomål mail.docx", "A 64735-2023")</f>
        <v/>
      </c>
      <c r="AA26">
        <f>HYPERLINK("https://klasma.github.io/Logging_1980/tillsyn/A 64735-2023 tillsynsbegäran.docx", "A 64735-2023")</f>
        <v/>
      </c>
      <c r="AB26">
        <f>HYPERLINK("https://klasma.github.io/Logging_1980/tillsynsmail/A 64735-2023 tillsynsbegäran mail.docx", "A 64735-2023")</f>
        <v/>
      </c>
    </row>
    <row r="27" ht="15" customHeight="1">
      <c r="A27" t="inlineStr">
        <is>
          <t>A 64201-2023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46218</v>
      </c>
      <c r="F27" t="inlineStr">
        <is>
          <t>VÄSTMANLANDS LÄN</t>
        </is>
      </c>
      <c r="G27" t="inlineStr">
        <is>
          <t>VÄSTERÅS</t>
        </is>
      </c>
      <c r="I27" t="n">
        <v>13</v>
      </c>
      <c r="J27" t="n">
        <v>0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s="2" t="inlineStr">
        <is>
          <t>Källpraktmossa
Stubbspretmossa
Vanlig rörsvepemossa</t>
        </is>
      </c>
      <c r="V27">
        <f>HYPERLINK("https://klasma.github.io/Logging_1980/artfynd/A 64201-2023 artfynd.xlsx", "A 64201-2023")</f>
        <v/>
      </c>
      <c r="W27">
        <f>HYPERLINK("https://klasma.github.io/Logging_1980/kartor/A 64201-2023 karta.png", "A 64201-2023")</f>
        <v/>
      </c>
      <c r="Y27">
        <f>HYPERLINK("https://klasma.github.io/Logging_1980/klagomål/A 64201-2023 FSC-klagomål.docx", "A 64201-2023")</f>
        <v/>
      </c>
      <c r="Z27">
        <f>HYPERLINK("https://klasma.github.io/Logging_1980/klagomålsmail/A 64201-2023 FSC-klagomål mail.docx", "A 64201-2023")</f>
        <v/>
      </c>
      <c r="AA27">
        <f>HYPERLINK("https://klasma.github.io/Logging_1980/tillsyn/A 64201-2023 tillsynsbegäran.docx", "A 64201-2023")</f>
        <v/>
      </c>
      <c r="AB27">
        <f>HYPERLINK("https://klasma.github.io/Logging_1980/tillsynsmail/A 64201-2023 tillsynsbegäran mail.docx", "A 64201-2023")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46218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s="2" t="inlineStr">
        <is>
          <t>Knärot
Tallticka
Blåsippa</t>
        </is>
      </c>
      <c r="V28">
        <f>HYPERLINK("https://klasma.github.io/Logging_1980/artfynd/A 14265-2025 artfynd.xlsx", "A 14265-2025")</f>
        <v/>
      </c>
      <c r="W28">
        <f>HYPERLINK("https://klasma.github.io/Logging_1980/kartor/A 14265-2025 karta.png", "A 14265-2025")</f>
        <v/>
      </c>
      <c r="X28">
        <f>HYPERLINK("https://klasma.github.io/Logging_1980/knärot/A 14265-2025 karta knärot.png", "A 14265-2025")</f>
        <v/>
      </c>
      <c r="Y28">
        <f>HYPERLINK("https://klasma.github.io/Logging_1980/klagomål/A 14265-2025 FSC-klagomål.docx", "A 14265-2025")</f>
        <v/>
      </c>
      <c r="Z28">
        <f>HYPERLINK("https://klasma.github.io/Logging_1980/klagomålsmail/A 14265-2025 FSC-klagomål mail.docx", "A 14265-2025")</f>
        <v/>
      </c>
      <c r="AA28">
        <f>HYPERLINK("https://klasma.github.io/Logging_1980/tillsyn/A 14265-2025 tillsynsbegäran.docx", "A 14265-2025")</f>
        <v/>
      </c>
      <c r="AB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46218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Grönfink
Blåsippa
Kungsfågel</t>
        </is>
      </c>
      <c r="V29">
        <f>HYPERLINK("https://klasma.github.io/Logging_1980/artfynd/A 6249-2024 artfynd.xlsx", "A 6249-2024")</f>
        <v/>
      </c>
      <c r="W29">
        <f>HYPERLINK("https://klasma.github.io/Logging_1980/kartor/A 6249-2024 karta.png", "A 6249-2024")</f>
        <v/>
      </c>
      <c r="Y29">
        <f>HYPERLINK("https://klasma.github.io/Logging_1980/klagomål/A 6249-2024 FSC-klagomål.docx", "A 6249-2024")</f>
        <v/>
      </c>
      <c r="Z29">
        <f>HYPERLINK("https://klasma.github.io/Logging_1980/klagomålsmail/A 6249-2024 FSC-klagomål mail.docx", "A 6249-2024")</f>
        <v/>
      </c>
      <c r="AA29">
        <f>HYPERLINK("https://klasma.github.io/Logging_1980/tillsyn/A 6249-2024 tillsynsbegäran.docx", "A 6249-2024")</f>
        <v/>
      </c>
      <c r="AB29">
        <f>HYPERLINK("https://klasma.github.io/Logging_1980/tillsynsmail/A 6249-2024 tillsynsbegäran mail.docx", "A 6249-2024")</f>
        <v/>
      </c>
      <c r="AC29">
        <f>HYPERLINK("https://klasma.github.io/Logging_1980/fåglar/A 6249-2024 prioriterade fågelarter.docx", "A 6249-2024")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46218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s="2" t="inlineStr">
        <is>
          <t>Knärot
Motaggsvamp
Ullticka</t>
        </is>
      </c>
      <c r="V30">
        <f>HYPERLINK("https://klasma.github.io/Logging_1980/artfynd/A 16684-2026 artfynd.xlsx", "A 16684-2026")</f>
        <v/>
      </c>
      <c r="W30">
        <f>HYPERLINK("https://klasma.github.io/Logging_1980/kartor/A 16684-2026 karta.png", "A 16684-2026")</f>
        <v/>
      </c>
      <c r="X30">
        <f>HYPERLINK("https://klasma.github.io/Logging_1980/knärot/A 16684-2026 karta knärot.png", "A 16684-2026")</f>
        <v/>
      </c>
      <c r="Y30">
        <f>HYPERLINK("https://klasma.github.io/Logging_1980/klagomål/A 16684-2026 FSC-klagomål.docx", "A 16684-2026")</f>
        <v/>
      </c>
      <c r="Z30">
        <f>HYPERLINK("https://klasma.github.io/Logging_1980/klagomålsmail/A 16684-2026 FSC-klagomål mail.docx", "A 16684-2026")</f>
        <v/>
      </c>
      <c r="AA30">
        <f>HYPERLINK("https://klasma.github.io/Logging_1980/tillsyn/A 16684-2026 tillsynsbegäran.docx", "A 16684-2026")</f>
        <v/>
      </c>
      <c r="AB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46218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46218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s="2" t="inlineStr">
        <is>
          <t>Gullklöver
Blåsippa</t>
        </is>
      </c>
      <c r="V33">
        <f>HYPERLINK("https://klasma.github.io/Logging_1980/artfynd/A 30759-2022 artfynd.xlsx", "A 30759-2022")</f>
        <v/>
      </c>
      <c r="W33">
        <f>HYPERLINK("https://klasma.github.io/Logging_1980/kartor/A 30759-2022 karta.png", "A 30759-2022")</f>
        <v/>
      </c>
      <c r="Y33">
        <f>HYPERLINK("https://klasma.github.io/Logging_1980/klagomål/A 30759-2022 FSC-klagomål.docx", "A 30759-2022")</f>
        <v/>
      </c>
      <c r="Z33">
        <f>HYPERLINK("https://klasma.github.io/Logging_1980/klagomålsmail/A 30759-2022 FSC-klagomål mail.docx", "A 30759-2022")</f>
        <v/>
      </c>
      <c r="AA33">
        <f>HYPERLINK("https://klasma.github.io/Logging_1980/tillsyn/A 30759-2022 tillsynsbegäran.docx", "A 30759-2022")</f>
        <v/>
      </c>
      <c r="AB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46218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s="2" t="inlineStr">
        <is>
          <t>Jungfrulin
Svinrot</t>
        </is>
      </c>
      <c r="V34">
        <f>HYPERLINK("https://klasma.github.io/Logging_1980/artfynd/A 54536-2024 artfynd.xlsx", "A 54536-2024")</f>
        <v/>
      </c>
      <c r="W34">
        <f>HYPERLINK("https://klasma.github.io/Logging_1980/kartor/A 54536-2024 karta.png", "A 54536-2024")</f>
        <v/>
      </c>
      <c r="Y34">
        <f>HYPERLINK("https://klasma.github.io/Logging_1980/klagomål/A 54536-2024 FSC-klagomål.docx", "A 54536-2024")</f>
        <v/>
      </c>
      <c r="Z34">
        <f>HYPERLINK("https://klasma.github.io/Logging_1980/klagomålsmail/A 54536-2024 FSC-klagomål mail.docx", "A 54536-2024")</f>
        <v/>
      </c>
      <c r="AA34">
        <f>HYPERLINK("https://klasma.github.io/Logging_1980/tillsyn/A 54536-2024 tillsynsbegäran.docx", "A 54536-2024")</f>
        <v/>
      </c>
      <c r="AB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46218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s="2" t="inlineStr">
        <is>
          <t>Grönpyrola
Fiskgjuse</t>
        </is>
      </c>
      <c r="V35">
        <f>HYPERLINK("https://klasma.github.io/Logging_1980/artfynd/A 59143-2025 artfynd.xlsx", "A 59143-2025")</f>
        <v/>
      </c>
      <c r="W35">
        <f>HYPERLINK("https://klasma.github.io/Logging_1980/kartor/A 59143-2025 karta.png", "A 59143-2025")</f>
        <v/>
      </c>
      <c r="Y35">
        <f>HYPERLINK("https://klasma.github.io/Logging_1980/klagomål/A 59143-2025 FSC-klagomål.docx", "A 59143-2025")</f>
        <v/>
      </c>
      <c r="Z35">
        <f>HYPERLINK("https://klasma.github.io/Logging_1980/klagomålsmail/A 59143-2025 FSC-klagomål mail.docx", "A 59143-2025")</f>
        <v/>
      </c>
      <c r="AA35">
        <f>HYPERLINK("https://klasma.github.io/Logging_1980/tillsyn/A 59143-2025 tillsynsbegäran.docx", "A 59143-2025")</f>
        <v/>
      </c>
      <c r="AB35">
        <f>HYPERLINK("https://klasma.github.io/Logging_1980/tillsynsmail/A 59143-2025 tillsynsbegäran mail.docx", "A 59143-2025")</f>
        <v/>
      </c>
      <c r="AC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46218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Tibast</t>
        </is>
      </c>
      <c r="V36">
        <f>HYPERLINK("https://klasma.github.io/Logging_1980/artfynd/A 9327-2026 artfynd.xlsx", "A 9327-2026")</f>
        <v/>
      </c>
      <c r="W36">
        <f>HYPERLINK("https://klasma.github.io/Logging_1980/kartor/A 9327-2026 karta.png", "A 9327-2026")</f>
        <v/>
      </c>
      <c r="Y36">
        <f>HYPERLINK("https://klasma.github.io/Logging_1980/klagomål/A 9327-2026 FSC-klagomål.docx", "A 9327-2026")</f>
        <v/>
      </c>
      <c r="Z36">
        <f>HYPERLINK("https://klasma.github.io/Logging_1980/klagomålsmail/A 9327-2026 FSC-klagomål mail.docx", "A 9327-2026")</f>
        <v/>
      </c>
      <c r="AA36">
        <f>HYPERLINK("https://klasma.github.io/Logging_1980/tillsyn/A 9327-2026 tillsynsbegäran.docx", "A 9327-2026")</f>
        <v/>
      </c>
      <c r="AB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46218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Blåmossa
Kopparödla</t>
        </is>
      </c>
      <c r="V37">
        <f>HYPERLINK("https://klasma.github.io/Logging_1980/artfynd/A 22452-2026 artfynd.xlsx", "A 22452-2026")</f>
        <v/>
      </c>
      <c r="W37">
        <f>HYPERLINK("https://klasma.github.io/Logging_1980/kartor/A 22452-2026 karta.png", "A 22452-2026")</f>
        <v/>
      </c>
      <c r="Y37">
        <f>HYPERLINK("https://klasma.github.io/Logging_1980/klagomål/A 22452-2026 FSC-klagomål.docx", "A 22452-2026")</f>
        <v/>
      </c>
      <c r="Z37">
        <f>HYPERLINK("https://klasma.github.io/Logging_1980/klagomålsmail/A 22452-2026 FSC-klagomål mail.docx", "A 22452-2026")</f>
        <v/>
      </c>
      <c r="AA37">
        <f>HYPERLINK("https://klasma.github.io/Logging_1980/tillsyn/A 22452-2026 tillsynsbegäran.docx", "A 22452-2026")</f>
        <v/>
      </c>
      <c r="AB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46218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Y38">
        <f>HYPERLINK("https://klasma.github.io/Logging_1980/klagomål/A 59566-2021 FSC-klagomål.docx", "A 59566-2021")</f>
        <v/>
      </c>
      <c r="Z38">
        <f>HYPERLINK("https://klasma.github.io/Logging_1980/klagomålsmail/A 59566-2021 FSC-klagomål mail.docx", "A 59566-2021")</f>
        <v/>
      </c>
      <c r="AA38">
        <f>HYPERLINK("https://klasma.github.io/Logging_1980/tillsyn/A 59566-2021 tillsynsbegäran.docx", "A 59566-2021")</f>
        <v/>
      </c>
      <c r="AB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46218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46218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46218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Kråka</t>
        </is>
      </c>
      <c r="V41">
        <f>HYPERLINK("https://klasma.github.io/Logging_1980/artfynd/A 7534-2022 artfynd.xlsx", "A 7534-2022")</f>
        <v/>
      </c>
      <c r="W41">
        <f>HYPERLINK("https://klasma.github.io/Logging_1980/kartor/A 7534-2022 karta.png", "A 7534-2022")</f>
        <v/>
      </c>
      <c r="Y41">
        <f>HYPERLINK("https://klasma.github.io/Logging_1980/klagomål/A 7534-2022 FSC-klagomål.docx", "A 7534-2022")</f>
        <v/>
      </c>
      <c r="Z41">
        <f>HYPERLINK("https://klasma.github.io/Logging_1980/klagomålsmail/A 7534-2022 FSC-klagomål mail.docx", "A 7534-2022")</f>
        <v/>
      </c>
      <c r="AA41">
        <f>HYPERLINK("https://klasma.github.io/Logging_1980/tillsyn/A 7534-2022 tillsynsbegäran.docx", "A 7534-2022")</f>
        <v/>
      </c>
      <c r="AB41">
        <f>HYPERLINK("https://klasma.github.io/Logging_1980/tillsynsmail/A 7534-2022 tillsynsbegäran mail.docx", "A 7534-2022")</f>
        <v/>
      </c>
    </row>
    <row r="42" ht="15" customHeight="1">
      <c r="A42" t="inlineStr">
        <is>
          <t>A 30761-2022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46218</v>
      </c>
      <c r="F42" t="inlineStr">
        <is>
          <t>VÄSTMANLANDS LÄN</t>
        </is>
      </c>
      <c r="G42" t="inlineStr">
        <is>
          <t>VÄSTERÅS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Nötkråka</t>
        </is>
      </c>
      <c r="V42">
        <f>HYPERLINK("https://klasma.github.io/Logging_1980/artfynd/A 30761-2022 artfynd.xlsx", "A 30761-2022")</f>
        <v/>
      </c>
      <c r="W42">
        <f>HYPERLINK("https://klasma.github.io/Logging_1980/kartor/A 30761-2022 karta.png", "A 30761-2022")</f>
        <v/>
      </c>
      <c r="Y42">
        <f>HYPERLINK("https://klasma.github.io/Logging_1980/klagomål/A 30761-2022 FSC-klagomål.docx", "A 30761-2022")</f>
        <v/>
      </c>
      <c r="Z42">
        <f>HYPERLINK("https://klasma.github.io/Logging_1980/klagomålsmail/A 30761-2022 FSC-klagomål mail.docx", "A 30761-2022")</f>
        <v/>
      </c>
      <c r="AA42">
        <f>HYPERLINK("https://klasma.github.io/Logging_1980/tillsyn/A 30761-2022 tillsynsbegäran.docx", "A 30761-2022")</f>
        <v/>
      </c>
      <c r="AB42">
        <f>HYPERLINK("https://klasma.github.io/Logging_1980/tillsynsmail/A 30761-2022 tillsynsbegäran mail.docx", "A 30761-2022")</f>
        <v/>
      </c>
      <c r="AC42">
        <f>HYPERLINK("https://klasma.github.io/Logging_1980/fåglar/A 30761-2022 prioriterade fågelarter.docx", "A 30761-2022")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46218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HYPERLINK("https://klasma.github.io/Logging_1980/artfynd/A 50193-2022 artfynd.xlsx", "A 50193-2022")</f>
        <v/>
      </c>
      <c r="W43">
        <f>HYPERLINK("https://klasma.github.io/Logging_1980/kartor/A 50193-2022 karta.png", "A 50193-2022")</f>
        <v/>
      </c>
      <c r="Y43">
        <f>HYPERLINK("https://klasma.github.io/Logging_1980/klagomål/A 50193-2022 FSC-klagomål.docx", "A 50193-2022")</f>
        <v/>
      </c>
      <c r="Z43">
        <f>HYPERLINK("https://klasma.github.io/Logging_1980/klagomålsmail/A 50193-2022 FSC-klagomål mail.docx", "A 50193-2022")</f>
        <v/>
      </c>
      <c r="AA43">
        <f>HYPERLINK("https://klasma.github.io/Logging_1980/tillsyn/A 50193-2022 tillsynsbegäran.docx", "A 50193-2022")</f>
        <v/>
      </c>
      <c r="AB43">
        <f>HYPERLINK("https://klasma.github.io/Logging_1980/tillsynsmail/A 50193-2022 tillsynsbegäran mail.docx", "A 50193-2022")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46218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Mistel</t>
        </is>
      </c>
      <c r="V44">
        <f>HYPERLINK("https://klasma.github.io/Logging_1980/artfynd/A 26568-2022 artfynd.xlsx", "A 26568-2022")</f>
        <v/>
      </c>
      <c r="W44">
        <f>HYPERLINK("https://klasma.github.io/Logging_1980/kartor/A 26568-2022 karta.png", "A 26568-2022")</f>
        <v/>
      </c>
      <c r="Y44">
        <f>HYPERLINK("https://klasma.github.io/Logging_1980/klagomål/A 26568-2022 FSC-klagomål.docx", "A 26568-2022")</f>
        <v/>
      </c>
      <c r="Z44">
        <f>HYPERLINK("https://klasma.github.io/Logging_1980/klagomålsmail/A 26568-2022 FSC-klagomål mail.docx", "A 26568-2022")</f>
        <v/>
      </c>
      <c r="AA44">
        <f>HYPERLINK("https://klasma.github.io/Logging_1980/tillsyn/A 26568-2022 tillsynsbegäran.docx", "A 26568-2022")</f>
        <v/>
      </c>
      <c r="AB44">
        <f>HYPERLINK("https://klasma.github.io/Logging_1980/tillsynsmail/A 26568-2022 tillsynsbegäran mail.docx", "A 26568-2022")</f>
        <v/>
      </c>
    </row>
    <row r="45" ht="15" customHeight="1">
      <c r="A45" t="inlineStr">
        <is>
          <t>A 40886-2025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46218</v>
      </c>
      <c r="F45" t="inlineStr">
        <is>
          <t>VÄSTMANLANDS LÄN</t>
        </is>
      </c>
      <c r="G45" t="inlineStr">
        <is>
          <t>VÄSTERÅS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Grönpyrola</t>
        </is>
      </c>
      <c r="V45">
        <f>HYPERLINK("https://klasma.github.io/Logging_1980/artfynd/A 40886-2025 artfynd.xlsx", "A 40886-2025")</f>
        <v/>
      </c>
      <c r="W45">
        <f>HYPERLINK("https://klasma.github.io/Logging_1980/kartor/A 40886-2025 karta.png", "A 40886-2025")</f>
        <v/>
      </c>
      <c r="Y45">
        <f>HYPERLINK("https://klasma.github.io/Logging_1980/klagomål/A 40886-2025 FSC-klagomål.docx", "A 40886-2025")</f>
        <v/>
      </c>
      <c r="Z45">
        <f>HYPERLINK("https://klasma.github.io/Logging_1980/klagomålsmail/A 40886-2025 FSC-klagomål mail.docx", "A 40886-2025")</f>
        <v/>
      </c>
      <c r="AA45">
        <f>HYPERLINK("https://klasma.github.io/Logging_1980/tillsyn/A 40886-2025 tillsynsbegäran.docx", "A 40886-2025")</f>
        <v/>
      </c>
      <c r="AB45">
        <f>HYPERLINK("https://klasma.github.io/Logging_1980/tillsynsmail/A 40886-2025 tillsynsbegäran mail.docx", "A 40886-2025")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46218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Ask</t>
        </is>
      </c>
      <c r="V46">
        <f>HYPERLINK("https://klasma.github.io/Logging_1980/artfynd/A 12905-2022 artfynd.xlsx", "A 12905-2022")</f>
        <v/>
      </c>
      <c r="W46">
        <f>HYPERLINK("https://klasma.github.io/Logging_1980/kartor/A 12905-2022 karta.png", "A 12905-2022")</f>
        <v/>
      </c>
      <c r="Y46">
        <f>HYPERLINK("https://klasma.github.io/Logging_1980/klagomål/A 12905-2022 FSC-klagomål.docx", "A 12905-2022")</f>
        <v/>
      </c>
      <c r="Z46">
        <f>HYPERLINK("https://klasma.github.io/Logging_1980/klagomålsmail/A 12905-2022 FSC-klagomål mail.docx", "A 12905-2022")</f>
        <v/>
      </c>
      <c r="AA46">
        <f>HYPERLINK("https://klasma.github.io/Logging_1980/tillsyn/A 12905-2022 tillsynsbegäran.docx", "A 12905-2022")</f>
        <v/>
      </c>
      <c r="AB46">
        <f>HYPERLINK("https://klasma.github.io/Logging_1980/tillsynsmail/A 12905-2022 tillsynsbegäran mail.docx", "A 12905-2022")</f>
        <v/>
      </c>
    </row>
    <row r="47" ht="15" customHeight="1">
      <c r="A47" t="inlineStr">
        <is>
          <t>A 8362-2022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44610</v>
      </c>
      <c r="E47" s="1" t="n">
        <v>46218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3.7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Köpingfibbla</t>
        </is>
      </c>
      <c r="V47">
        <f>HYPERLINK("https://klasma.github.io/Logging_1980/artfynd/A 8362-2022 artfynd.xlsx", "A 8362-2022")</f>
        <v/>
      </c>
      <c r="W47">
        <f>HYPERLINK("https://klasma.github.io/Logging_1980/kartor/A 8362-2022 karta.png", "A 8362-2022")</f>
        <v/>
      </c>
      <c r="Y47">
        <f>HYPERLINK("https://klasma.github.io/Logging_1980/klagomål/A 8362-2022 FSC-klagomål.docx", "A 8362-2022")</f>
        <v/>
      </c>
      <c r="Z47">
        <f>HYPERLINK("https://klasma.github.io/Logging_1980/klagomålsmail/A 8362-2022 FSC-klagomål mail.docx", "A 8362-2022")</f>
        <v/>
      </c>
      <c r="AA47">
        <f>HYPERLINK("https://klasma.github.io/Logging_1980/tillsyn/A 8362-2022 tillsynsbegäran.docx", "A 8362-2022")</f>
        <v/>
      </c>
      <c r="AB47">
        <f>HYPERLINK("https://klasma.github.io/Logging_1980/tillsynsmail/A 8362-2022 tillsynsbegäran mail.docx", "A 8362-2022")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46218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Lönnlav</t>
        </is>
      </c>
      <c r="V48">
        <f>HYPERLINK("https://klasma.github.io/Logging_1980/artfynd/A 16374-2025 artfynd.xlsx", "A 16374-2025")</f>
        <v/>
      </c>
      <c r="W48">
        <f>HYPERLINK("https://klasma.github.io/Logging_1980/kartor/A 16374-2025 karta.png", "A 16374-2025")</f>
        <v/>
      </c>
      <c r="Y48">
        <f>HYPERLINK("https://klasma.github.io/Logging_1980/klagomål/A 16374-2025 FSC-klagomål.docx", "A 16374-2025")</f>
        <v/>
      </c>
      <c r="Z48">
        <f>HYPERLINK("https://klasma.github.io/Logging_1980/klagomålsmail/A 16374-2025 FSC-klagomål mail.docx", "A 16374-2025")</f>
        <v/>
      </c>
      <c r="AA48">
        <f>HYPERLINK("https://klasma.github.io/Logging_1980/tillsyn/A 16374-2025 tillsynsbegäran.docx", "A 16374-2025")</f>
        <v/>
      </c>
      <c r="AB48">
        <f>HYPERLINK("https://klasma.github.io/Logging_1980/tillsynsmail/A 16374-2025 tillsynsbegäran mail.docx", "A 16374-2025")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46218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Kopparödla</t>
        </is>
      </c>
      <c r="V49">
        <f>HYPERLINK("https://klasma.github.io/Logging_1980/artfynd/A 29787-2023 artfynd.xlsx", "A 29787-2023")</f>
        <v/>
      </c>
      <c r="W49">
        <f>HYPERLINK("https://klasma.github.io/Logging_1980/kartor/A 29787-2023 karta.png", "A 29787-2023")</f>
        <v/>
      </c>
      <c r="Y49">
        <f>HYPERLINK("https://klasma.github.io/Logging_1980/klagomål/A 29787-2023 FSC-klagomål.docx", "A 29787-2023")</f>
        <v/>
      </c>
      <c r="Z49">
        <f>HYPERLINK("https://klasma.github.io/Logging_1980/klagomålsmail/A 29787-2023 FSC-klagomål mail.docx", "A 29787-2023")</f>
        <v/>
      </c>
      <c r="AA49">
        <f>HYPERLINK("https://klasma.github.io/Logging_1980/tillsyn/A 29787-2023 tillsynsbegäran.docx", "A 29787-2023")</f>
        <v/>
      </c>
      <c r="AB49">
        <f>HYPERLINK("https://klasma.github.io/Logging_1980/tillsynsmail/A 29787-2023 tillsynsbegäran mail.docx", "A 29787-2023")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46218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Mindre märgborre</t>
        </is>
      </c>
      <c r="V50">
        <f>HYPERLINK("https://klasma.github.io/Logging_1980/artfynd/A 51147-2023 artfynd.xlsx", "A 51147-2023")</f>
        <v/>
      </c>
      <c r="W50">
        <f>HYPERLINK("https://klasma.github.io/Logging_1980/kartor/A 51147-2023 karta.png", "A 51147-2023")</f>
        <v/>
      </c>
      <c r="Y50">
        <f>HYPERLINK("https://klasma.github.io/Logging_1980/klagomål/A 51147-2023 FSC-klagomål.docx", "A 51147-2023")</f>
        <v/>
      </c>
      <c r="Z50">
        <f>HYPERLINK("https://klasma.github.io/Logging_1980/klagomålsmail/A 51147-2023 FSC-klagomål mail.docx", "A 51147-2023")</f>
        <v/>
      </c>
      <c r="AA50">
        <f>HYPERLINK("https://klasma.github.io/Logging_1980/tillsyn/A 51147-2023 tillsynsbegäran.docx", "A 51147-2023")</f>
        <v/>
      </c>
      <c r="AB50">
        <f>HYPERLINK("https://klasma.github.io/Logging_1980/tillsynsmail/A 51147-2023 tillsynsbegäran mail.docx", "A 51147-2023")</f>
        <v/>
      </c>
    </row>
    <row r="51" ht="15" customHeight="1">
      <c r="A51" t="inlineStr">
        <is>
          <t>A 46189-2023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45196</v>
      </c>
      <c r="E51" s="1" t="n">
        <v>46218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Gullviva</t>
        </is>
      </c>
      <c r="V51">
        <f>HYPERLINK("https://klasma.github.io/Logging_1980/artfynd/A 46189-2023 artfynd.xlsx", "A 46189-2023")</f>
        <v/>
      </c>
      <c r="W51">
        <f>HYPERLINK("https://klasma.github.io/Logging_1980/kartor/A 46189-2023 karta.png", "A 46189-2023")</f>
        <v/>
      </c>
      <c r="Y51">
        <f>HYPERLINK("https://klasma.github.io/Logging_1980/klagomål/A 46189-2023 FSC-klagomål.docx", "A 46189-2023")</f>
        <v/>
      </c>
      <c r="Z51">
        <f>HYPERLINK("https://klasma.github.io/Logging_1980/klagomålsmail/A 46189-2023 FSC-klagomål mail.docx", "A 46189-2023")</f>
        <v/>
      </c>
      <c r="AA51">
        <f>HYPERLINK("https://klasma.github.io/Logging_1980/tillsyn/A 46189-2023 tillsynsbegäran.docx", "A 46189-2023")</f>
        <v/>
      </c>
      <c r="AB51">
        <f>HYPERLINK("https://klasma.github.io/Logging_1980/tillsynsmail/A 46189-2023 tillsynsbegäran mail.docx", "A 46189-2023")</f>
        <v/>
      </c>
    </row>
    <row r="52" ht="15" customHeight="1">
      <c r="A52" t="inlineStr">
        <is>
          <t>A 61254-2023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45264</v>
      </c>
      <c r="E52" s="1" t="n">
        <v>46218</v>
      </c>
      <c r="F52" t="inlineStr">
        <is>
          <t>VÄSTMANLANDS LÄN</t>
        </is>
      </c>
      <c r="G52" t="inlineStr">
        <is>
          <t>VÄSTERÅS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s="2" t="inlineStr">
        <is>
          <t>Mistel</t>
        </is>
      </c>
      <c r="V52">
        <f>HYPERLINK("https://klasma.github.io/Logging_1980/artfynd/A 61254-2023 artfynd.xlsx", "A 61254-2023")</f>
        <v/>
      </c>
      <c r="W52">
        <f>HYPERLINK("https://klasma.github.io/Logging_1980/kartor/A 61254-2023 karta.png", "A 61254-2023")</f>
        <v/>
      </c>
      <c r="Y52">
        <f>HYPERLINK("https://klasma.github.io/Logging_1980/klagomål/A 61254-2023 FSC-klagomål.docx", "A 61254-2023")</f>
        <v/>
      </c>
      <c r="Z52">
        <f>HYPERLINK("https://klasma.github.io/Logging_1980/klagomålsmail/A 61254-2023 FSC-klagomål mail.docx", "A 61254-2023")</f>
        <v/>
      </c>
      <c r="AA52">
        <f>HYPERLINK("https://klasma.github.io/Logging_1980/tillsyn/A 61254-2023 tillsynsbegäran.docx", "A 61254-2023")</f>
        <v/>
      </c>
      <c r="AB52">
        <f>HYPERLINK("https://klasma.github.io/Logging_1980/tillsynsmail/A 61254-2023 tillsynsbegäran mail.docx", "A 61254-2023")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46218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Korskovall</t>
        </is>
      </c>
      <c r="V53">
        <f>HYPERLINK("https://klasma.github.io/Logging_1980/artfynd/A 58395-2022 artfynd.xlsx", "A 58395-2022")</f>
        <v/>
      </c>
      <c r="W53">
        <f>HYPERLINK("https://klasma.github.io/Logging_1980/kartor/A 58395-2022 karta.png", "A 58395-2022")</f>
        <v/>
      </c>
      <c r="Y53">
        <f>HYPERLINK("https://klasma.github.io/Logging_1980/klagomål/A 58395-2022 FSC-klagomål.docx", "A 58395-2022")</f>
        <v/>
      </c>
      <c r="Z53">
        <f>HYPERLINK("https://klasma.github.io/Logging_1980/klagomålsmail/A 58395-2022 FSC-klagomål mail.docx", "A 58395-2022")</f>
        <v/>
      </c>
      <c r="AA53">
        <f>HYPERLINK("https://klasma.github.io/Logging_1980/tillsyn/A 58395-2022 tillsynsbegäran.docx", "A 58395-2022")</f>
        <v/>
      </c>
      <c r="AB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46218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Brunklöver</t>
        </is>
      </c>
      <c r="V54">
        <f>HYPERLINK("https://klasma.github.io/Logging_1980/artfynd/A 59520-2024 artfynd.xlsx", "A 59520-2024")</f>
        <v/>
      </c>
      <c r="W54">
        <f>HYPERLINK("https://klasma.github.io/Logging_1980/kartor/A 59520-2024 karta.png", "A 59520-2024")</f>
        <v/>
      </c>
      <c r="Y54">
        <f>HYPERLINK("https://klasma.github.io/Logging_1980/klagomål/A 59520-2024 FSC-klagomål.docx", "A 59520-2024")</f>
        <v/>
      </c>
      <c r="Z54">
        <f>HYPERLINK("https://klasma.github.io/Logging_1980/klagomålsmail/A 59520-2024 FSC-klagomål mail.docx", "A 59520-2024")</f>
        <v/>
      </c>
      <c r="AA54">
        <f>HYPERLINK("https://klasma.github.io/Logging_1980/tillsyn/A 59520-2024 tillsynsbegäran.docx", "A 59520-2024")</f>
        <v/>
      </c>
      <c r="AB54">
        <f>HYPERLINK("https://klasma.github.io/Logging_1980/tillsynsmail/A 59520-2024 tillsynsbegäran mail.docx", "A 59520-2024")</f>
        <v/>
      </c>
    </row>
    <row r="55" ht="15" customHeight="1">
      <c r="A55" t="inlineStr">
        <is>
          <t>A 12950-2023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45001</v>
      </c>
      <c r="E55" s="1" t="n">
        <v>46218</v>
      </c>
      <c r="F55" t="inlineStr">
        <is>
          <t>VÄSTMANLANDS LÄN</t>
        </is>
      </c>
      <c r="G55" t="inlineStr">
        <is>
          <t>VÄSTERÅS</t>
        </is>
      </c>
      <c r="I55" t="n">
        <v>2.1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HYPERLINK("https://klasma.github.io/Logging_1980/artfynd/A 12950-2023 artfynd.xlsx", "A 12950-2023")</f>
        <v/>
      </c>
      <c r="W55">
        <f>HYPERLINK("https://klasma.github.io/Logging_1980/kartor/A 12950-2023 karta.png", "A 12950-2023")</f>
        <v/>
      </c>
      <c r="Y55">
        <f>HYPERLINK("https://klasma.github.io/Logging_1980/klagomål/A 12950-2023 FSC-klagomål.docx", "A 12950-2023")</f>
        <v/>
      </c>
      <c r="Z55">
        <f>HYPERLINK("https://klasma.github.io/Logging_1980/klagomålsmail/A 12950-2023 FSC-klagomål mail.docx", "A 12950-2023")</f>
        <v/>
      </c>
      <c r="AA55">
        <f>HYPERLINK("https://klasma.github.io/Logging_1980/tillsyn/A 12950-2023 tillsynsbegäran.docx", "A 12950-2023")</f>
        <v/>
      </c>
      <c r="AB55">
        <f>HYPERLINK("https://klasma.github.io/Logging_1980/tillsynsmail/A 12950-2023 tillsynsbegäran mail.docx", "A 12950-2023")</f>
        <v/>
      </c>
    </row>
    <row r="56" ht="15" customHeight="1">
      <c r="A56" t="inlineStr">
        <is>
          <t>A 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46218</v>
      </c>
      <c r="F56" t="inlineStr">
        <is>
          <t>VÄSTMANLANDS LÄN</t>
        </is>
      </c>
      <c r="G56" t="inlineStr">
        <is>
          <t>VÄSTERÅS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Brunklöver</t>
        </is>
      </c>
      <c r="V56">
        <f>HYPERLINK("https://klasma.github.io/Logging_1980/artfynd/A 5363-2025 artfynd.xlsx", "A 5363-2025")</f>
        <v/>
      </c>
      <c r="W56">
        <f>HYPERLINK("https://klasma.github.io/Logging_1980/kartor/A 5363-2025 karta.png", "A 5363-2025")</f>
        <v/>
      </c>
      <c r="Y56">
        <f>HYPERLINK("https://klasma.github.io/Logging_1980/klagomål/A 5363-2025 FSC-klagomål.docx", "A 5363-2025")</f>
        <v/>
      </c>
      <c r="Z56">
        <f>HYPERLINK("https://klasma.github.io/Logging_1980/klagomålsmail/A 5363-2025 FSC-klagomål mail.docx", "A 5363-2025")</f>
        <v/>
      </c>
      <c r="AA56">
        <f>HYPERLINK("https://klasma.github.io/Logging_1980/tillsyn/A 5363-2025 tillsynsbegäran.docx", "A 5363-2025")</f>
        <v/>
      </c>
      <c r="AB56">
        <f>HYPERLINK("https://klasma.github.io/Logging_1980/tillsynsmail/A 5363-2025 tillsynsbegäran mail.docx", "A 5363-2025")</f>
        <v/>
      </c>
    </row>
    <row r="57" ht="15" customHeight="1">
      <c r="A57" t="inlineStr">
        <is>
          <t>A 61059-2024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46218</v>
      </c>
      <c r="F57" t="inlineStr">
        <is>
          <t>VÄSTMANLANDS LÄN</t>
        </is>
      </c>
      <c r="G57" t="inlineStr">
        <is>
          <t>VÄSTERÅS</t>
        </is>
      </c>
      <c r="I57" t="n">
        <v>4.7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Bandad skulderbock</t>
        </is>
      </c>
      <c r="V57">
        <f>HYPERLINK("https://klasma.github.io/Logging_1980/artfynd/A 61059-2024 artfynd.xlsx", "A 61059-2024")</f>
        <v/>
      </c>
      <c r="W57">
        <f>HYPERLINK("https://klasma.github.io/Logging_1980/kartor/A 61059-2024 karta.png", "A 61059-2024")</f>
        <v/>
      </c>
      <c r="Y57">
        <f>HYPERLINK("https://klasma.github.io/Logging_1980/klagomål/A 61059-2024 FSC-klagomål.docx", "A 61059-2024")</f>
        <v/>
      </c>
      <c r="Z57">
        <f>HYPERLINK("https://klasma.github.io/Logging_1980/klagomålsmail/A 61059-2024 FSC-klagomål mail.docx", "A 61059-2024")</f>
        <v/>
      </c>
      <c r="AA57">
        <f>HYPERLINK("https://klasma.github.io/Logging_1980/tillsyn/A 61059-2024 tillsynsbegäran.docx", "A 61059-2024")</f>
        <v/>
      </c>
      <c r="AB57">
        <f>HYPERLINK("https://klasma.github.io/Logging_1980/tillsynsmail/A 61059-2024 tillsynsbegäran mail.docx", "A 61059-2024")</f>
        <v/>
      </c>
    </row>
    <row r="58" ht="15" customHeight="1">
      <c r="A58" t="inlineStr">
        <is>
          <t>A 59140-2025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46218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Fiskgjuse</t>
        </is>
      </c>
      <c r="V58">
        <f>HYPERLINK("https://klasma.github.io/Logging_1980/artfynd/A 59140-2025 artfynd.xlsx", "A 59140-2025")</f>
        <v/>
      </c>
      <c r="W58">
        <f>HYPERLINK("https://klasma.github.io/Logging_1980/kartor/A 59140-2025 karta.png", "A 59140-2025")</f>
        <v/>
      </c>
      <c r="Y58">
        <f>HYPERLINK("https://klasma.github.io/Logging_1980/klagomål/A 59140-2025 FSC-klagomål.docx", "A 59140-2025")</f>
        <v/>
      </c>
      <c r="Z58">
        <f>HYPERLINK("https://klasma.github.io/Logging_1980/klagomålsmail/A 59140-2025 FSC-klagomål mail.docx", "A 59140-2025")</f>
        <v/>
      </c>
      <c r="AA58">
        <f>HYPERLINK("https://klasma.github.io/Logging_1980/tillsyn/A 59140-2025 tillsynsbegäran.docx", "A 59140-2025")</f>
        <v/>
      </c>
      <c r="AB58">
        <f>HYPERLINK("https://klasma.github.io/Logging_1980/tillsynsmail/A 59140-2025 tillsynsbegäran mail.docx", "A 59140-2025")</f>
        <v/>
      </c>
      <c r="AC58">
        <f>HYPERLINK("https://klasma.github.io/Logging_1980/fåglar/A 59140-2025 prioriterade fågelarter.docx", "A 59140-2025")</f>
        <v/>
      </c>
    </row>
    <row r="59" ht="15" customHeight="1">
      <c r="A59" t="inlineStr">
        <is>
          <t>A 59144-2025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45988</v>
      </c>
      <c r="E59" s="1" t="n">
        <v>46218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Fläcknycklar</t>
        </is>
      </c>
      <c r="V59">
        <f>HYPERLINK("https://klasma.github.io/Logging_1980/artfynd/A 59144-2025 artfynd.xlsx", "A 59144-2025")</f>
        <v/>
      </c>
      <c r="W59">
        <f>HYPERLINK("https://klasma.github.io/Logging_1980/kartor/A 59144-2025 karta.png", "A 59144-2025")</f>
        <v/>
      </c>
      <c r="Y59">
        <f>HYPERLINK("https://klasma.github.io/Logging_1980/klagomål/A 59144-2025 FSC-klagomål.docx", "A 59144-2025")</f>
        <v/>
      </c>
      <c r="Z59">
        <f>HYPERLINK("https://klasma.github.io/Logging_1980/klagomålsmail/A 59144-2025 FSC-klagomål mail.docx", "A 59144-2025")</f>
        <v/>
      </c>
      <c r="AA59">
        <f>HYPERLINK("https://klasma.github.io/Logging_1980/tillsyn/A 59144-2025 tillsynsbegäran.docx", "A 59144-2025")</f>
        <v/>
      </c>
      <c r="AB59">
        <f>HYPERLINK("https://klasma.github.io/Logging_1980/tillsynsmail/A 59144-2025 tillsynsbegäran mail.docx", "A 59144-2025")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46218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Igelkott</t>
        </is>
      </c>
      <c r="V60">
        <f>HYPERLINK("https://klasma.github.io/Logging_1980/artfynd/A 22378-2026 artfynd.xlsx", "A 22378-2026")</f>
        <v/>
      </c>
      <c r="W60">
        <f>HYPERLINK("https://klasma.github.io/Logging_1980/kartor/A 22378-2026 karta.png", "A 22378-2026")</f>
        <v/>
      </c>
      <c r="Y60">
        <f>HYPERLINK("https://klasma.github.io/Logging_1980/klagomål/A 22378-2026 FSC-klagomål.docx", "A 22378-2026")</f>
        <v/>
      </c>
      <c r="Z60">
        <f>HYPERLINK("https://klasma.github.io/Logging_1980/klagomålsmail/A 22378-2026 FSC-klagomål mail.docx", "A 22378-2026")</f>
        <v/>
      </c>
      <c r="AA60">
        <f>HYPERLINK("https://klasma.github.io/Logging_1980/tillsyn/A 22378-2026 tillsynsbegäran.docx", "A 22378-2026")</f>
        <v/>
      </c>
      <c r="AB60">
        <f>HYPERLINK("https://klasma.github.io/Logging_1980/tillsynsmail/A 22378-2026 tillsynsbegäran mail.docx", "A 22378-2026")</f>
        <v/>
      </c>
    </row>
    <row r="61" ht="15" customHeight="1">
      <c r="A61" t="inlineStr">
        <is>
          <t>A 12058-2026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46218</v>
      </c>
      <c r="F61" t="inlineStr">
        <is>
          <t>VÄSTMANLANDS LÄN</t>
        </is>
      </c>
      <c r="G61" t="inlineStr">
        <is>
          <t>VÄSTERÅS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Törnskata</t>
        </is>
      </c>
      <c r="V61">
        <f>HYPERLINK("https://klasma.github.io/Logging_1980/artfynd/A 12058-2026 artfynd.xlsx", "A 12058-2026")</f>
        <v/>
      </c>
      <c r="W61">
        <f>HYPERLINK("https://klasma.github.io/Logging_1980/kartor/A 12058-2026 karta.png", "A 12058-2026")</f>
        <v/>
      </c>
      <c r="Y61">
        <f>HYPERLINK("https://klasma.github.io/Logging_1980/klagomål/A 12058-2026 FSC-klagomål.docx", "A 12058-2026")</f>
        <v/>
      </c>
      <c r="Z61">
        <f>HYPERLINK("https://klasma.github.io/Logging_1980/klagomålsmail/A 12058-2026 FSC-klagomål mail.docx", "A 12058-2026")</f>
        <v/>
      </c>
      <c r="AA61">
        <f>HYPERLINK("https://klasma.github.io/Logging_1980/tillsyn/A 12058-2026 tillsynsbegäran.docx", "A 12058-2026")</f>
        <v/>
      </c>
      <c r="AB61">
        <f>HYPERLINK("https://klasma.github.io/Logging_1980/tillsynsmail/A 12058-2026 tillsynsbegäran mail.docx", "A 12058-2026")</f>
        <v/>
      </c>
      <c r="AC61">
        <f>HYPERLINK("https://klasma.github.io/Logging_1980/fåglar/A 12058-2026 prioriterade fågelarter.docx", "A 12058-2026")</f>
        <v/>
      </c>
    </row>
    <row r="62" ht="15" customHeight="1">
      <c r="A62" t="inlineStr">
        <is>
          <t>A 1594-2023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46218</v>
      </c>
      <c r="F62" t="inlineStr">
        <is>
          <t>VÄSTMANLANDS LÄN</t>
        </is>
      </c>
      <c r="G62" t="inlineStr">
        <is>
          <t>VÄSTERÅS</t>
        </is>
      </c>
      <c r="I62" t="n">
        <v>10.9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Sparvuggla</t>
        </is>
      </c>
      <c r="V62">
        <f>HYPERLINK("https://klasma.github.io/Logging_1980/artfynd/A 1594-2023 artfynd.xlsx", "A 1594-2023")</f>
        <v/>
      </c>
      <c r="W62">
        <f>HYPERLINK("https://klasma.github.io/Logging_1980/kartor/A 1594-2023 karta.png", "A 1594-2023")</f>
        <v/>
      </c>
      <c r="Y62">
        <f>HYPERLINK("https://klasma.github.io/Logging_1980/klagomål/A 1594-2023 FSC-klagomål.docx", "A 1594-2023")</f>
        <v/>
      </c>
      <c r="Z62">
        <f>HYPERLINK("https://klasma.github.io/Logging_1980/klagomålsmail/A 1594-2023 FSC-klagomål mail.docx", "A 1594-2023")</f>
        <v/>
      </c>
      <c r="AA62">
        <f>HYPERLINK("https://klasma.github.io/Logging_1980/tillsyn/A 1594-2023 tillsynsbegäran.docx", "A 1594-2023")</f>
        <v/>
      </c>
      <c r="AB62">
        <f>HYPERLINK("https://klasma.github.io/Logging_1980/tillsynsmail/A 1594-2023 tillsynsbegäran mail.docx", "A 1594-2023")</f>
        <v/>
      </c>
      <c r="AC62">
        <f>HYPERLINK("https://klasma.github.io/Logging_1980/fåglar/A 1594-2023 prioriterade fågelarter.docx", "A 1594-2023")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46218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46218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46218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46218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46218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46218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46218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46218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46218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46218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46218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46218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46218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46218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46218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46218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46218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46218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10499-2022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44623</v>
      </c>
      <c r="E81" s="1" t="n">
        <v>46218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46218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44761</v>
      </c>
      <c r="E83" s="1" t="n">
        <v>46218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13367-2022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46218</v>
      </c>
      <c r="F84" t="inlineStr">
        <is>
          <t>VÄSTMANLANDS LÄN</t>
        </is>
      </c>
      <c r="G84" t="inlineStr">
        <is>
          <t>VÄSTERÅS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73334-2021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46218</v>
      </c>
      <c r="F85" t="inlineStr">
        <is>
          <t>VÄSTMANLANDS LÄN</t>
        </is>
      </c>
      <c r="G85" t="inlineStr">
        <is>
          <t>VÄSTERÅS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46218</v>
      </c>
      <c r="F86" t="inlineStr">
        <is>
          <t>VÄSTMANLANDS LÄN</t>
        </is>
      </c>
      <c r="G86" t="inlineStr">
        <is>
          <t>VÄSTERÅS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23766-2022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46218</v>
      </c>
      <c r="F87" t="inlineStr">
        <is>
          <t>VÄSTMANLANDS LÄN</t>
        </is>
      </c>
      <c r="G87" t="inlineStr">
        <is>
          <t>VÄSTERÅS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46218</v>
      </c>
      <c r="F88" t="inlineStr">
        <is>
          <t>VÄSTMANLANDS LÄN</t>
        </is>
      </c>
      <c r="G88" t="inlineStr">
        <is>
          <t>VÄSTERÅS</t>
        </is>
      </c>
      <c r="I88" t="n">
        <v>11.3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44608</v>
      </c>
      <c r="E89" s="1" t="n">
        <v>46218</v>
      </c>
      <c r="F89" t="inlineStr">
        <is>
          <t>VÄSTMANLANDS LÄN</t>
        </is>
      </c>
      <c r="G89" t="inlineStr">
        <is>
          <t>VÄSTERÅS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17036-2022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46218</v>
      </c>
      <c r="F90" t="inlineStr">
        <is>
          <t>VÄSTMANLANDS LÄN</t>
        </is>
      </c>
      <c r="G90" t="inlineStr">
        <is>
          <t>VÄSTERÅS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46218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46218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22602-2022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46218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46116-2022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46218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16497-2022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46218</v>
      </c>
      <c r="F95" t="inlineStr">
        <is>
          <t>VÄSTMANLANDS LÄN</t>
        </is>
      </c>
      <c r="G95" t="inlineStr">
        <is>
          <t>VÄSTERÅS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39206-2021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44413</v>
      </c>
      <c r="E96" s="1" t="n">
        <v>46218</v>
      </c>
      <c r="F96" t="inlineStr">
        <is>
          <t>VÄSTMANLANDS LÄN</t>
        </is>
      </c>
      <c r="G96" t="inlineStr">
        <is>
          <t>VÄSTERÅS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55676-2023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45232</v>
      </c>
      <c r="E97" s="1" t="n">
        <v>46218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37.9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44572</v>
      </c>
      <c r="E98" s="1" t="n">
        <v>46218</v>
      </c>
      <c r="F98" t="inlineStr">
        <is>
          <t>VÄSTMANLANDS LÄN</t>
        </is>
      </c>
      <c r="G98" t="inlineStr">
        <is>
          <t>VÄSTERÅS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46218</v>
      </c>
      <c r="F99" t="inlineStr">
        <is>
          <t>VÄSTMANLANDS LÄN</t>
        </is>
      </c>
      <c r="G99" t="inlineStr">
        <is>
          <t>VÄSTERÅS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73601-2021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46218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46218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11983-2022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44635</v>
      </c>
      <c r="E102" s="1" t="n">
        <v>46218</v>
      </c>
      <c r="F102" t="inlineStr">
        <is>
          <t>VÄSTMANLANDS LÄN</t>
        </is>
      </c>
      <c r="G102" t="inlineStr">
        <is>
          <t>VÄSTERÅS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11989-2022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46218</v>
      </c>
      <c r="F103" t="inlineStr">
        <is>
          <t>VÄSTMANLANDS LÄN</t>
        </is>
      </c>
      <c r="G103" t="inlineStr">
        <is>
          <t>VÄSTERÅS</t>
        </is>
      </c>
      <c r="I103" t="n">
        <v>12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51572-2023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46218</v>
      </c>
      <c r="F104" t="inlineStr">
        <is>
          <t>VÄSTMANLANDS LÄN</t>
        </is>
      </c>
      <c r="G104" t="inlineStr">
        <is>
          <t>VÄSTERÅS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42257-2023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46218</v>
      </c>
      <c r="F105" t="inlineStr">
        <is>
          <t>VÄSTMANLANDS LÄN</t>
        </is>
      </c>
      <c r="G105" t="inlineStr">
        <is>
          <t>VÄSTERÅS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55684-2023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45232</v>
      </c>
      <c r="E106" s="1" t="n">
        <v>46218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29.4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52569-2022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46218</v>
      </c>
      <c r="F107" t="inlineStr">
        <is>
          <t>VÄSTMANLANDS LÄN</t>
        </is>
      </c>
      <c r="G107" t="inlineStr">
        <is>
          <t>VÄSTERÅS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21761-2022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44708</v>
      </c>
      <c r="E108" s="1" t="n">
        <v>46218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29746-2022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44755</v>
      </c>
      <c r="E109" s="1" t="n">
        <v>46218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38823-2025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46218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46156-2022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46218</v>
      </c>
      <c r="F111" t="inlineStr">
        <is>
          <t>VÄSTMANLANDS LÄN</t>
        </is>
      </c>
      <c r="G111" t="inlineStr">
        <is>
          <t>VÄSTERÅS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67353-2021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46218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Övriga Aktiebolag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40304-2023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46218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46218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46218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30096-2023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46218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12258-2022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44637</v>
      </c>
      <c r="E117" s="1" t="n">
        <v>46218</v>
      </c>
      <c r="F117" t="inlineStr">
        <is>
          <t>VÄSTMANLANDS LÄN</t>
        </is>
      </c>
      <c r="G117" t="inlineStr">
        <is>
          <t>VÄSTERÅS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26556-2022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46218</v>
      </c>
      <c r="F118" t="inlineStr">
        <is>
          <t>VÄSTMANLANDS LÄN</t>
        </is>
      </c>
      <c r="G118" t="inlineStr">
        <is>
          <t>VÄSTERÅS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59765-2023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46218</v>
      </c>
      <c r="F119" t="inlineStr">
        <is>
          <t>VÄSTMANLANDS LÄN</t>
        </is>
      </c>
      <c r="G119" t="inlineStr">
        <is>
          <t>VÄSTERÅS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74314-2021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44559</v>
      </c>
      <c r="E120" s="1" t="n">
        <v>46218</v>
      </c>
      <c r="F120" t="inlineStr">
        <is>
          <t>VÄSTMANLANDS LÄN</t>
        </is>
      </c>
      <c r="G120" t="inlineStr">
        <is>
          <t>VÄSTERÅS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46218</v>
      </c>
      <c r="F121" t="inlineStr">
        <is>
          <t>VÄSTMANLANDS LÄN</t>
        </is>
      </c>
      <c r="G121" t="inlineStr">
        <is>
          <t>VÄSTERÅS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7439-2025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46218</v>
      </c>
      <c r="F122" t="inlineStr">
        <is>
          <t>VÄSTMANLANDS LÄN</t>
        </is>
      </c>
      <c r="G122" t="inlineStr">
        <is>
          <t>VÄSTERÅS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8357-2022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44610</v>
      </c>
      <c r="E123" s="1" t="n">
        <v>46218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61069-2022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46218</v>
      </c>
      <c r="F124" t="inlineStr">
        <is>
          <t>VÄSTMANLANDS LÄN</t>
        </is>
      </c>
      <c r="G124" t="inlineStr">
        <is>
          <t>VÄSTERÅS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46218</v>
      </c>
      <c r="F125" t="inlineStr">
        <is>
          <t>VÄSTMANLANDS LÄN</t>
        </is>
      </c>
      <c r="G125" t="inlineStr">
        <is>
          <t>VÄSTERÅS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41344-2023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46218</v>
      </c>
      <c r="F126" t="inlineStr">
        <is>
          <t>VÄSTMANLANDS LÄN</t>
        </is>
      </c>
      <c r="G126" t="inlineStr">
        <is>
          <t>VÄSTERÅS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8346-2022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46218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45027</v>
      </c>
      <c r="E128" s="1" t="n">
        <v>46218</v>
      </c>
      <c r="F128" t="inlineStr">
        <is>
          <t>VÄSTMANLANDS LÄN</t>
        </is>
      </c>
      <c r="G128" t="inlineStr">
        <is>
          <t>VÄSTERÅS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16037-2023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45027</v>
      </c>
      <c r="E129" s="1" t="n">
        <v>46218</v>
      </c>
      <c r="F129" t="inlineStr">
        <is>
          <t>VÄSTMANLANDS LÄN</t>
        </is>
      </c>
      <c r="G129" t="inlineStr">
        <is>
          <t>VÄSTERÅS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15201-2022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44658</v>
      </c>
      <c r="E130" s="1" t="n">
        <v>46218</v>
      </c>
      <c r="F130" t="inlineStr">
        <is>
          <t>VÄSTMANLANDS LÄN</t>
        </is>
      </c>
      <c r="G130" t="inlineStr">
        <is>
          <t>VÄSTERÅS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58960-2022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46218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41114-2022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46218</v>
      </c>
      <c r="F132" t="inlineStr">
        <is>
          <t>VÄSTMANLANDS LÄN</t>
        </is>
      </c>
      <c r="G132" t="inlineStr">
        <is>
          <t>VÄSTERÅS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46218</v>
      </c>
      <c r="F133" t="inlineStr">
        <is>
          <t>VÄSTMANLANDS LÄN</t>
        </is>
      </c>
      <c r="G133" t="inlineStr">
        <is>
          <t>VÄSTERÅS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46218</v>
      </c>
      <c r="F134" t="inlineStr">
        <is>
          <t>VÄSTMANLANDS LÄN</t>
        </is>
      </c>
      <c r="G134" t="inlineStr">
        <is>
          <t>VÄSTERÅS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52015-2024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45607</v>
      </c>
      <c r="E135" s="1" t="n">
        <v>46218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64714-2023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46218</v>
      </c>
      <c r="F136" t="inlineStr">
        <is>
          <t>VÄSTMANLANDS LÄN</t>
        </is>
      </c>
      <c r="G136" t="inlineStr">
        <is>
          <t>VÄSTERÅS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12649-2023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46218</v>
      </c>
      <c r="F137" t="inlineStr">
        <is>
          <t>VÄSTMANLANDS LÄN</t>
        </is>
      </c>
      <c r="G137" t="inlineStr">
        <is>
          <t>VÄSTERÅS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42898-2025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46218</v>
      </c>
      <c r="F138" t="inlineStr">
        <is>
          <t>VÄSTMANLANDS LÄN</t>
        </is>
      </c>
      <c r="G138" t="inlineStr">
        <is>
          <t>VÄSTERÅS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45019</v>
      </c>
      <c r="E139" s="1" t="n">
        <v>46218</v>
      </c>
      <c r="F139" t="inlineStr">
        <is>
          <t>VÄSTMANLANDS LÄN</t>
        </is>
      </c>
      <c r="G139" t="inlineStr">
        <is>
          <t>VÄSTERÅS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59740-2024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46218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8727-2023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44978</v>
      </c>
      <c r="E141" s="1" t="n">
        <v>46218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Kyrkan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16214-2023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45028</v>
      </c>
      <c r="E142" s="1" t="n">
        <v>46218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45398</v>
      </c>
      <c r="E143" s="1" t="n">
        <v>46218</v>
      </c>
      <c r="F143" t="inlineStr">
        <is>
          <t>VÄSTMANLANDS LÄN</t>
        </is>
      </c>
      <c r="G143" t="inlineStr">
        <is>
          <t>VÄSTERÅS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44961</v>
      </c>
      <c r="E144" s="1" t="n">
        <v>46218</v>
      </c>
      <c r="F144" t="inlineStr">
        <is>
          <t>VÄSTMANLANDS LÄN</t>
        </is>
      </c>
      <c r="G144" t="inlineStr">
        <is>
          <t>VÄSTERÅS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42659-2021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44428</v>
      </c>
      <c r="E145" s="1" t="n">
        <v>46218</v>
      </c>
      <c r="F145" t="inlineStr">
        <is>
          <t>VÄSTMANLANDS LÄN</t>
        </is>
      </c>
      <c r="G145" t="inlineStr">
        <is>
          <t>VÄSTERÅS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51004-2024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46218</v>
      </c>
      <c r="F146" t="inlineStr">
        <is>
          <t>VÄSTMANLANDS LÄN</t>
        </is>
      </c>
      <c r="G146" t="inlineStr">
        <is>
          <t>VÄSTERÅS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10546-2024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46218</v>
      </c>
      <c r="F147" t="inlineStr">
        <is>
          <t>VÄSTMANLANDS LÄN</t>
        </is>
      </c>
      <c r="G147" t="inlineStr">
        <is>
          <t>VÄSTERÅS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51230-2023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46218</v>
      </c>
      <c r="F148" t="inlineStr">
        <is>
          <t>VÄSTMANLANDS LÄN</t>
        </is>
      </c>
      <c r="G148" t="inlineStr">
        <is>
          <t>VÄSTERÅS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46218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18126-2025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46218</v>
      </c>
      <c r="F150" t="inlineStr">
        <is>
          <t>VÄSTMANLANDS LÄN</t>
        </is>
      </c>
      <c r="G150" t="inlineStr">
        <is>
          <t>VÄSTERÅS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46218</v>
      </c>
      <c r="F151" t="inlineStr">
        <is>
          <t>VÄSTMANLANDS LÄN</t>
        </is>
      </c>
      <c r="G151" t="inlineStr">
        <is>
          <t>VÄSTERÅS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3118-2022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44582</v>
      </c>
      <c r="E152" s="1" t="n">
        <v>46218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Aktiebolag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15622-2022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44662</v>
      </c>
      <c r="E153" s="1" t="n">
        <v>46218</v>
      </c>
      <c r="F153" t="inlineStr">
        <is>
          <t>VÄSTMANLANDS LÄN</t>
        </is>
      </c>
      <c r="G153" t="inlineStr">
        <is>
          <t>VÄSTERÅS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46218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46218</v>
      </c>
      <c r="F155" t="inlineStr">
        <is>
          <t>VÄSTMANLANDS LÄN</t>
        </is>
      </c>
      <c r="G155" t="inlineStr">
        <is>
          <t>VÄSTERÅS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70642-2021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46218</v>
      </c>
      <c r="F156" t="inlineStr">
        <is>
          <t>VÄSTMANLANDS LÄN</t>
        </is>
      </c>
      <c r="G156" t="inlineStr">
        <is>
          <t>VÄSTERÅS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23765-2022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46218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46218</v>
      </c>
      <c r="F158" t="inlineStr">
        <is>
          <t>VÄSTMANLANDS LÄN</t>
        </is>
      </c>
      <c r="G158" t="inlineStr">
        <is>
          <t>VÄSTERÅS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64793-2023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46218</v>
      </c>
      <c r="F159" t="inlineStr">
        <is>
          <t>VÄSTMANLANDS LÄN</t>
        </is>
      </c>
      <c r="G159" t="inlineStr">
        <is>
          <t>VÄSTERÅS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45296</v>
      </c>
      <c r="E160" s="1" t="n">
        <v>46218</v>
      </c>
      <c r="F160" t="inlineStr">
        <is>
          <t>VÄSTMANLANDS LÄN</t>
        </is>
      </c>
      <c r="G160" t="inlineStr">
        <is>
          <t>VÄSTERÅS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17808-2023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45037</v>
      </c>
      <c r="E161" s="1" t="n">
        <v>46218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22832-2023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46218</v>
      </c>
      <c r="F162" t="inlineStr">
        <is>
          <t>VÄSTMANLANDS LÄN</t>
        </is>
      </c>
      <c r="G162" t="inlineStr">
        <is>
          <t>VÄSTERÅS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51933-2023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45223</v>
      </c>
      <c r="E163" s="1" t="n">
        <v>46218</v>
      </c>
      <c r="F163" t="inlineStr">
        <is>
          <t>VÄSTMANLANDS LÄN</t>
        </is>
      </c>
      <c r="G163" t="inlineStr">
        <is>
          <t>VÄSTERÅS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46218</v>
      </c>
      <c r="F164" t="inlineStr">
        <is>
          <t>VÄSTMANLANDS LÄN</t>
        </is>
      </c>
      <c r="G164" t="inlineStr">
        <is>
          <t>VÄSTERÅS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10912-2024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46218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38538-2023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46218</v>
      </c>
      <c r="F166" t="inlineStr">
        <is>
          <t>VÄSTMANLANDS LÄN</t>
        </is>
      </c>
      <c r="G166" t="inlineStr">
        <is>
          <t>VÄSTERÅS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17258-2024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45414</v>
      </c>
      <c r="E167" s="1" t="n">
        <v>46218</v>
      </c>
      <c r="F167" t="inlineStr">
        <is>
          <t>VÄSTMANLANDS LÄN</t>
        </is>
      </c>
      <c r="G167" t="inlineStr">
        <is>
          <t>VÄSTERÅS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18465-2023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45042</v>
      </c>
      <c r="E168" s="1" t="n">
        <v>46218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73597-2021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46218</v>
      </c>
      <c r="F169" t="inlineStr">
        <is>
          <t>VÄSTMANLANDS LÄN</t>
        </is>
      </c>
      <c r="G169" t="inlineStr">
        <is>
          <t>VÄSTERÅS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64202-2023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46218</v>
      </c>
      <c r="F170" t="inlineStr">
        <is>
          <t>VÄSTMANLANDS LÄN</t>
        </is>
      </c>
      <c r="G170" t="inlineStr">
        <is>
          <t>VÄSTERÅS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15329-2023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46218</v>
      </c>
      <c r="F171" t="inlineStr">
        <is>
          <t>VÄSTMANLANDS LÄN</t>
        </is>
      </c>
      <c r="G171" t="inlineStr">
        <is>
          <t>VÄSTERÅS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36641-2023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45153</v>
      </c>
      <c r="E172" s="1" t="n">
        <v>46218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51951-2023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45223</v>
      </c>
      <c r="E173" s="1" t="n">
        <v>46218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56945-2024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46218</v>
      </c>
      <c r="F174" t="inlineStr">
        <is>
          <t>VÄSTMANLANDS LÄN</t>
        </is>
      </c>
      <c r="G174" t="inlineStr">
        <is>
          <t>VÄSTERÅS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22700-2024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46218</v>
      </c>
      <c r="F175" t="inlineStr">
        <is>
          <t>VÄSTMANLANDS LÄN</t>
        </is>
      </c>
      <c r="G175" t="inlineStr">
        <is>
          <t>VÄSTERÅS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46218</v>
      </c>
      <c r="F176" t="inlineStr">
        <is>
          <t>VÄSTMANLANDS LÄN</t>
        </is>
      </c>
      <c r="G176" t="inlineStr">
        <is>
          <t>VÄSTERÅS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59536-2024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46218</v>
      </c>
      <c r="F177" t="inlineStr">
        <is>
          <t>VÄSTMANLANDS LÄN</t>
        </is>
      </c>
      <c r="G177" t="inlineStr">
        <is>
          <t>VÄSTERÅS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23455-2024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46218</v>
      </c>
      <c r="F178" t="inlineStr">
        <is>
          <t>VÄSTMANLANDS LÄN</t>
        </is>
      </c>
      <c r="G178" t="inlineStr">
        <is>
          <t>VÄSTERÅS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31618-2024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46218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46218</v>
      </c>
      <c r="F180" t="inlineStr">
        <is>
          <t>VÄSTMANLANDS LÄN</t>
        </is>
      </c>
      <c r="G180" t="inlineStr">
        <is>
          <t>VÄSTERÅS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52764-2022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44875</v>
      </c>
      <c r="E181" s="1" t="n">
        <v>46218</v>
      </c>
      <c r="F181" t="inlineStr">
        <is>
          <t>VÄSTMANLANDS LÄN</t>
        </is>
      </c>
      <c r="G181" t="inlineStr">
        <is>
          <t>VÄSTERÅS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46218</v>
      </c>
      <c r="F182" t="inlineStr">
        <is>
          <t>VÄSTMANLANDS LÄN</t>
        </is>
      </c>
      <c r="G182" t="inlineStr">
        <is>
          <t>VÄSTERÅS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39810-2024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46218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50564-2025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46218</v>
      </c>
      <c r="F184" t="inlineStr">
        <is>
          <t>VÄSTMANLANDS LÄN</t>
        </is>
      </c>
      <c r="G184" t="inlineStr">
        <is>
          <t>VÄSTERÅS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14926-2022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44657</v>
      </c>
      <c r="E185" s="1" t="n">
        <v>46218</v>
      </c>
      <c r="F185" t="inlineStr">
        <is>
          <t>VÄSTMANLANDS LÄN</t>
        </is>
      </c>
      <c r="G185" t="inlineStr">
        <is>
          <t>VÄSTERÅS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38436-2023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46218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51200-2025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46218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Övriga statliga verk och myndigheter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15316-2022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44659</v>
      </c>
      <c r="E188" s="1" t="n">
        <v>46218</v>
      </c>
      <c r="F188" t="inlineStr">
        <is>
          <t>VÄSTMANLANDS LÄN</t>
        </is>
      </c>
      <c r="G188" t="inlineStr">
        <is>
          <t>VÄSTERÅS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44595</v>
      </c>
      <c r="E189" s="1" t="n">
        <v>46218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8541-2023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46218</v>
      </c>
      <c r="F190" t="inlineStr">
        <is>
          <t>VÄSTMANLANDS LÄN</t>
        </is>
      </c>
      <c r="G190" t="inlineStr">
        <is>
          <t>VÄSTERÅS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12289-2024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46218</v>
      </c>
      <c r="F191" t="inlineStr">
        <is>
          <t>VÄSTMANLANDS LÄN</t>
        </is>
      </c>
      <c r="G191" t="inlineStr">
        <is>
          <t>VÄSTERÅS</t>
        </is>
      </c>
      <c r="I191" t="n">
        <v>15.4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52270-2025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46218</v>
      </c>
      <c r="F192" t="inlineStr">
        <is>
          <t>VÄSTMANLANDS LÄN</t>
        </is>
      </c>
      <c r="G192" t="inlineStr">
        <is>
          <t>VÄSTERÅS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11137-2023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44987</v>
      </c>
      <c r="E193" s="1" t="n">
        <v>46218</v>
      </c>
      <c r="F193" t="inlineStr">
        <is>
          <t>VÄSTMANLANDS LÄN</t>
        </is>
      </c>
      <c r="G193" t="inlineStr">
        <is>
          <t>VÄSTERÅS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52263-2025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46218</v>
      </c>
      <c r="F194" t="inlineStr">
        <is>
          <t>VÄSTMANLANDS LÄN</t>
        </is>
      </c>
      <c r="G194" t="inlineStr">
        <is>
          <t>VÄSTERÅS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46218</v>
      </c>
      <c r="F195" t="inlineStr">
        <is>
          <t>VÄSTMANLANDS LÄN</t>
        </is>
      </c>
      <c r="G195" t="inlineStr">
        <is>
          <t>VÄSTERÅS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46218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12612-2023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46218</v>
      </c>
      <c r="F197" t="inlineStr">
        <is>
          <t>VÄSTMANLANDS LÄN</t>
        </is>
      </c>
      <c r="G197" t="inlineStr">
        <is>
          <t>VÄSTERÅS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46218</v>
      </c>
      <c r="F198" t="inlineStr">
        <is>
          <t>VÄSTMANLANDS LÄN</t>
        </is>
      </c>
      <c r="G198" t="inlineStr">
        <is>
          <t>VÄSTERÅS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24121-2024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45456</v>
      </c>
      <c r="E199" s="1" t="n">
        <v>46218</v>
      </c>
      <c r="F199" t="inlineStr">
        <is>
          <t>VÄSTMANLANDS LÄN</t>
        </is>
      </c>
      <c r="G199" t="inlineStr">
        <is>
          <t>VÄSTERÅS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11950-2022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46218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63851-2021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44509</v>
      </c>
      <c r="E201" s="1" t="n">
        <v>46218</v>
      </c>
      <c r="F201" t="inlineStr">
        <is>
          <t>VÄSTMANLANDS LÄN</t>
        </is>
      </c>
      <c r="G201" t="inlineStr">
        <is>
          <t>VÄSTERÅS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31623-2024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46218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23641-2023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45077</v>
      </c>
      <c r="E203" s="1" t="n">
        <v>46218</v>
      </c>
      <c r="F203" t="inlineStr">
        <is>
          <t>VÄSTMANLANDS LÄN</t>
        </is>
      </c>
      <c r="G203" t="inlineStr">
        <is>
          <t>VÄSTERÅS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38345-2024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45545</v>
      </c>
      <c r="E204" s="1" t="n">
        <v>46218</v>
      </c>
      <c r="F204" t="inlineStr">
        <is>
          <t>VÄSTMANLANDS LÄN</t>
        </is>
      </c>
      <c r="G204" t="inlineStr">
        <is>
          <t>VÄSTERÅS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58577-2023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45251</v>
      </c>
      <c r="E205" s="1" t="n">
        <v>46218</v>
      </c>
      <c r="F205" t="inlineStr">
        <is>
          <t>VÄSTMANLANDS LÄN</t>
        </is>
      </c>
      <c r="G205" t="inlineStr">
        <is>
          <t>VÄSTERÅS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46218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24546-2025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46218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18457-2023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45042</v>
      </c>
      <c r="E208" s="1" t="n">
        <v>46218</v>
      </c>
      <c r="F208" t="inlineStr">
        <is>
          <t>VÄSTMANLANDS LÄN</t>
        </is>
      </c>
      <c r="G208" t="inlineStr">
        <is>
          <t>VÄSTERÅS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45125</v>
      </c>
      <c r="E209" s="1" t="n">
        <v>46218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27722-2022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46218</v>
      </c>
      <c r="F210" t="inlineStr">
        <is>
          <t>VÄSTMANLANDS LÄN</t>
        </is>
      </c>
      <c r="G210" t="inlineStr">
        <is>
          <t>VÄSTERÅS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64208-2023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46218</v>
      </c>
      <c r="F211" t="inlineStr">
        <is>
          <t>VÄSTMANLANDS LÄN</t>
        </is>
      </c>
      <c r="G211" t="inlineStr">
        <is>
          <t>VÄSTERÅS</t>
        </is>
      </c>
      <c r="I211" t="n">
        <v>13.9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22978-2022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44717</v>
      </c>
      <c r="E212" s="1" t="n">
        <v>46218</v>
      </c>
      <c r="F212" t="inlineStr">
        <is>
          <t>VÄSTMANLANDS LÄN</t>
        </is>
      </c>
      <c r="G212" t="inlineStr">
        <is>
          <t>VÄSTERÅS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51219-2023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45219</v>
      </c>
      <c r="E213" s="1" t="n">
        <v>46218</v>
      </c>
      <c r="F213" t="inlineStr">
        <is>
          <t>VÄSTMANLANDS LÄN</t>
        </is>
      </c>
      <c r="G213" t="inlineStr">
        <is>
          <t>VÄSTERÅS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39127-2022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44816</v>
      </c>
      <c r="E214" s="1" t="n">
        <v>46218</v>
      </c>
      <c r="F214" t="inlineStr">
        <is>
          <t>VÄSTMANLANDS LÄN</t>
        </is>
      </c>
      <c r="G214" t="inlineStr">
        <is>
          <t>VÄSTERÅS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56076-2023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45235</v>
      </c>
      <c r="E215" s="1" t="n">
        <v>46218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Övriga Aktiebolag</t>
        </is>
      </c>
      <c r="I215" t="n">
        <v>37.8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50996-2024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46218</v>
      </c>
      <c r="F216" t="inlineStr">
        <is>
          <t>VÄSTMANLANDS LÄN</t>
        </is>
      </c>
      <c r="G216" t="inlineStr">
        <is>
          <t>VÄSTERÅS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46218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55980-2025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46218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44680</v>
      </c>
      <c r="E219" s="1" t="n">
        <v>46218</v>
      </c>
      <c r="F219" t="inlineStr">
        <is>
          <t>VÄSTMANLANDS LÄN</t>
        </is>
      </c>
      <c r="G219" t="inlineStr">
        <is>
          <t>VÄSTERÅS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46218</v>
      </c>
      <c r="F220" t="inlineStr">
        <is>
          <t>VÄSTMANLANDS LÄN</t>
        </is>
      </c>
      <c r="G220" t="inlineStr">
        <is>
          <t>VÄSTERÅS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32053-2023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46218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57102-2025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46218</v>
      </c>
      <c r="F222" t="inlineStr">
        <is>
          <t>VÄSTMANLANDS LÄN</t>
        </is>
      </c>
      <c r="G222" t="inlineStr">
        <is>
          <t>VÄSTERÅS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54537-2024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46218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13376-2022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44645</v>
      </c>
      <c r="E224" s="1" t="n">
        <v>46218</v>
      </c>
      <c r="F224" t="inlineStr">
        <is>
          <t>VÄSTMANLANDS LÄN</t>
        </is>
      </c>
      <c r="G224" t="inlineStr">
        <is>
          <t>VÄSTERÅS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57114-2025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46218</v>
      </c>
      <c r="F225" t="inlineStr">
        <is>
          <t>VÄSTMANLANDS LÄN</t>
        </is>
      </c>
      <c r="G225" t="inlineStr">
        <is>
          <t>VÄSTERÅS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32350-2023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45110</v>
      </c>
      <c r="E226" s="1" t="n">
        <v>46218</v>
      </c>
      <c r="F226" t="inlineStr">
        <is>
          <t>VÄSTMANLANDS LÄN</t>
        </is>
      </c>
      <c r="G226" t="inlineStr">
        <is>
          <t>VÄSTERÅS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13614-2022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44648</v>
      </c>
      <c r="E227" s="1" t="n">
        <v>46218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12131-2022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46218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56902-2024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46218</v>
      </c>
      <c r="F229" t="inlineStr">
        <is>
          <t>VÄSTMANLANDS LÄN</t>
        </is>
      </c>
      <c r="G229" t="inlineStr">
        <is>
          <t>VÄSTERÅS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51223-2023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46218</v>
      </c>
      <c r="F230" t="inlineStr">
        <is>
          <t>VÄSTMANLANDS LÄN</t>
        </is>
      </c>
      <c r="G230" t="inlineStr">
        <is>
          <t>VÄSTERÅS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46218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46218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57873-2022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46218</v>
      </c>
      <c r="F233" t="inlineStr">
        <is>
          <t>VÄSTMANLANDS LÄN</t>
        </is>
      </c>
      <c r="G233" t="inlineStr">
        <is>
          <t>VÄSTERÅS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31569-2025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46218</v>
      </c>
      <c r="F234" t="inlineStr">
        <is>
          <t>VÄSTMANLANDS LÄN</t>
        </is>
      </c>
      <c r="G234" t="inlineStr">
        <is>
          <t>VÄSTERÅS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38329-2021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44405</v>
      </c>
      <c r="E235" s="1" t="n">
        <v>46218</v>
      </c>
      <c r="F235" t="inlineStr">
        <is>
          <t>VÄSTMANLANDS LÄN</t>
        </is>
      </c>
      <c r="G235" t="inlineStr">
        <is>
          <t>VÄSTERÅS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15350-2023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45019</v>
      </c>
      <c r="E236" s="1" t="n">
        <v>46218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46218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12143-2022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44636</v>
      </c>
      <c r="E238" s="1" t="n">
        <v>46218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Kommuner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12148-2022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44636</v>
      </c>
      <c r="E239" s="1" t="n">
        <v>46218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44695-2022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46218</v>
      </c>
      <c r="F240" t="inlineStr">
        <is>
          <t>VÄSTMANLANDS LÄN</t>
        </is>
      </c>
      <c r="G240" t="inlineStr">
        <is>
          <t>VÄSTERÅS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32851-2024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46218</v>
      </c>
      <c r="F241" t="inlineStr">
        <is>
          <t>VÄSTMANLANDS LÄN</t>
        </is>
      </c>
      <c r="G241" t="inlineStr">
        <is>
          <t>VÄSTERÅS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44574</v>
      </c>
      <c r="E242" s="1" t="n">
        <v>46218</v>
      </c>
      <c r="F242" t="inlineStr">
        <is>
          <t>VÄSTMANLANDS LÄN</t>
        </is>
      </c>
      <c r="G242" t="inlineStr">
        <is>
          <t>VÄSTERÅS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56532-2022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46218</v>
      </c>
      <c r="F243" t="inlineStr">
        <is>
          <t>VÄSTMANLANDS LÄN</t>
        </is>
      </c>
      <c r="G243" t="inlineStr">
        <is>
          <t>VÄSTERÅS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15889-2022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44664</v>
      </c>
      <c r="E244" s="1" t="n">
        <v>46218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59142-2025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46218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53836-2022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46218</v>
      </c>
      <c r="F246" t="inlineStr">
        <is>
          <t>VÄSTMANLANDS LÄN</t>
        </is>
      </c>
      <c r="G246" t="inlineStr">
        <is>
          <t>VÄSTERÅS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53833-2022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46218</v>
      </c>
      <c r="F247" t="inlineStr">
        <is>
          <t>VÄSTMANLANDS LÄN</t>
        </is>
      </c>
      <c r="G247" t="inlineStr">
        <is>
          <t>VÄSTERÅS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46218</v>
      </c>
      <c r="F248" t="inlineStr">
        <is>
          <t>VÄSTMANLANDS LÄN</t>
        </is>
      </c>
      <c r="G248" t="inlineStr">
        <is>
          <t>VÄSTERÅS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19927-2026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46136</v>
      </c>
      <c r="E249" s="1" t="n">
        <v>46218</v>
      </c>
      <c r="F249" t="inlineStr">
        <is>
          <t>VÄSTMANLANDS LÄN</t>
        </is>
      </c>
      <c r="G249" t="inlineStr">
        <is>
          <t>VÄSTERÅS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31578-2025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45833</v>
      </c>
      <c r="E250" s="1" t="n">
        <v>46218</v>
      </c>
      <c r="F250" t="inlineStr">
        <is>
          <t>VÄSTMANLANDS LÄN</t>
        </is>
      </c>
      <c r="G250" t="inlineStr">
        <is>
          <t>VÄSTERÅS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32341-2023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45110</v>
      </c>
      <c r="E251" s="1" t="n">
        <v>46218</v>
      </c>
      <c r="F251" t="inlineStr">
        <is>
          <t>VÄSTMANLANDS LÄN</t>
        </is>
      </c>
      <c r="G251" t="inlineStr">
        <is>
          <t>VÄSTERÅS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15330-2023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46218</v>
      </c>
      <c r="F252" t="inlineStr">
        <is>
          <t>VÄSTMANLANDS LÄN</t>
        </is>
      </c>
      <c r="G252" t="inlineStr">
        <is>
          <t>VÄSTERÅS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15348-2023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45019</v>
      </c>
      <c r="E253" s="1" t="n">
        <v>46218</v>
      </c>
      <c r="F253" t="inlineStr">
        <is>
          <t>VÄSTMANLANDS LÄN</t>
        </is>
      </c>
      <c r="G253" t="inlineStr">
        <is>
          <t>VÄSTERÅS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18482-2023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45042</v>
      </c>
      <c r="E254" s="1" t="n">
        <v>46218</v>
      </c>
      <c r="F254" t="inlineStr">
        <is>
          <t>VÄSTMANLANDS LÄN</t>
        </is>
      </c>
      <c r="G254" t="inlineStr">
        <is>
          <t>VÄSTERÅS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26584-2026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46218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Allmännings- och besparingsskogar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58085-2022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46218</v>
      </c>
      <c r="F256" t="inlineStr">
        <is>
          <t>VÄSTMANLANDS LÄN</t>
        </is>
      </c>
      <c r="G256" t="inlineStr">
        <is>
          <t>VÄSTERÅS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46218</v>
      </c>
      <c r="F257" t="inlineStr">
        <is>
          <t>VÄSTMANLANDS LÄN</t>
        </is>
      </c>
      <c r="G257" t="inlineStr">
        <is>
          <t>VÄSTERÅS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31106-2025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46218</v>
      </c>
      <c r="F258" t="inlineStr">
        <is>
          <t>VÄSTMANLANDS LÄN</t>
        </is>
      </c>
      <c r="G258" t="inlineStr">
        <is>
          <t>VÄSTERÅS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24572-2023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45083</v>
      </c>
      <c r="E259" s="1" t="n">
        <v>46218</v>
      </c>
      <c r="F259" t="inlineStr">
        <is>
          <t>VÄSTMANLANDS LÄN</t>
        </is>
      </c>
      <c r="G259" t="inlineStr">
        <is>
          <t>VÄSTERÅS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15273-2024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45400</v>
      </c>
      <c r="E260" s="1" t="n">
        <v>46218</v>
      </c>
      <c r="F260" t="inlineStr">
        <is>
          <t>VÄSTMANLANDS LÄN</t>
        </is>
      </c>
      <c r="G260" t="inlineStr">
        <is>
          <t>VÄSTERÅS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26751-2026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46218</v>
      </c>
      <c r="F261" t="inlineStr">
        <is>
          <t>VÄSTMANLANDS LÄN</t>
        </is>
      </c>
      <c r="G261" t="inlineStr">
        <is>
          <t>VÄSTERÅS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26743-2026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46218</v>
      </c>
      <c r="F262" t="inlineStr">
        <is>
          <t>VÄSTMANLANDS LÄN</t>
        </is>
      </c>
      <c r="G262" t="inlineStr">
        <is>
          <t>VÄSTERÅS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26745-2026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46218</v>
      </c>
      <c r="F263" t="inlineStr">
        <is>
          <t>VÄSTMANLANDS LÄN</t>
        </is>
      </c>
      <c r="G263" t="inlineStr">
        <is>
          <t>VÄSTERÅS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7378-2022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46218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27301-2026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46218</v>
      </c>
      <c r="F265" t="inlineStr">
        <is>
          <t>VÄSTMANLANDS LÄN</t>
        </is>
      </c>
      <c r="G265" t="inlineStr">
        <is>
          <t>VÄSTERÅS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13388-2025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46218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8800-2023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46218</v>
      </c>
      <c r="F267" t="inlineStr">
        <is>
          <t>VÄSTMANLANDS LÄN</t>
        </is>
      </c>
      <c r="G267" t="inlineStr">
        <is>
          <t>VÄSTERÅS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67352-2021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44523</v>
      </c>
      <c r="E268" s="1" t="n">
        <v>46218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Övriga Aktiebolag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35700-2024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46218</v>
      </c>
      <c r="F269" t="inlineStr">
        <is>
          <t>VÄSTMANLANDS LÄN</t>
        </is>
      </c>
      <c r="G269" t="inlineStr">
        <is>
          <t>VÄSTERÅS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45804-2024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46218</v>
      </c>
      <c r="F270" t="inlineStr">
        <is>
          <t>VÄSTMANLANDS LÄN</t>
        </is>
      </c>
      <c r="G270" t="inlineStr">
        <is>
          <t>VÄSTERÅS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52396-2022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44874</v>
      </c>
      <c r="E271" s="1" t="n">
        <v>46218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27551-2026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46218</v>
      </c>
      <c r="F272" t="inlineStr">
        <is>
          <t>VÄSTMANLANDS LÄN</t>
        </is>
      </c>
      <c r="G272" t="inlineStr">
        <is>
          <t>VÄSTERÅS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21758-2026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46218</v>
      </c>
      <c r="F273" t="inlineStr">
        <is>
          <t>VÄSTMANLANDS LÄN</t>
        </is>
      </c>
      <c r="G273" t="inlineStr">
        <is>
          <t>VÄSTERÅS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58231-2022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46218</v>
      </c>
      <c r="F274" t="inlineStr">
        <is>
          <t>VÄSTMANLANDS LÄN</t>
        </is>
      </c>
      <c r="G274" t="inlineStr">
        <is>
          <t>VÄSTERÅS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50948-2023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46218</v>
      </c>
      <c r="F275" t="inlineStr">
        <is>
          <t>VÄSTMANLANDS LÄN</t>
        </is>
      </c>
      <c r="G275" t="inlineStr">
        <is>
          <t>VÄSTERÅS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46218</v>
      </c>
      <c r="F276" t="inlineStr">
        <is>
          <t>VÄSTMANLANDS LÄN</t>
        </is>
      </c>
      <c r="G276" t="inlineStr">
        <is>
          <t>VÄSTERÅS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61258-2023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46218</v>
      </c>
      <c r="F277" t="inlineStr">
        <is>
          <t>VÄSTMANLANDS LÄN</t>
        </is>
      </c>
      <c r="G277" t="inlineStr">
        <is>
          <t>VÄSTERÅS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18467-2023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45042</v>
      </c>
      <c r="E278" s="1" t="n">
        <v>46218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46218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Allmännings- och besparingsskogar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22370-2026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46218</v>
      </c>
      <c r="F280" t="inlineStr">
        <is>
          <t>VÄSTMANLANDS LÄN</t>
        </is>
      </c>
      <c r="G280" t="inlineStr">
        <is>
          <t>VÄSTERÅS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24402-2024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45457</v>
      </c>
      <c r="E281" s="1" t="n">
        <v>46218</v>
      </c>
      <c r="F281" t="inlineStr">
        <is>
          <t>VÄSTMANLANDS LÄN</t>
        </is>
      </c>
      <c r="G281" t="inlineStr">
        <is>
          <t>VÄSTERÅS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22287-2026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46218</v>
      </c>
      <c r="F282" t="inlineStr">
        <is>
          <t>VÄSTMANLANDS LÄN</t>
        </is>
      </c>
      <c r="G282" t="inlineStr">
        <is>
          <t>VÄSTERÅS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22291-2026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46218</v>
      </c>
      <c r="F283" t="inlineStr">
        <is>
          <t>VÄSTMANLANDS LÄN</t>
        </is>
      </c>
      <c r="G283" t="inlineStr">
        <is>
          <t>VÄSTERÅS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22294-2026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46218</v>
      </c>
      <c r="F284" t="inlineStr">
        <is>
          <t>VÄSTMANLANDS LÄN</t>
        </is>
      </c>
      <c r="G284" t="inlineStr">
        <is>
          <t>VÄSTERÅS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28341-2026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46218</v>
      </c>
      <c r="F285" t="inlineStr">
        <is>
          <t>VÄSTMANLANDS LÄN</t>
        </is>
      </c>
      <c r="G285" t="inlineStr">
        <is>
          <t>VÄSTERÅS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27271-2026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46218</v>
      </c>
      <c r="F286" t="inlineStr">
        <is>
          <t>VÄSTMANLANDS LÄN</t>
        </is>
      </c>
      <c r="G286" t="inlineStr">
        <is>
          <t>VÄSTERÅS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46218</v>
      </c>
      <c r="F287" t="inlineStr">
        <is>
          <t>VÄSTMANLANDS LÄN</t>
        </is>
      </c>
      <c r="G287" t="inlineStr">
        <is>
          <t>VÄSTERÅS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46218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67350-2021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44523</v>
      </c>
      <c r="E289" s="1" t="n">
        <v>46218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Övriga Aktiebolag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10496-2022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46218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16844-2023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45033</v>
      </c>
      <c r="E291" s="1" t="n">
        <v>46218</v>
      </c>
      <c r="F291" t="inlineStr">
        <is>
          <t>VÄSTMANLANDS LÄN</t>
        </is>
      </c>
      <c r="G291" t="inlineStr">
        <is>
          <t>VÄSTERÅS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73994-2021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44556</v>
      </c>
      <c r="E292" s="1" t="n">
        <v>46218</v>
      </c>
      <c r="F292" t="inlineStr">
        <is>
          <t>VÄSTMANLANDS LÄN</t>
        </is>
      </c>
      <c r="G292" t="inlineStr">
        <is>
          <t>VÄSTERÅS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18119-2025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46218</v>
      </c>
      <c r="F293" t="inlineStr">
        <is>
          <t>VÄSTMANLANDS LÄN</t>
        </is>
      </c>
      <c r="G293" t="inlineStr">
        <is>
          <t>VÄSTERÅS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61249-2021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44498</v>
      </c>
      <c r="E294" s="1" t="n">
        <v>46218</v>
      </c>
      <c r="F294" t="inlineStr">
        <is>
          <t>VÄSTMANLANDS LÄN</t>
        </is>
      </c>
      <c r="G294" t="inlineStr">
        <is>
          <t>VÄSTERÅS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50987-2024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46218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23347-2026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46218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7701-2026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46218</v>
      </c>
      <c r="F297" t="inlineStr">
        <is>
          <t>VÄSTMANLANDS LÄN</t>
        </is>
      </c>
      <c r="G297" t="inlineStr">
        <is>
          <t>VÄSTERÅS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7797-2026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46062</v>
      </c>
      <c r="E298" s="1" t="n">
        <v>46218</v>
      </c>
      <c r="F298" t="inlineStr">
        <is>
          <t>VÄSTMANLANDS LÄN</t>
        </is>
      </c>
      <c r="G298" t="inlineStr">
        <is>
          <t>VÄSTERÅS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23497-2026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46218</v>
      </c>
      <c r="F299" t="inlineStr">
        <is>
          <t>VÄSTMANLANDS LÄN</t>
        </is>
      </c>
      <c r="G299" t="inlineStr">
        <is>
          <t>VÄSTERÅS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8871-2026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46218</v>
      </c>
      <c r="F300" t="inlineStr">
        <is>
          <t>VÄSTMANLANDS LÄN</t>
        </is>
      </c>
      <c r="G300" t="inlineStr">
        <is>
          <t>VÄSTERÅS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8870-2026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46218</v>
      </c>
      <c r="F301" t="inlineStr">
        <is>
          <t>VÄSTMANLANDS LÄN</t>
        </is>
      </c>
      <c r="G301" t="inlineStr">
        <is>
          <t>VÄSTERÅS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24266-2026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46218</v>
      </c>
      <c r="F302" t="inlineStr">
        <is>
          <t>VÄSTMANLANDS LÄN</t>
        </is>
      </c>
      <c r="G302" t="inlineStr">
        <is>
          <t>VÄSTERÅS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46218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46218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52027-2025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45952</v>
      </c>
      <c r="E305" s="1" t="n">
        <v>46218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Övriga statliga verk och myndigheter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46218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11072-2026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46079</v>
      </c>
      <c r="E307" s="1" t="n">
        <v>46218</v>
      </c>
      <c r="F307" t="inlineStr">
        <is>
          <t>VÄSTMANLANDS LÄN</t>
        </is>
      </c>
      <c r="G307" t="inlineStr">
        <is>
          <t>VÄSTERÅS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24321-2026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46218</v>
      </c>
      <c r="F308" t="inlineStr">
        <is>
          <t>VÄSTMANLANDS LÄN</t>
        </is>
      </c>
      <c r="G308" t="inlineStr">
        <is>
          <t>VÄSTERÅS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11745-2026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46218</v>
      </c>
      <c r="F309" t="inlineStr">
        <is>
          <t>VÄSTMANLANDS LÄN</t>
        </is>
      </c>
      <c r="G309" t="inlineStr">
        <is>
          <t>VÄSTERÅS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5208-2022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46218</v>
      </c>
      <c r="F310" t="inlineStr">
        <is>
          <t>VÄSTMANLANDS LÄN</t>
        </is>
      </c>
      <c r="G310" t="inlineStr">
        <is>
          <t>VÄSTERÅS</t>
        </is>
      </c>
      <c r="I310" t="n">
        <v>20.3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11739-2026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46218</v>
      </c>
      <c r="F311" t="inlineStr">
        <is>
          <t>VÄSTMANLANDS LÄN</t>
        </is>
      </c>
      <c r="G311" t="inlineStr">
        <is>
          <t>VÄSTERÅS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10870-2026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46218</v>
      </c>
      <c r="F312" t="inlineStr">
        <is>
          <t>VÄSTMANLANDS LÄN</t>
        </is>
      </c>
      <c r="G312" t="inlineStr">
        <is>
          <t>VÄSTERÅS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11520-2026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46218</v>
      </c>
      <c r="F313" t="inlineStr">
        <is>
          <t>VÄSTMANLANDS LÄN</t>
        </is>
      </c>
      <c r="G313" t="inlineStr">
        <is>
          <t>VÄSTERÅS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24540-2026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46218</v>
      </c>
      <c r="F314" t="inlineStr">
        <is>
          <t>VÄSTMANLANDS LÄN</t>
        </is>
      </c>
      <c r="G314" t="inlineStr">
        <is>
          <t>VÄSTERÅS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30970-2026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46213</v>
      </c>
      <c r="E315" s="1" t="n">
        <v>46218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12628-2026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46218</v>
      </c>
      <c r="F316" t="inlineStr">
        <is>
          <t>VÄSTMANLANDS LÄN</t>
        </is>
      </c>
      <c r="G316" t="inlineStr">
        <is>
          <t>VÄSTERÅS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12625-2026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46218</v>
      </c>
      <c r="F317" t="inlineStr">
        <is>
          <t>VÄSTMANLANDS LÄN</t>
        </is>
      </c>
      <c r="G317" t="inlineStr">
        <is>
          <t>VÄSTERÅS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46218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31054-2026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46215</v>
      </c>
      <c r="E319" s="1" t="n">
        <v>46218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31058-2026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46215</v>
      </c>
      <c r="E320" s="1" t="n">
        <v>46218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31232-2026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46218</v>
      </c>
      <c r="F321" t="inlineStr">
        <is>
          <t>VÄSTMANLANDS LÄN</t>
        </is>
      </c>
      <c r="G321" t="inlineStr">
        <is>
          <t>VÄSTERÅS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46215</v>
      </c>
      <c r="E322" s="1" t="n">
        <v>46218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46218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46215</v>
      </c>
      <c r="E324" s="1" t="n">
        <v>46218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14885-2026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46218</v>
      </c>
      <c r="F325" t="inlineStr">
        <is>
          <t>VÄSTMANLANDS LÄN</t>
        </is>
      </c>
      <c r="G325" t="inlineStr">
        <is>
          <t>VÄSTERÅS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11324-2026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46218</v>
      </c>
      <c r="F326" t="inlineStr">
        <is>
          <t>VÄSTMANLANDS LÄN</t>
        </is>
      </c>
      <c r="G326" t="inlineStr">
        <is>
          <t>VÄSTERÅS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11325-2026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46218</v>
      </c>
      <c r="F327" t="inlineStr">
        <is>
          <t>VÄSTMANLANDS LÄN</t>
        </is>
      </c>
      <c r="G327" t="inlineStr">
        <is>
          <t>VÄSTERÅS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16685-2026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46218</v>
      </c>
      <c r="F328" t="inlineStr">
        <is>
          <t>VÄSTMANLANDS LÄN</t>
        </is>
      </c>
      <c r="G328" t="inlineStr">
        <is>
          <t>VÄSTERÅS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16582-2026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46218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16583-2026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46218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16579-2026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46218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Sveaskog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16671-2026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46218</v>
      </c>
      <c r="F332" t="inlineStr">
        <is>
          <t>VÄSTMANLANDS LÄN</t>
        </is>
      </c>
      <c r="G332" t="inlineStr">
        <is>
          <t>VÄSTERÅS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17499-2026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46218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Allmännings- och besparingsskogar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17657-2026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46218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19791-2026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46135</v>
      </c>
      <c r="E335" s="1" t="n">
        <v>46218</v>
      </c>
      <c r="F335" t="inlineStr">
        <is>
          <t>VÄSTMANLANDS LÄN</t>
        </is>
      </c>
      <c r="G335" t="inlineStr">
        <is>
          <t>VÄSTERÅS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46218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46218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953-2023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45005</v>
      </c>
      <c r="E338" s="1" t="n">
        <v>46218</v>
      </c>
      <c r="F338" t="inlineStr">
        <is>
          <t>VÄSTMANLANDS LÄN</t>
        </is>
      </c>
      <c r="G338" t="inlineStr">
        <is>
          <t>VÄSTERÅS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1415-2022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44634</v>
      </c>
      <c r="E339" s="1" t="n">
        <v>46218</v>
      </c>
      <c r="F339" t="inlineStr">
        <is>
          <t>VÄSTMANLANDS LÄN</t>
        </is>
      </c>
      <c r="G339" t="inlineStr">
        <is>
          <t>VÄSTERÅS</t>
        </is>
      </c>
      <c r="H339" t="inlineStr">
        <is>
          <t>Kyrkan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46218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46218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46218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2026-07-15T01:23:45Z</dcterms:created>
  <dcterms:modified xmlns:dcterms="http://purl.org/dc/terms/" xmlns:xsi="http://www.w3.org/2001/XMLSchema-instance" xsi:type="dcterms:W3CDTF">2026-07-15T01:23:46Z</dcterms:modified>
</cp:coreProperties>
</file>