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46310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46310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46310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46310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46310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46310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46310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46310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46310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46310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46310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46310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46310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46310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46310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46310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6249-2024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45337</v>
      </c>
      <c r="E31" s="1" t="n">
        <v>46310</v>
      </c>
      <c r="F31" t="inlineStr">
        <is>
          <t>VÄSTMANLANDS LÄN</t>
        </is>
      </c>
      <c r="G31" t="inlineStr">
        <is>
          <t>VÄSTERÅS</t>
        </is>
      </c>
      <c r="I31" t="n">
        <v>6.5</v>
      </c>
      <c r="J31" t="n">
        <v>3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Grönfink
Blåsippa
Kungsfågel</t>
        </is>
      </c>
      <c r="W31">
        <f>HYPERLINK("https://klasma.github.io/Logging_1980/artfynd/A 6249-2024 artfynd.xlsx", "A 6249-2024")</f>
        <v/>
      </c>
      <c r="X31">
        <f>HYPERLINK("https://klasma.github.io/Logging_1980/kartor/A 6249-2024 karta.png", "A 6249-2024")</f>
        <v/>
      </c>
      <c r="Y31">
        <f>HYPERLINK("https://klasma.github.io/Logging_1980/kartor_geotiff/A 6249-2024 georefererad karta.tif", "A 6249-2024")</f>
        <v/>
      </c>
      <c r="AA31">
        <f>HYPERLINK("https://klasma.github.io/Logging_1980/klagomål/A 6249-2024 FSC-klagomål.docx", "A 6249-2024")</f>
        <v/>
      </c>
      <c r="AB31">
        <f>HYPERLINK("https://klasma.github.io/Logging_1980/klagomålsmail/A 6249-2024 FSC-klagomål mail.docx", "A 6249-2024")</f>
        <v/>
      </c>
      <c r="AC31">
        <f>HYPERLINK("https://klasma.github.io/Logging_1980/tillsyn/A 6249-2024 tillsynsbegäran.docx", "A 6249-2024")</f>
        <v/>
      </c>
      <c r="AD31">
        <f>HYPERLINK("https://klasma.github.io/Logging_1980/tillsynsmail/A 6249-2024 tillsynsbegäran mail.docx", "A 6249-2024")</f>
        <v/>
      </c>
      <c r="AE31">
        <f>HYPERLINK("https://klasma.github.io/Logging_1980/fåglar/A 6249-2024 prioriterade fågelarter.docx", "A 6249-2024")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46310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46310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46310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46310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46310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46310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46310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46310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46310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46310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46310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46310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46310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46310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46310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HYPERLINK("https://klasma.github.io/Logging_1980/artfynd/A 29787-2023 artfynd.xlsx", "A 29787-2023")</f>
        <v/>
      </c>
      <c r="X46">
        <f>HYPERLINK("https://klasma.github.io/Logging_1980/kartor/A 29787-2023 karta.png", "A 29787-2023")</f>
        <v/>
      </c>
      <c r="Y46">
        <f>HYPERLINK("https://klasma.github.io/Logging_1980/kartor_geotiff/A 29787-2023 georefererad karta.tif", "A 29787-2023")</f>
        <v/>
      </c>
      <c r="AA46">
        <f>HYPERLINK("https://klasma.github.io/Logging_1980/klagomål/A 29787-2023 FSC-klagomål.docx", "A 29787-2023")</f>
        <v/>
      </c>
      <c r="AB46">
        <f>HYPERLINK("https://klasma.github.io/Logging_1980/klagomålsmail/A 29787-2023 FSC-klagomål mail.docx", "A 29787-2023")</f>
        <v/>
      </c>
      <c r="AC46">
        <f>HYPERLINK("https://klasma.github.io/Logging_1980/tillsyn/A 29787-2023 tillsynsbegäran.docx", "A 29787-2023")</f>
        <v/>
      </c>
      <c r="AD46">
        <f>HYPERLINK("https://klasma.github.io/Logging_1980/tillsynsmail/A 29787-2023 tillsynsbegäran mail.docx", "A 29787-2023")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46310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50193-2022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44865</v>
      </c>
      <c r="E48" s="1" t="n">
        <v>46310</v>
      </c>
      <c r="F48" t="inlineStr">
        <is>
          <t>VÄSTMANLANDS LÄN</t>
        </is>
      </c>
      <c r="G48" t="inlineStr">
        <is>
          <t>VÄSTERÅS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HYPERLINK("https://klasma.github.io/Logging_1980/artfynd/A 50193-2022 artfynd.xlsx", "A 50193-2022")</f>
        <v/>
      </c>
      <c r="X48">
        <f>HYPERLINK("https://klasma.github.io/Logging_1980/kartor/A 50193-2022 karta.png", "A 50193-2022")</f>
        <v/>
      </c>
      <c r="Y48">
        <f>HYPERLINK("https://klasma.github.io/Logging_1980/kartor_geotiff/A 50193-2022 georefererad karta.tif", "A 50193-2022")</f>
        <v/>
      </c>
      <c r="AA48">
        <f>HYPERLINK("https://klasma.github.io/Logging_1980/klagomål/A 50193-2022 FSC-klagomål.docx", "A 50193-2022")</f>
        <v/>
      </c>
      <c r="AB48">
        <f>HYPERLINK("https://klasma.github.io/Logging_1980/klagomålsmail/A 50193-2022 FSC-klagomål mail.docx", "A 50193-2022")</f>
        <v/>
      </c>
      <c r="AC48">
        <f>HYPERLINK("https://klasma.github.io/Logging_1980/tillsyn/A 50193-2022 tillsynsbegäran.docx", "A 50193-2022")</f>
        <v/>
      </c>
      <c r="AD48">
        <f>HYPERLINK("https://klasma.github.io/Logging_1980/tillsynsmail/A 50193-2022 tillsynsbegäran mail.docx", "A 50193-2022")</f>
        <v/>
      </c>
    </row>
    <row r="49" ht="15" customHeight="1">
      <c r="A49" t="inlineStr">
        <is>
          <t>A 26568-2022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46310</v>
      </c>
      <c r="F49" t="inlineStr">
        <is>
          <t>VÄSTMANLANDS LÄN</t>
        </is>
      </c>
      <c r="G49" t="inlineStr">
        <is>
          <t>VÄSTERÅS</t>
        </is>
      </c>
      <c r="I49" t="n">
        <v>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Mistel</t>
        </is>
      </c>
      <c r="W49">
        <f>HYPERLINK("https://klasma.github.io/Logging_1980/artfynd/A 26568-2022 artfynd.xlsx", "A 26568-2022")</f>
        <v/>
      </c>
      <c r="X49">
        <f>HYPERLINK("https://klasma.github.io/Logging_1980/kartor/A 26568-2022 karta.png", "A 26568-2022")</f>
        <v/>
      </c>
      <c r="Y49">
        <f>HYPERLINK("https://klasma.github.io/Logging_1980/kartor_geotiff/A 26568-2022 georefererad karta.tif", "A 26568-2022")</f>
        <v/>
      </c>
      <c r="AA49">
        <f>HYPERLINK("https://klasma.github.io/Logging_1980/klagomål/A 26568-2022 FSC-klagomål.docx", "A 26568-2022")</f>
        <v/>
      </c>
      <c r="AB49">
        <f>HYPERLINK("https://klasma.github.io/Logging_1980/klagomålsmail/A 26568-2022 FSC-klagomål mail.docx", "A 26568-2022")</f>
        <v/>
      </c>
      <c r="AC49">
        <f>HYPERLINK("https://klasma.github.io/Logging_1980/tillsyn/A 26568-2022 tillsynsbegäran.docx", "A 26568-2022")</f>
        <v/>
      </c>
      <c r="AD49">
        <f>HYPERLINK("https://klasma.github.io/Logging_1980/tillsynsmail/A 26568-2022 tillsynsbegäran mail.docx", "A 26568-2022")</f>
        <v/>
      </c>
    </row>
    <row r="50" ht="15" customHeight="1">
      <c r="A50" t="inlineStr">
        <is>
          <t>A 12905-2022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44641</v>
      </c>
      <c r="E50" s="1" t="n">
        <v>46310</v>
      </c>
      <c r="F50" t="inlineStr">
        <is>
          <t>VÄSTMANLANDS LÄN</t>
        </is>
      </c>
      <c r="G50" t="inlineStr">
        <is>
          <t>VÄSTERÅS</t>
        </is>
      </c>
      <c r="H50" t="inlineStr">
        <is>
          <t>Övriga Aktiebolag</t>
        </is>
      </c>
      <c r="I50" t="n">
        <v>23.9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HYPERLINK("https://klasma.github.io/Logging_1980/artfynd/A 12905-2022 artfynd.xlsx", "A 12905-2022")</f>
        <v/>
      </c>
      <c r="X50">
        <f>HYPERLINK("https://klasma.github.io/Logging_1980/kartor/A 12905-2022 karta.png", "A 12905-2022")</f>
        <v/>
      </c>
      <c r="Y50">
        <f>HYPERLINK("https://klasma.github.io/Logging_1980/kartor_geotiff/A 12905-2022 georefererad karta.tif", "A 12905-2022")</f>
        <v/>
      </c>
      <c r="AA50">
        <f>HYPERLINK("https://klasma.github.io/Logging_1980/klagomål/A 12905-2022 FSC-klagomål.docx", "A 12905-2022")</f>
        <v/>
      </c>
      <c r="AB50">
        <f>HYPERLINK("https://klasma.github.io/Logging_1980/klagomålsmail/A 12905-2022 FSC-klagomål mail.docx", "A 12905-2022")</f>
        <v/>
      </c>
      <c r="AC50">
        <f>HYPERLINK("https://klasma.github.io/Logging_1980/tillsyn/A 12905-2022 tillsynsbegäran.docx", "A 12905-2022")</f>
        <v/>
      </c>
      <c r="AD50">
        <f>HYPERLINK("https://klasma.github.io/Logging_1980/tillsynsmail/A 12905-2022 tillsynsbegäran mail.docx", "A 12905-2022")</f>
        <v/>
      </c>
    </row>
    <row r="51" ht="15" customHeight="1">
      <c r="A51" t="inlineStr">
        <is>
          <t>A 8362-2022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46310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Köpingfibbla</t>
        </is>
      </c>
      <c r="W51">
        <f>HYPERLINK("https://klasma.github.io/Logging_1980/artfynd/A 8362-2022 artfynd.xlsx", "A 8362-2022")</f>
        <v/>
      </c>
      <c r="X51">
        <f>HYPERLINK("https://klasma.github.io/Logging_1980/kartor/A 8362-2022 karta.png", "A 8362-2022")</f>
        <v/>
      </c>
      <c r="Y51">
        <f>HYPERLINK("https://klasma.github.io/Logging_1980/kartor_geotiff/A 8362-2022 georefererad karta.tif", "A 8362-2022")</f>
        <v/>
      </c>
      <c r="AA51">
        <f>HYPERLINK("https://klasma.github.io/Logging_1980/klagomål/A 8362-2022 FSC-klagomål.docx", "A 8362-2022")</f>
        <v/>
      </c>
      <c r="AB51">
        <f>HYPERLINK("https://klasma.github.io/Logging_1980/klagomålsmail/A 8362-2022 FSC-klagomål mail.docx", "A 8362-2022")</f>
        <v/>
      </c>
      <c r="AC51">
        <f>HYPERLINK("https://klasma.github.io/Logging_1980/tillsyn/A 8362-2022 tillsynsbegäran.docx", "A 8362-2022")</f>
        <v/>
      </c>
      <c r="AD51">
        <f>HYPERLINK("https://klasma.github.io/Logging_1980/tillsynsmail/A 8362-2022 tillsynsbegäran mail.docx", "A 8362-2022")</f>
        <v/>
      </c>
    </row>
    <row r="52" ht="15" customHeight="1">
      <c r="A52" t="inlineStr">
        <is>
          <t>A 40886-2025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46310</v>
      </c>
      <c r="F52" t="inlineStr">
        <is>
          <t>VÄSTMANLANDS LÄN</t>
        </is>
      </c>
      <c r="G52" t="inlineStr">
        <is>
          <t>VÄSTERÅS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HYPERLINK("https://klasma.github.io/Logging_1980/artfynd/A 40886-2025 artfynd.xlsx", "A 40886-2025")</f>
        <v/>
      </c>
      <c r="X52">
        <f>HYPERLINK("https://klasma.github.io/Logging_1980/kartor/A 40886-2025 karta.png", "A 40886-2025")</f>
        <v/>
      </c>
      <c r="Y52">
        <f>HYPERLINK("https://klasma.github.io/Logging_1980/kartor_geotiff/A 40886-2025 georefererad karta.tif", "A 40886-2025")</f>
        <v/>
      </c>
      <c r="AA52">
        <f>HYPERLINK("https://klasma.github.io/Logging_1980/klagomål/A 40886-2025 FSC-klagomål.docx", "A 40886-2025")</f>
        <v/>
      </c>
      <c r="AB52">
        <f>HYPERLINK("https://klasma.github.io/Logging_1980/klagomålsmail/A 40886-2025 FSC-klagomål mail.docx", "A 40886-2025")</f>
        <v/>
      </c>
      <c r="AC52">
        <f>HYPERLINK("https://klasma.github.io/Logging_1980/tillsyn/A 40886-2025 tillsynsbegäran.docx", "A 40886-2025")</f>
        <v/>
      </c>
      <c r="AD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46310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51147-2023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46310</v>
      </c>
      <c r="F54" t="inlineStr">
        <is>
          <t>VÄSTMANLANDS LÄN</t>
        </is>
      </c>
      <c r="G54" t="inlineStr">
        <is>
          <t>VÄSTERÅS</t>
        </is>
      </c>
      <c r="I54" t="n">
        <v>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Mindre märgborre</t>
        </is>
      </c>
      <c r="W54">
        <f>HYPERLINK("https://klasma.github.io/Logging_1980/artfynd/A 51147-2023 artfynd.xlsx", "A 51147-2023")</f>
        <v/>
      </c>
      <c r="X54">
        <f>HYPERLINK("https://klasma.github.io/Logging_1980/kartor/A 51147-2023 karta.png", "A 51147-2023")</f>
        <v/>
      </c>
      <c r="Y54">
        <f>HYPERLINK("https://klasma.github.io/Logging_1980/kartor_geotiff/A 51147-2023 georefererad karta.tif", "A 51147-2023")</f>
        <v/>
      </c>
      <c r="AA54">
        <f>HYPERLINK("https://klasma.github.io/Logging_1980/klagomål/A 51147-2023 FSC-klagomål.docx", "A 51147-2023")</f>
        <v/>
      </c>
      <c r="AB54">
        <f>HYPERLINK("https://klasma.github.io/Logging_1980/klagomålsmail/A 51147-2023 FSC-klagomål mail.docx", "A 51147-2023")</f>
        <v/>
      </c>
      <c r="AC54">
        <f>HYPERLINK("https://klasma.github.io/Logging_1980/tillsyn/A 51147-2023 tillsynsbegäran.docx", "A 51147-2023")</f>
        <v/>
      </c>
      <c r="AD54">
        <f>HYPERLINK("https://klasma.github.io/Logging_1980/tillsynsmail/A 51147-2023 tillsynsbegäran mail.docx", "A 51147-2023")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46310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12950-2023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45001</v>
      </c>
      <c r="E56" s="1" t="n">
        <v>46310</v>
      </c>
      <c r="F56" t="inlineStr">
        <is>
          <t>VÄSTMANLANDS LÄN</t>
        </is>
      </c>
      <c r="G56" t="inlineStr">
        <is>
          <t>VÄSTERÅS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HYPERLINK("https://klasma.github.io/Logging_1980/artfynd/A 12950-2023 artfynd.xlsx", "A 12950-2023")</f>
        <v/>
      </c>
      <c r="X56">
        <f>HYPERLINK("https://klasma.github.io/Logging_1980/kartor/A 12950-2023 karta.png", "A 12950-2023")</f>
        <v/>
      </c>
      <c r="Y56">
        <f>HYPERLINK("https://klasma.github.io/Logging_1980/kartor_geotiff/A 12950-2023 georefererad karta.tif", "A 12950-2023")</f>
        <v/>
      </c>
      <c r="AA56">
        <f>HYPERLINK("https://klasma.github.io/Logging_1980/klagomål/A 12950-2023 FSC-klagomål.docx", "A 12950-2023")</f>
        <v/>
      </c>
      <c r="AB56">
        <f>HYPERLINK("https://klasma.github.io/Logging_1980/klagomålsmail/A 12950-2023 FSC-klagomål mail.docx", "A 12950-2023")</f>
        <v/>
      </c>
      <c r="AC56">
        <f>HYPERLINK("https://klasma.github.io/Logging_1980/tillsyn/A 12950-2023 tillsynsbegäran.docx", "A 12950-2023")</f>
        <v/>
      </c>
      <c r="AD56">
        <f>HYPERLINK("https://klasma.github.io/Logging_1980/tillsynsmail/A 12950-2023 tillsynsbegäran mail.docx", "A 12950-2023")</f>
        <v/>
      </c>
    </row>
    <row r="57" ht="15" customHeight="1">
      <c r="A57" t="inlineStr">
        <is>
          <t>A 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46310</v>
      </c>
      <c r="F57" t="inlineStr">
        <is>
          <t>VÄSTMANLANDS LÄN</t>
        </is>
      </c>
      <c r="G57" t="inlineStr">
        <is>
          <t>VÄSTERÅS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5363-2025 artfynd.xlsx", "A 5363-2025")</f>
        <v/>
      </c>
      <c r="X57">
        <f>HYPERLINK("https://klasma.github.io/Logging_1980/kartor/A 5363-2025 karta.png", "A 5363-2025")</f>
        <v/>
      </c>
      <c r="Y57">
        <f>HYPERLINK("https://klasma.github.io/Logging_1980/kartor_geotiff/A 5363-2025 georefererad karta.tif", "A 5363-2025")</f>
        <v/>
      </c>
      <c r="AA57">
        <f>HYPERLINK("https://klasma.github.io/Logging_1980/klagomål/A 5363-2025 FSC-klagomål.docx", "A 5363-2025")</f>
        <v/>
      </c>
      <c r="AB57">
        <f>HYPERLINK("https://klasma.github.io/Logging_1980/klagomålsmail/A 5363-2025 FSC-klagomål mail.docx", "A 5363-2025")</f>
        <v/>
      </c>
      <c r="AC57">
        <f>HYPERLINK("https://klasma.github.io/Logging_1980/tillsyn/A 5363-2025 tillsynsbegäran.docx", "A 5363-2025")</f>
        <v/>
      </c>
      <c r="AD57">
        <f>HYPERLINK("https://klasma.github.io/Logging_1980/tillsynsmail/A 5363-2025 tillsynsbegäran mail.docx", "A 5363-2025")</f>
        <v/>
      </c>
    </row>
    <row r="58" ht="15" customHeight="1">
      <c r="A58" t="inlineStr">
        <is>
          <t>A 59144-2025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46310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HYPERLINK("https://klasma.github.io/Logging_1980/artfynd/A 59144-2025 artfynd.xlsx", "A 59144-2025")</f>
        <v/>
      </c>
      <c r="X58">
        <f>HYPERLINK("https://klasma.github.io/Logging_1980/kartor/A 59144-2025 karta.png", "A 59144-2025")</f>
        <v/>
      </c>
      <c r="Y58">
        <f>HYPERLINK("https://klasma.github.io/Logging_1980/kartor_geotiff/A 59144-2025 georefererad karta.tif", "A 59144-2025")</f>
        <v/>
      </c>
      <c r="AA58">
        <f>HYPERLINK("https://klasma.github.io/Logging_1980/klagomål/A 59144-2025 FSC-klagomål.docx", "A 59144-2025")</f>
        <v/>
      </c>
      <c r="AB58">
        <f>HYPERLINK("https://klasma.github.io/Logging_1980/klagomålsmail/A 59144-2025 FSC-klagomål mail.docx", "A 59144-2025")</f>
        <v/>
      </c>
      <c r="AC58">
        <f>HYPERLINK("https://klasma.github.io/Logging_1980/tillsyn/A 59144-2025 tillsynsbegäran.docx", "A 59144-2025")</f>
        <v/>
      </c>
      <c r="AD58">
        <f>HYPERLINK("https://klasma.github.io/Logging_1980/tillsynsmail/A 59144-2025 tillsynsbegäran mail.docx", "A 59144-2025")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46310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1594-2023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46310</v>
      </c>
      <c r="F60" t="inlineStr">
        <is>
          <t>VÄSTMANLANDS LÄN</t>
        </is>
      </c>
      <c r="G60" t="inlineStr">
        <is>
          <t>VÄSTERÅS</t>
        </is>
      </c>
      <c r="I60" t="n">
        <v>10.9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Sparvuggla</t>
        </is>
      </c>
      <c r="W60">
        <f>HYPERLINK("https://klasma.github.io/Logging_1980/artfynd/A 1594-2023 artfynd.xlsx", "A 1594-2023")</f>
        <v/>
      </c>
      <c r="X60">
        <f>HYPERLINK("https://klasma.github.io/Logging_1980/kartor/A 1594-2023 karta.png", "A 1594-2023")</f>
        <v/>
      </c>
      <c r="Y60">
        <f>HYPERLINK("https://klasma.github.io/Logging_1980/kartor_geotiff/A 1594-2023 georefererad karta.tif", "A 1594-2023")</f>
        <v/>
      </c>
      <c r="AA60">
        <f>HYPERLINK("https://klasma.github.io/Logging_1980/klagomål/A 1594-2023 FSC-klagomål.docx", "A 1594-2023")</f>
        <v/>
      </c>
      <c r="AB60">
        <f>HYPERLINK("https://klasma.github.io/Logging_1980/klagomålsmail/A 1594-2023 FSC-klagomål mail.docx", "A 1594-2023")</f>
        <v/>
      </c>
      <c r="AC60">
        <f>HYPERLINK("https://klasma.github.io/Logging_1980/tillsyn/A 1594-2023 tillsynsbegäran.docx", "A 1594-2023")</f>
        <v/>
      </c>
      <c r="AD60">
        <f>HYPERLINK("https://klasma.github.io/Logging_1980/tillsynsmail/A 1594-2023 tillsynsbegäran mail.docx", "A 1594-2023")</f>
        <v/>
      </c>
      <c r="AE60">
        <f>HYPERLINK("https://klasma.github.io/Logging_1980/fåglar/A 1594-2023 prioriterade fågelarter.docx", "A 1594-2023")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46310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46310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46310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46310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46189-2023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45196</v>
      </c>
      <c r="E65" s="1" t="n">
        <v>46310</v>
      </c>
      <c r="F65" t="inlineStr">
        <is>
          <t>VÄSTMANLANDS LÄN</t>
        </is>
      </c>
      <c r="G65" t="inlineStr">
        <is>
          <t>VÄSTERÅS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HYPERLINK("https://klasma.github.io/Logging_1980/artfynd/A 46189-2023 artfynd.xlsx", "A 46189-2023")</f>
        <v/>
      </c>
      <c r="X65">
        <f>HYPERLINK("https://klasma.github.io/Logging_1980/kartor/A 46189-2023 karta.png", "A 46189-2023")</f>
        <v/>
      </c>
      <c r="Y65">
        <f>HYPERLINK("https://klasma.github.io/Logging_1980/kartor_geotiff/A 46189-2023 georefererad karta.tif", "A 46189-2023")</f>
        <v/>
      </c>
      <c r="AA65">
        <f>HYPERLINK("https://klasma.github.io/Logging_1980/klagomål/A 46189-2023 FSC-klagomål.docx", "A 46189-2023")</f>
        <v/>
      </c>
      <c r="AB65">
        <f>HYPERLINK("https://klasma.github.io/Logging_1980/klagomålsmail/A 46189-2023 FSC-klagomål mail.docx", "A 46189-2023")</f>
        <v/>
      </c>
      <c r="AC65">
        <f>HYPERLINK("https://klasma.github.io/Logging_1980/tillsyn/A 46189-2023 tillsynsbegäran.docx", "A 46189-2023")</f>
        <v/>
      </c>
      <c r="AD65">
        <f>HYPERLINK("https://klasma.github.io/Logging_1980/tillsynsmail/A 46189-2023 tillsynsbegäran mail.docx", "A 46189-2023")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46310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59520-2024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46310</v>
      </c>
      <c r="F67" t="inlineStr">
        <is>
          <t>VÄSTMANLANDS LÄN</t>
        </is>
      </c>
      <c r="G67" t="inlineStr">
        <is>
          <t>VÄSTERÅS</t>
        </is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Brunklöver</t>
        </is>
      </c>
      <c r="W67">
        <f>HYPERLINK("https://klasma.github.io/Logging_1980/artfynd/A 59520-2024 artfynd.xlsx", "A 59520-2024")</f>
        <v/>
      </c>
      <c r="X67">
        <f>HYPERLINK("https://klasma.github.io/Logging_1980/kartor/A 59520-2024 karta.png", "A 59520-2024")</f>
        <v/>
      </c>
      <c r="Y67">
        <f>HYPERLINK("https://klasma.github.io/Logging_1980/kartor_geotiff/A 59520-2024 georefererad karta.tif", "A 59520-2024")</f>
        <v/>
      </c>
      <c r="AA67">
        <f>HYPERLINK("https://klasma.github.io/Logging_1980/klagomål/A 59520-2024 FSC-klagomål.docx", "A 59520-2024")</f>
        <v/>
      </c>
      <c r="AB67">
        <f>HYPERLINK("https://klasma.github.io/Logging_1980/klagomålsmail/A 59520-2024 FSC-klagomål mail.docx", "A 59520-2024")</f>
        <v/>
      </c>
      <c r="AC67">
        <f>HYPERLINK("https://klasma.github.io/Logging_1980/tillsyn/A 59520-2024 tillsynsbegäran.docx", "A 59520-2024")</f>
        <v/>
      </c>
      <c r="AD67">
        <f>HYPERLINK("https://klasma.github.io/Logging_1980/tillsynsmail/A 59520-2024 tillsynsbegäran mail.docx", "A 59520-2024")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46310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46310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46310</v>
      </c>
      <c r="F71" t="inlineStr">
        <is>
          <t>VÄSTMANLANDS LÄN</t>
        </is>
      </c>
      <c r="G71" t="inlineStr">
        <is>
          <t>VÄSTERÅS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46310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46310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46310</v>
      </c>
      <c r="F74" t="inlineStr">
        <is>
          <t>VÄSTMANLANDS LÄN</t>
        </is>
      </c>
      <c r="G74" t="inlineStr">
        <is>
          <t>VÄSTERÅS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46310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46310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46310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46310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46310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46310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46310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46310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46310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46310</v>
      </c>
      <c r="F84" t="inlineStr">
        <is>
          <t>VÄSTMANLANDS LÄN</t>
        </is>
      </c>
      <c r="G84" t="inlineStr">
        <is>
          <t>VÄSTERÅS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46310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46310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46310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46310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46310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46310</v>
      </c>
      <c r="F90" t="inlineStr">
        <is>
          <t>VÄSTMANLANDS LÄN</t>
        </is>
      </c>
      <c r="G90" t="inlineStr">
        <is>
          <t>VÄSTERÅS</t>
        </is>
      </c>
      <c r="H90" t="inlineStr">
        <is>
          <t>Kommuner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46310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46310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45545</v>
      </c>
      <c r="E93" s="1" t="n">
        <v>46310</v>
      </c>
      <c r="F93" t="inlineStr">
        <is>
          <t>VÄSTMANLANDS LÄN</t>
        </is>
      </c>
      <c r="G93" t="inlineStr">
        <is>
          <t>VÄSTERÅS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46310</v>
      </c>
      <c r="F94" t="inlineStr">
        <is>
          <t>VÄSTMANLANDS LÄN</t>
        </is>
      </c>
      <c r="G94" t="inlineStr">
        <is>
          <t>VÄSTERÅS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44761</v>
      </c>
      <c r="E95" s="1" t="n">
        <v>46310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46310</v>
      </c>
      <c r="F96" t="inlineStr">
        <is>
          <t>VÄSTMANLANDS LÄN</t>
        </is>
      </c>
      <c r="G96" t="inlineStr">
        <is>
          <t>VÄSTERÅS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46310</v>
      </c>
      <c r="F97" t="inlineStr">
        <is>
          <t>VÄSTMANLANDS LÄN</t>
        </is>
      </c>
      <c r="G97" t="inlineStr">
        <is>
          <t>VÄSTERÅS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44582</v>
      </c>
      <c r="E98" s="1" t="n">
        <v>46310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46310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46310</v>
      </c>
      <c r="F100" t="inlineStr">
        <is>
          <t>VÄSTMANLANDS LÄN</t>
        </is>
      </c>
      <c r="G100" t="inlineStr">
        <is>
          <t>VÄSTERÅS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46310</v>
      </c>
      <c r="F101" t="inlineStr">
        <is>
          <t>VÄSTMANLANDS LÄN</t>
        </is>
      </c>
      <c r="G101" t="inlineStr">
        <is>
          <t>VÄSTERÅS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46310</v>
      </c>
      <c r="F102" t="inlineStr">
        <is>
          <t>VÄSTMANLANDS LÄN</t>
        </is>
      </c>
      <c r="G102" t="inlineStr">
        <is>
          <t>VÄSTERÅS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46310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44699</v>
      </c>
      <c r="E104" s="1" t="n">
        <v>46310</v>
      </c>
      <c r="F104" t="inlineStr">
        <is>
          <t>VÄSTMANLANDS LÄN</t>
        </is>
      </c>
      <c r="G104" t="inlineStr">
        <is>
          <t>VÄSTERÅS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46310</v>
      </c>
      <c r="F105" t="inlineStr">
        <is>
          <t>VÄSTMANLANDS LÄN</t>
        </is>
      </c>
      <c r="G105" t="inlineStr">
        <is>
          <t>VÄSTERÅS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73601-2021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46310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56076-2023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45235</v>
      </c>
      <c r="E107" s="1" t="n">
        <v>46310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Övriga Aktiebolag</t>
        </is>
      </c>
      <c r="I107" t="n">
        <v>37.8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46310</v>
      </c>
      <c r="F108" t="inlineStr">
        <is>
          <t>VÄSTMANLANDS LÄN</t>
        </is>
      </c>
      <c r="G108" t="inlineStr">
        <is>
          <t>VÄSTERÅS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46310</v>
      </c>
      <c r="F109" t="inlineStr">
        <is>
          <t>VÄSTMANLANDS LÄN</t>
        </is>
      </c>
      <c r="G109" t="inlineStr">
        <is>
          <t>VÄSTERÅS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46310</v>
      </c>
      <c r="F110" t="inlineStr">
        <is>
          <t>VÄSTMANLANDS LÄN</t>
        </is>
      </c>
      <c r="G110" t="inlineStr">
        <is>
          <t>VÄSTERÅS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45232</v>
      </c>
      <c r="E111" s="1" t="n">
        <v>46310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29.4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46310</v>
      </c>
      <c r="F112" t="inlineStr">
        <is>
          <t>VÄSTMANLANDS LÄN</t>
        </is>
      </c>
      <c r="G112" t="inlineStr">
        <is>
          <t>VÄSTERÅS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46310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45110</v>
      </c>
      <c r="E114" s="1" t="n">
        <v>46310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46310</v>
      </c>
      <c r="F115" t="inlineStr">
        <is>
          <t>VÄSTMANLANDS LÄN</t>
        </is>
      </c>
      <c r="G115" t="inlineStr">
        <is>
          <t>VÄSTERÅS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46310</v>
      </c>
      <c r="F116" t="inlineStr">
        <is>
          <t>VÄSTMANLANDS LÄN</t>
        </is>
      </c>
      <c r="G116" t="inlineStr">
        <is>
          <t>VÄSTERÅS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46310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74314-2021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44559</v>
      </c>
      <c r="E118" s="1" t="n">
        <v>46310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46310</v>
      </c>
      <c r="F119" t="inlineStr">
        <is>
          <t>VÄSTMANLANDS LÄN</t>
        </is>
      </c>
      <c r="G119" t="inlineStr">
        <is>
          <t>VÄSTERÅS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46310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46310</v>
      </c>
      <c r="F121" t="inlineStr">
        <is>
          <t>VÄSTMANLANDS LÄN</t>
        </is>
      </c>
      <c r="G121" t="inlineStr">
        <is>
          <t>VÄSTERÅS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45414</v>
      </c>
      <c r="E122" s="1" t="n">
        <v>46310</v>
      </c>
      <c r="F122" t="inlineStr">
        <is>
          <t>VÄSTMANLANDS LÄN</t>
        </is>
      </c>
      <c r="G122" t="inlineStr">
        <is>
          <t>VÄSTERÅS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46310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44610</v>
      </c>
      <c r="E124" s="1" t="n">
        <v>46310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45042</v>
      </c>
      <c r="E125" s="1" t="n">
        <v>46310</v>
      </c>
      <c r="F125" t="inlineStr">
        <is>
          <t>VÄSTMANLANDS LÄN</t>
        </is>
      </c>
      <c r="G125" t="inlineStr">
        <is>
          <t>VÄSTERÅS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45516</v>
      </c>
      <c r="E126" s="1" t="n">
        <v>46310</v>
      </c>
      <c r="F126" t="inlineStr">
        <is>
          <t>VÄSTMANLANDS LÄN</t>
        </is>
      </c>
      <c r="G126" t="inlineStr">
        <is>
          <t>VÄSTERÅS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46310</v>
      </c>
      <c r="F127" t="inlineStr">
        <is>
          <t>VÄSTMANLANDS LÄN</t>
        </is>
      </c>
      <c r="G127" t="inlineStr">
        <is>
          <t>VÄSTERÅS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46310</v>
      </c>
      <c r="F128" t="inlineStr">
        <is>
          <t>VÄSTMANLANDS LÄN</t>
        </is>
      </c>
      <c r="G128" t="inlineStr">
        <is>
          <t>VÄSTERÅS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46310</v>
      </c>
      <c r="F129" t="inlineStr">
        <is>
          <t>VÄSTMANLANDS LÄN</t>
        </is>
      </c>
      <c r="G129" t="inlineStr">
        <is>
          <t>VÄSTERÅS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46310</v>
      </c>
      <c r="F130" t="inlineStr">
        <is>
          <t>VÄSTMANLANDS LÄN</t>
        </is>
      </c>
      <c r="G130" t="inlineStr">
        <is>
          <t>VÄSTERÅS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46310</v>
      </c>
      <c r="F131" t="inlineStr">
        <is>
          <t>VÄSTMANLANDS LÄN</t>
        </is>
      </c>
      <c r="G131" t="inlineStr">
        <is>
          <t>VÄSTERÅS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46310</v>
      </c>
      <c r="F132" t="inlineStr">
        <is>
          <t>VÄSTMANLANDS LÄN</t>
        </is>
      </c>
      <c r="G132" t="inlineStr">
        <is>
          <t>VÄSTERÅS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46310</v>
      </c>
      <c r="F133" t="inlineStr">
        <is>
          <t>VÄSTMANLANDS LÄN</t>
        </is>
      </c>
      <c r="G133" t="inlineStr">
        <is>
          <t>VÄSTERÅS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46310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46310</v>
      </c>
      <c r="F135" t="inlineStr">
        <is>
          <t>VÄSTMANLANDS LÄN</t>
        </is>
      </c>
      <c r="G135" t="inlineStr">
        <is>
          <t>VÄSTERÅS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46310</v>
      </c>
      <c r="F136" t="inlineStr">
        <is>
          <t>VÄSTMANLANDS LÄN</t>
        </is>
      </c>
      <c r="G136" t="inlineStr">
        <is>
          <t>VÄSTERÅS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44961</v>
      </c>
      <c r="E137" s="1" t="n">
        <v>46310</v>
      </c>
      <c r="F137" t="inlineStr">
        <is>
          <t>VÄSTMANLANDS LÄN</t>
        </is>
      </c>
      <c r="G137" t="inlineStr">
        <is>
          <t>VÄSTERÅS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46310</v>
      </c>
      <c r="F138" t="inlineStr">
        <is>
          <t>VÄSTMANLANDS LÄN</t>
        </is>
      </c>
      <c r="G138" t="inlineStr">
        <is>
          <t>VÄSTERÅS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45072</v>
      </c>
      <c r="E139" s="1" t="n">
        <v>46310</v>
      </c>
      <c r="F139" t="inlineStr">
        <is>
          <t>VÄSTMANLANDS LÄN</t>
        </is>
      </c>
      <c r="G139" t="inlineStr">
        <is>
          <t>VÄSTERÅS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46310</v>
      </c>
      <c r="F140" t="inlineStr">
        <is>
          <t>VÄSTMANLANDS LÄN</t>
        </is>
      </c>
      <c r="G140" t="inlineStr">
        <is>
          <t>VÄSTERÅS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46310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45832</v>
      </c>
      <c r="E142" s="1" t="n">
        <v>46310</v>
      </c>
      <c r="F142" t="inlineStr">
        <is>
          <t>VÄSTMANLANDS LÄN</t>
        </is>
      </c>
      <c r="G142" t="inlineStr">
        <is>
          <t>VÄSTERÅS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46310</v>
      </c>
      <c r="F143" t="inlineStr">
        <is>
          <t>VÄSTMANLANDS LÄN</t>
        </is>
      </c>
      <c r="G143" t="inlineStr">
        <is>
          <t>VÄSTERÅS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46310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46310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statliga verk och myndigheter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46310</v>
      </c>
      <c r="F146" t="inlineStr">
        <is>
          <t>VÄSTMANLANDS LÄN</t>
        </is>
      </c>
      <c r="G146" t="inlineStr">
        <is>
          <t>VÄSTERÅS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46310</v>
      </c>
      <c r="F147" t="inlineStr">
        <is>
          <t>VÄSTMANLANDS LÄN</t>
        </is>
      </c>
      <c r="G147" t="inlineStr">
        <is>
          <t>VÄSTERÅS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45223</v>
      </c>
      <c r="E148" s="1" t="n">
        <v>46310</v>
      </c>
      <c r="F148" t="inlineStr">
        <is>
          <t>VÄSTMANLANDS LÄN</t>
        </is>
      </c>
      <c r="G148" t="inlineStr">
        <is>
          <t>VÄSTERÅS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45628</v>
      </c>
      <c r="E149" s="1" t="n">
        <v>46310</v>
      </c>
      <c r="F149" t="inlineStr">
        <is>
          <t>VÄSTMANLANDS LÄN</t>
        </is>
      </c>
      <c r="G149" t="inlineStr">
        <is>
          <t>VÄSTERÅS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46310</v>
      </c>
      <c r="F150" t="inlineStr">
        <is>
          <t>VÄSTMANLANDS LÄN</t>
        </is>
      </c>
      <c r="G150" t="inlineStr">
        <is>
          <t>VÄSTERÅS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46310</v>
      </c>
      <c r="F151" t="inlineStr">
        <is>
          <t>VÄSTMANLANDS LÄN</t>
        </is>
      </c>
      <c r="G151" t="inlineStr">
        <is>
          <t>VÄSTERÅS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45453</v>
      </c>
      <c r="E152" s="1" t="n">
        <v>46310</v>
      </c>
      <c r="F152" t="inlineStr">
        <is>
          <t>VÄSTMANLANDS LÄN</t>
        </is>
      </c>
      <c r="G152" t="inlineStr">
        <is>
          <t>VÄSTERÅS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46310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46310</v>
      </c>
      <c r="F154" t="inlineStr">
        <is>
          <t>VÄSTMANLANDS LÄN</t>
        </is>
      </c>
      <c r="G154" t="inlineStr">
        <is>
          <t>VÄSTERÅS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46310</v>
      </c>
      <c r="F155" t="inlineStr">
        <is>
          <t>VÄSTMANLANDS LÄN</t>
        </is>
      </c>
      <c r="G155" t="inlineStr">
        <is>
          <t>VÄSTERÅS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44595</v>
      </c>
      <c r="E156" s="1" t="n">
        <v>46310</v>
      </c>
      <c r="F156" t="inlineStr">
        <is>
          <t>VÄSTMANLANDS LÄN</t>
        </is>
      </c>
      <c r="G156" t="inlineStr">
        <is>
          <t>VÄSTERÅS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46310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46310</v>
      </c>
      <c r="F158" t="inlineStr">
        <is>
          <t>VÄSTMANLANDS LÄN</t>
        </is>
      </c>
      <c r="G158" t="inlineStr">
        <is>
          <t>VÄSTERÅS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46310</v>
      </c>
      <c r="F159" t="inlineStr">
        <is>
          <t>VÄSTMANLANDS LÄN</t>
        </is>
      </c>
      <c r="G159" t="inlineStr">
        <is>
          <t>VÄSTERÅS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52027-2025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45952</v>
      </c>
      <c r="E160" s="1" t="n">
        <v>46310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46310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statliga verk och myndigheter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46310</v>
      </c>
      <c r="F162" t="inlineStr">
        <is>
          <t>VÄSTMANLANDS LÄN</t>
        </is>
      </c>
      <c r="G162" t="inlineStr">
        <is>
          <t>VÄSTERÅS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11137-2023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44987</v>
      </c>
      <c r="E163" s="1" t="n">
        <v>46310</v>
      </c>
      <c r="F163" t="inlineStr">
        <is>
          <t>VÄSTMANLANDS LÄN</t>
        </is>
      </c>
      <c r="G163" t="inlineStr">
        <is>
          <t>VÄSTERÅS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44594</v>
      </c>
      <c r="E164" s="1" t="n">
        <v>46310</v>
      </c>
      <c r="F164" t="inlineStr">
        <is>
          <t>VÄSTMANLANDS LÄN</t>
        </is>
      </c>
      <c r="G164" t="inlineStr">
        <is>
          <t>VÄSTERÅS</t>
        </is>
      </c>
      <c r="I164" t="n">
        <v>20.3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46310</v>
      </c>
      <c r="F165" t="inlineStr">
        <is>
          <t>VÄSTMANLANDS LÄN</t>
        </is>
      </c>
      <c r="G165" t="inlineStr">
        <is>
          <t>VÄSTERÅS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46310</v>
      </c>
      <c r="F166" t="inlineStr">
        <is>
          <t>VÄSTMANLANDS LÄN</t>
        </is>
      </c>
      <c r="G166" t="inlineStr">
        <is>
          <t>VÄSTERÅS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46310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46083</v>
      </c>
      <c r="E168" s="1" t="n">
        <v>46310</v>
      </c>
      <c r="F168" t="inlineStr">
        <is>
          <t>VÄSTMANLANDS LÄN</t>
        </is>
      </c>
      <c r="G168" t="inlineStr">
        <is>
          <t>VÄSTERÅS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44999</v>
      </c>
      <c r="E169" s="1" t="n">
        <v>46310</v>
      </c>
      <c r="F169" t="inlineStr">
        <is>
          <t>VÄSTMANLANDS LÄN</t>
        </is>
      </c>
      <c r="G169" t="inlineStr">
        <is>
          <t>VÄSTERÅS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64207-2023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46310</v>
      </c>
      <c r="F170" t="inlineStr">
        <is>
          <t>VÄSTMANLANDS LÄN</t>
        </is>
      </c>
      <c r="G170" t="inlineStr">
        <is>
          <t>VÄSTERÅS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46310</v>
      </c>
      <c r="F171" t="inlineStr">
        <is>
          <t>VÄSTMANLANDS LÄN</t>
        </is>
      </c>
      <c r="G171" t="inlineStr">
        <is>
          <t>VÄSTERÅS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46310</v>
      </c>
      <c r="F172" t="inlineStr">
        <is>
          <t>VÄSTMANLANDS LÄN</t>
        </is>
      </c>
      <c r="G172" t="inlineStr">
        <is>
          <t>VÄSTERÅS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46310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46310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46310</v>
      </c>
      <c r="F175" t="inlineStr">
        <is>
          <t>VÄSTMANLANDS LÄN</t>
        </is>
      </c>
      <c r="G175" t="inlineStr">
        <is>
          <t>VÄSTERÅS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46310</v>
      </c>
      <c r="F176" t="inlineStr">
        <is>
          <t>VÄSTMANLANDS LÄN</t>
        </is>
      </c>
      <c r="G176" t="inlineStr">
        <is>
          <t>VÄSTERÅS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46310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46112</v>
      </c>
      <c r="E178" s="1" t="n">
        <v>46310</v>
      </c>
      <c r="F178" t="inlineStr">
        <is>
          <t>VÄSTMANLANDS LÄN</t>
        </is>
      </c>
      <c r="G178" t="inlineStr">
        <is>
          <t>VÄSTERÅS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46112</v>
      </c>
      <c r="E179" s="1" t="n">
        <v>46310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46112</v>
      </c>
      <c r="E180" s="1" t="n">
        <v>46310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46310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46112</v>
      </c>
      <c r="E182" s="1" t="n">
        <v>46310</v>
      </c>
      <c r="F182" t="inlineStr">
        <is>
          <t>VÄSTMANLANDS LÄN</t>
        </is>
      </c>
      <c r="G182" t="inlineStr">
        <is>
          <t>VÄSTERÅS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46310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46120</v>
      </c>
      <c r="E184" s="1" t="n">
        <v>46310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Allmännings- och besparingsskogar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44743</v>
      </c>
      <c r="E185" s="1" t="n">
        <v>46310</v>
      </c>
      <c r="F185" t="inlineStr">
        <is>
          <t>VÄSTMANLANDS LÄN</t>
        </is>
      </c>
      <c r="G185" t="inlineStr">
        <is>
          <t>VÄSTERÅS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64208-2023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45279</v>
      </c>
      <c r="E186" s="1" t="n">
        <v>46310</v>
      </c>
      <c r="F186" t="inlineStr">
        <is>
          <t>VÄSTMANLANDS LÄN</t>
        </is>
      </c>
      <c r="G186" t="inlineStr">
        <is>
          <t>VÄSTERÅS</t>
        </is>
      </c>
      <c r="I186" t="n">
        <v>13.9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46310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Kommuner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46310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39127-2022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44816</v>
      </c>
      <c r="E189" s="1" t="n">
        <v>46310</v>
      </c>
      <c r="F189" t="inlineStr">
        <is>
          <t>VÄSTMANLANDS LÄN</t>
        </is>
      </c>
      <c r="G189" t="inlineStr">
        <is>
          <t>VÄSTERÅS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46310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13376-2022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46310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46310</v>
      </c>
      <c r="F192" t="inlineStr">
        <is>
          <t>VÄSTMANLANDS LÄN</t>
        </is>
      </c>
      <c r="G192" t="inlineStr">
        <is>
          <t>VÄSTERÅS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46310</v>
      </c>
      <c r="F193" t="inlineStr">
        <is>
          <t>VÄSTMANLANDS LÄN</t>
        </is>
      </c>
      <c r="G193" t="inlineStr">
        <is>
          <t>VÄSTERÅS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46310</v>
      </c>
      <c r="F194" t="inlineStr">
        <is>
          <t>VÄSTMANLANDS LÄN</t>
        </is>
      </c>
      <c r="G194" t="inlineStr">
        <is>
          <t>VÄSTERÅS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46310</v>
      </c>
      <c r="F195" t="inlineStr">
        <is>
          <t>VÄSTMANLANDS LÄN</t>
        </is>
      </c>
      <c r="G195" t="inlineStr">
        <is>
          <t>VÄSTERÅS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46310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Allmännings- och besparingsskogar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46310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46310</v>
      </c>
      <c r="F198" t="inlineStr">
        <is>
          <t>VÄSTMANLANDS LÄN</t>
        </is>
      </c>
      <c r="G198" t="inlineStr">
        <is>
          <t>VÄSTERÅS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46310</v>
      </c>
      <c r="F199" t="inlineStr">
        <is>
          <t>VÄSTMANLANDS LÄN</t>
        </is>
      </c>
      <c r="G199" t="inlineStr">
        <is>
          <t>VÄSTERÅS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45174</v>
      </c>
      <c r="E200" s="1" t="n">
        <v>46310</v>
      </c>
      <c r="F200" t="inlineStr">
        <is>
          <t>VÄSTMANLANDS LÄN</t>
        </is>
      </c>
      <c r="G200" t="inlineStr">
        <is>
          <t>VÄSTERÅS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46310</v>
      </c>
      <c r="F201" t="inlineStr">
        <is>
          <t>VÄSTMANLANDS LÄN</t>
        </is>
      </c>
      <c r="G201" t="inlineStr">
        <is>
          <t>VÄSTERÅS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45027</v>
      </c>
      <c r="E202" s="1" t="n">
        <v>46310</v>
      </c>
      <c r="F202" t="inlineStr">
        <is>
          <t>VÄSTMANLANDS LÄN</t>
        </is>
      </c>
      <c r="G202" t="inlineStr">
        <is>
          <t>VÄSTERÅS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45027</v>
      </c>
      <c r="E203" s="1" t="n">
        <v>46310</v>
      </c>
      <c r="F203" t="inlineStr">
        <is>
          <t>VÄSTMANLANDS LÄN</t>
        </is>
      </c>
      <c r="G203" t="inlineStr">
        <is>
          <t>VÄSTERÅS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46310</v>
      </c>
      <c r="F204" t="inlineStr">
        <is>
          <t>VÄSTMANLANDS LÄN</t>
        </is>
      </c>
      <c r="G204" t="inlineStr">
        <is>
          <t>VÄSTERÅS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52015-2024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45607</v>
      </c>
      <c r="E205" s="1" t="n">
        <v>46310</v>
      </c>
      <c r="F205" t="inlineStr">
        <is>
          <t>VÄSTMANLANDS LÄN</t>
        </is>
      </c>
      <c r="G205" t="inlineStr">
        <is>
          <t>VÄSTERÅS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46310</v>
      </c>
      <c r="F206" t="inlineStr">
        <is>
          <t>VÄSTMANLANDS LÄN</t>
        </is>
      </c>
      <c r="G206" t="inlineStr">
        <is>
          <t>VÄSTERÅS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46310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7797-2026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46062</v>
      </c>
      <c r="E208" s="1" t="n">
        <v>46310</v>
      </c>
      <c r="F208" t="inlineStr">
        <is>
          <t>VÄSTMANLANDS LÄN</t>
        </is>
      </c>
      <c r="G208" t="inlineStr">
        <is>
          <t>VÄSTERÅS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63851-2021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44509</v>
      </c>
      <c r="E209" s="1" t="n">
        <v>46310</v>
      </c>
      <c r="F209" t="inlineStr">
        <is>
          <t>VÄSTMANLANDS LÄN</t>
        </is>
      </c>
      <c r="G209" t="inlineStr">
        <is>
          <t>VÄSTERÅS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46310</v>
      </c>
      <c r="F210" t="inlineStr">
        <is>
          <t>VÄSTMANLANDS LÄN</t>
        </is>
      </c>
      <c r="G210" t="inlineStr">
        <is>
          <t>VÄSTERÅS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46310</v>
      </c>
      <c r="F211" t="inlineStr">
        <is>
          <t>VÄSTMANLANDS LÄN</t>
        </is>
      </c>
      <c r="G211" t="inlineStr">
        <is>
          <t>VÄSTERÅS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46310</v>
      </c>
      <c r="F212" t="inlineStr">
        <is>
          <t>VÄSTMANLANDS LÄN</t>
        </is>
      </c>
      <c r="G212" t="inlineStr">
        <is>
          <t>VÄSTERÅS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46310</v>
      </c>
      <c r="F213" t="inlineStr">
        <is>
          <t>VÄSTMANLANDS LÄN</t>
        </is>
      </c>
      <c r="G213" t="inlineStr">
        <is>
          <t>VÄSTERÅS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45042</v>
      </c>
      <c r="E214" s="1" t="n">
        <v>46310</v>
      </c>
      <c r="F214" t="inlineStr">
        <is>
          <t>VÄSTMANLANDS LÄN</t>
        </is>
      </c>
      <c r="G214" t="inlineStr">
        <is>
          <t>VÄSTERÅS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44717</v>
      </c>
      <c r="E215" s="1" t="n">
        <v>46310</v>
      </c>
      <c r="F215" t="inlineStr">
        <is>
          <t>VÄSTMANLANDS LÄN</t>
        </is>
      </c>
      <c r="G215" t="inlineStr">
        <is>
          <t>VÄSTERÅS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46310</v>
      </c>
      <c r="F216" t="inlineStr">
        <is>
          <t>VÄSTMANLANDS LÄN</t>
        </is>
      </c>
      <c r="G216" t="inlineStr">
        <is>
          <t>VÄSTERÅS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46310</v>
      </c>
      <c r="F217" t="inlineStr">
        <is>
          <t>VÄSTMANLANDS LÄN</t>
        </is>
      </c>
      <c r="G217" t="inlineStr">
        <is>
          <t>VÄSTERÅS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46310</v>
      </c>
      <c r="F218" t="inlineStr">
        <is>
          <t>VÄSTMANLANDS LÄN</t>
        </is>
      </c>
      <c r="G218" t="inlineStr">
        <is>
          <t>VÄSTERÅS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46310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44680</v>
      </c>
      <c r="E220" s="1" t="n">
        <v>46310</v>
      </c>
      <c r="F220" t="inlineStr">
        <is>
          <t>VÄSTMANLANDS LÄN</t>
        </is>
      </c>
      <c r="G220" t="inlineStr">
        <is>
          <t>VÄSTERÅS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46310</v>
      </c>
      <c r="F221" t="inlineStr">
        <is>
          <t>VÄSTMANLANDS LÄN</t>
        </is>
      </c>
      <c r="G221" t="inlineStr">
        <is>
          <t>VÄSTERÅS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46310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46310</v>
      </c>
      <c r="F223" t="inlineStr">
        <is>
          <t>VÄSTMANLANDS LÄN</t>
        </is>
      </c>
      <c r="G223" t="inlineStr">
        <is>
          <t>VÄSTERÅS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63483-2023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46310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46310</v>
      </c>
      <c r="F225" t="inlineStr">
        <is>
          <t>VÄSTMANLANDS LÄN</t>
        </is>
      </c>
      <c r="G225" t="inlineStr">
        <is>
          <t>VÄSTERÅS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46310</v>
      </c>
      <c r="F226" t="inlineStr">
        <is>
          <t>VÄSTMANLANDS LÄN</t>
        </is>
      </c>
      <c r="G226" t="inlineStr">
        <is>
          <t>VÄSTERÅS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46310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46310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46310</v>
      </c>
      <c r="F229" t="inlineStr">
        <is>
          <t>VÄSTMANLANDS LÄN</t>
        </is>
      </c>
      <c r="G229" t="inlineStr">
        <is>
          <t>VÄSTERÅS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46310</v>
      </c>
      <c r="F230" t="inlineStr">
        <is>
          <t>VÄSTMANLANDS LÄN</t>
        </is>
      </c>
      <c r="G230" t="inlineStr">
        <is>
          <t>VÄSTERÅS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46310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57873-2022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44899</v>
      </c>
      <c r="E232" s="1" t="n">
        <v>46310</v>
      </c>
      <c r="F232" t="inlineStr">
        <is>
          <t>VÄSTMANLANDS LÄN</t>
        </is>
      </c>
      <c r="G232" t="inlineStr">
        <is>
          <t>VÄSTERÅS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46310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46310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46310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46310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Allmännings- och besparingsskogar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44840</v>
      </c>
      <c r="E237" s="1" t="n">
        <v>46310</v>
      </c>
      <c r="F237" t="inlineStr">
        <is>
          <t>VÄSTMANLANDS LÄN</t>
        </is>
      </c>
      <c r="G237" t="inlineStr">
        <is>
          <t>VÄSTERÅS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44574</v>
      </c>
      <c r="E238" s="1" t="n">
        <v>46310</v>
      </c>
      <c r="F238" t="inlineStr">
        <is>
          <t>VÄSTMANLANDS LÄN</t>
        </is>
      </c>
      <c r="G238" t="inlineStr">
        <is>
          <t>VÄSTERÅS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46310</v>
      </c>
      <c r="F239" t="inlineStr">
        <is>
          <t>VÄSTMANLANDS LÄN</t>
        </is>
      </c>
      <c r="G239" t="inlineStr">
        <is>
          <t>VÄSTERÅS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46310</v>
      </c>
      <c r="F240" t="inlineStr">
        <is>
          <t>VÄSTMANLANDS LÄN</t>
        </is>
      </c>
      <c r="G240" t="inlineStr">
        <is>
          <t>VÄSTERÅS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44664</v>
      </c>
      <c r="E241" s="1" t="n">
        <v>46310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46188</v>
      </c>
      <c r="E242" s="1" t="n">
        <v>46310</v>
      </c>
      <c r="F242" t="inlineStr">
        <is>
          <t>VÄSTMANLANDS LÄN</t>
        </is>
      </c>
      <c r="G242" t="inlineStr">
        <is>
          <t>VÄSTERÅS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46310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46310</v>
      </c>
      <c r="F244" t="inlineStr">
        <is>
          <t>VÄSTMANLANDS LÄN</t>
        </is>
      </c>
      <c r="G244" t="inlineStr">
        <is>
          <t>VÄSTERÅS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46310</v>
      </c>
      <c r="F245" t="inlineStr">
        <is>
          <t>VÄSTMANLANDS LÄN</t>
        </is>
      </c>
      <c r="G245" t="inlineStr">
        <is>
          <t>VÄSTERÅS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45019</v>
      </c>
      <c r="E246" s="1" t="n">
        <v>46310</v>
      </c>
      <c r="F246" t="inlineStr">
        <is>
          <t>VÄSTMANLANDS LÄN</t>
        </is>
      </c>
      <c r="G246" t="inlineStr">
        <is>
          <t>VÄSTERÅS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46310</v>
      </c>
      <c r="F247" t="inlineStr">
        <is>
          <t>VÄSTMANLANDS LÄN</t>
        </is>
      </c>
      <c r="G247" t="inlineStr">
        <is>
          <t>VÄSTERÅS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46310</v>
      </c>
      <c r="F248" t="inlineStr">
        <is>
          <t>VÄSTMANLANDS LÄN</t>
        </is>
      </c>
      <c r="G248" t="inlineStr">
        <is>
          <t>VÄSTERÅS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18482-2023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45042</v>
      </c>
      <c r="E249" s="1" t="n">
        <v>46310</v>
      </c>
      <c r="F249" t="inlineStr">
        <is>
          <t>VÄSTMANLANDS LÄN</t>
        </is>
      </c>
      <c r="G249" t="inlineStr">
        <is>
          <t>VÄSTERÅS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46310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46310</v>
      </c>
      <c r="F251" t="inlineStr">
        <is>
          <t>VÄSTMANLANDS LÄN</t>
        </is>
      </c>
      <c r="G251" t="inlineStr">
        <is>
          <t>VÄSTERÅS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45083</v>
      </c>
      <c r="E252" s="1" t="n">
        <v>46310</v>
      </c>
      <c r="F252" t="inlineStr">
        <is>
          <t>VÄSTMANLANDS LÄN</t>
        </is>
      </c>
      <c r="G252" t="inlineStr">
        <is>
          <t>VÄSTERÅS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46310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46310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46310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46310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8800-2023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44978</v>
      </c>
      <c r="E257" s="1" t="n">
        <v>46310</v>
      </c>
      <c r="F257" t="inlineStr">
        <is>
          <t>VÄSTMANLANDS LÄN</t>
        </is>
      </c>
      <c r="G257" t="inlineStr">
        <is>
          <t>VÄSTERÅS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44523</v>
      </c>
      <c r="E258" s="1" t="n">
        <v>46310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45532</v>
      </c>
      <c r="E259" s="1" t="n">
        <v>46310</v>
      </c>
      <c r="F259" t="inlineStr">
        <is>
          <t>VÄSTMANLANDS LÄN</t>
        </is>
      </c>
      <c r="G259" t="inlineStr">
        <is>
          <t>VÄSTERÅS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46310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46310</v>
      </c>
      <c r="F261" t="inlineStr">
        <is>
          <t>VÄSTMANLANDS LÄN</t>
        </is>
      </c>
      <c r="G261" t="inlineStr">
        <is>
          <t>VÄSTERÅS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46217</v>
      </c>
      <c r="E262" s="1" t="n">
        <v>46310</v>
      </c>
      <c r="F262" t="inlineStr">
        <is>
          <t>VÄSTMANLANDS LÄN</t>
        </is>
      </c>
      <c r="G262" t="inlineStr">
        <is>
          <t>VÄSTERÅS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45579</v>
      </c>
      <c r="E263" s="1" t="n">
        <v>46310</v>
      </c>
      <c r="F263" t="inlineStr">
        <is>
          <t>VÄSTMANLANDS LÄN</t>
        </is>
      </c>
      <c r="G263" t="inlineStr">
        <is>
          <t>VÄSTERÅS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44874</v>
      </c>
      <c r="E264" s="1" t="n">
        <v>46310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46310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46310</v>
      </c>
      <c r="F266" t="inlineStr">
        <is>
          <t>VÄSTMANLANDS LÄN</t>
        </is>
      </c>
      <c r="G266" t="inlineStr">
        <is>
          <t>VÄSTERÅS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46310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46310</v>
      </c>
      <c r="F268" t="inlineStr">
        <is>
          <t>VÄSTMANLANDS LÄN</t>
        </is>
      </c>
      <c r="G268" t="inlineStr">
        <is>
          <t>VÄSTERÅS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46310</v>
      </c>
      <c r="F269" t="inlineStr">
        <is>
          <t>VÄSTMANLANDS LÄN</t>
        </is>
      </c>
      <c r="G269" t="inlineStr">
        <is>
          <t>VÄSTERÅS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46310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18467-2023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45042</v>
      </c>
      <c r="E271" s="1" t="n">
        <v>46310</v>
      </c>
      <c r="F271" t="inlineStr">
        <is>
          <t>VÄSTMANLANDS LÄN</t>
        </is>
      </c>
      <c r="G271" t="inlineStr">
        <is>
          <t>VÄSTERÅS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46310</v>
      </c>
      <c r="F272" t="inlineStr">
        <is>
          <t>VÄSTMANLANDS LÄN</t>
        </is>
      </c>
      <c r="G272" t="inlineStr">
        <is>
          <t>VÄSTERÅS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46274</v>
      </c>
      <c r="E273" s="1" t="n">
        <v>46310</v>
      </c>
      <c r="F273" t="inlineStr">
        <is>
          <t>VÄSTMANLANDS LÄN</t>
        </is>
      </c>
      <c r="G273" t="inlineStr">
        <is>
          <t>VÄSTERÅS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46274</v>
      </c>
      <c r="E274" s="1" t="n">
        <v>46310</v>
      </c>
      <c r="F274" t="inlineStr">
        <is>
          <t>VÄSTMANLANDS LÄN</t>
        </is>
      </c>
      <c r="G274" t="inlineStr">
        <is>
          <t>VÄSTERÅS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46310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67350-2021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44523</v>
      </c>
      <c r="E276" s="1" t="n">
        <v>46310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Övriga Aktiebolag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10496-2022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44623</v>
      </c>
      <c r="E277" s="1" t="n">
        <v>46310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45033</v>
      </c>
      <c r="E278" s="1" t="n">
        <v>46310</v>
      </c>
      <c r="F278" t="inlineStr">
        <is>
          <t>VÄSTMANLANDS LÄN</t>
        </is>
      </c>
      <c r="G278" t="inlineStr">
        <is>
          <t>VÄSTERÅS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73994-2021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44556</v>
      </c>
      <c r="E279" s="1" t="n">
        <v>46310</v>
      </c>
      <c r="F279" t="inlineStr">
        <is>
          <t>VÄSTMANLANDS LÄN</t>
        </is>
      </c>
      <c r="G279" t="inlineStr">
        <is>
          <t>VÄSTERÅS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46310</v>
      </c>
      <c r="F280" t="inlineStr">
        <is>
          <t>VÄSTMANLANDS LÄN</t>
        </is>
      </c>
      <c r="G280" t="inlineStr">
        <is>
          <t>VÄSTERÅS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46310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44792</v>
      </c>
      <c r="E282" s="1" t="n">
        <v>46310</v>
      </c>
      <c r="F282" t="inlineStr">
        <is>
          <t>VÄSTMANLANDS LÄN</t>
        </is>
      </c>
      <c r="G282" t="inlineStr">
        <is>
          <t>VÄSTERÅS</t>
        </is>
      </c>
      <c r="I282" t="n">
        <v>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46310</v>
      </c>
      <c r="F283" t="inlineStr">
        <is>
          <t>VÄSTMANLANDS LÄN</t>
        </is>
      </c>
      <c r="G283" t="inlineStr">
        <is>
          <t>VÄSTERÅS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46310</v>
      </c>
      <c r="F284" t="inlineStr">
        <is>
          <t>VÄSTMANLANDS LÄN</t>
        </is>
      </c>
      <c r="G284" t="inlineStr">
        <is>
          <t>VÄSTERÅS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44708</v>
      </c>
      <c r="E285" s="1" t="n">
        <v>46310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44755</v>
      </c>
      <c r="E286" s="1" t="n">
        <v>46310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67353-2021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44523</v>
      </c>
      <c r="E287" s="1" t="n">
        <v>46310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Övriga Aktiebolag</t>
        </is>
      </c>
      <c r="I287" t="n">
        <v>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46310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46272</v>
      </c>
      <c r="E289" s="1" t="n">
        <v>46310</v>
      </c>
      <c r="F289" t="inlineStr">
        <is>
          <t>VÄSTMANLANDS LÄN</t>
        </is>
      </c>
      <c r="G289" t="inlineStr">
        <is>
          <t>VÄSTERÅS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46289</v>
      </c>
      <c r="E290" s="1" t="n">
        <v>46310</v>
      </c>
      <c r="F290" t="inlineStr">
        <is>
          <t>VÄSTMANLANDS LÄN</t>
        </is>
      </c>
      <c r="G290" t="inlineStr">
        <is>
          <t>VÄSTERÅS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46289</v>
      </c>
      <c r="E291" s="1" t="n">
        <v>46310</v>
      </c>
      <c r="F291" t="inlineStr">
        <is>
          <t>VÄSTMANLANDS LÄN</t>
        </is>
      </c>
      <c r="G291" t="inlineStr">
        <is>
          <t>VÄSTERÅS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46310</v>
      </c>
      <c r="F292" t="inlineStr">
        <is>
          <t>VÄSTMANLANDS LÄN</t>
        </is>
      </c>
      <c r="G292" t="inlineStr">
        <is>
          <t>VÄSTERÅS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46310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44658</v>
      </c>
      <c r="E294" s="1" t="n">
        <v>46310</v>
      </c>
      <c r="F294" t="inlineStr">
        <is>
          <t>VÄSTMANLANDS LÄN</t>
        </is>
      </c>
      <c r="G294" t="inlineStr">
        <is>
          <t>VÄSTERÅS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46310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58960-2022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44903</v>
      </c>
      <c r="E296" s="1" t="n">
        <v>46310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46310</v>
      </c>
      <c r="F297" t="inlineStr">
        <is>
          <t>VÄSTMANLANDS LÄN</t>
        </is>
      </c>
      <c r="G297" t="inlineStr">
        <is>
          <t>VÄSTERÅS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46310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46290</v>
      </c>
      <c r="E299" s="1" t="n">
        <v>46310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12.2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8727-2023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44978</v>
      </c>
      <c r="E300" s="1" t="n">
        <v>46310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45028</v>
      </c>
      <c r="E301" s="1" t="n">
        <v>46310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46310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46310</v>
      </c>
      <c r="F303" t="inlineStr">
        <is>
          <t>VÄSTMANLANDS LÄN</t>
        </is>
      </c>
      <c r="G303" t="inlineStr">
        <is>
          <t>VÄSTERÅS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46310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44994</v>
      </c>
      <c r="E305" s="1" t="n">
        <v>46310</v>
      </c>
      <c r="F305" t="inlineStr">
        <is>
          <t>VÄSTMANLANDS LÄN</t>
        </is>
      </c>
      <c r="G305" t="inlineStr">
        <is>
          <t>VÄSTERÅS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70642-2021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44537</v>
      </c>
      <c r="E306" s="1" t="n">
        <v>46310</v>
      </c>
      <c r="F306" t="inlineStr">
        <is>
          <t>VÄSTMANLANDS LÄN</t>
        </is>
      </c>
      <c r="G306" t="inlineStr">
        <is>
          <t>VÄSTERÅS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23765-2022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46310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46287</v>
      </c>
      <c r="E308" s="1" t="n">
        <v>46310</v>
      </c>
      <c r="F308" t="inlineStr">
        <is>
          <t>VÄSTMANLANDS LÄN</t>
        </is>
      </c>
      <c r="G308" t="inlineStr">
        <is>
          <t>VÄSTERÅS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45282</v>
      </c>
      <c r="E309" s="1" t="n">
        <v>46310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45296</v>
      </c>
      <c r="E310" s="1" t="n">
        <v>46310</v>
      </c>
      <c r="F310" t="inlineStr">
        <is>
          <t>VÄSTMANLANDS LÄN</t>
        </is>
      </c>
      <c r="G310" t="inlineStr">
        <is>
          <t>VÄSTERÅS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17808-2023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45037</v>
      </c>
      <c r="E311" s="1" t="n">
        <v>46310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46310</v>
      </c>
      <c r="F312" t="inlineStr">
        <is>
          <t>VÄSTMANLANDS LÄN</t>
        </is>
      </c>
      <c r="G312" t="inlineStr">
        <is>
          <t>VÄSTERÅS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46310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73597-2021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44552</v>
      </c>
      <c r="E314" s="1" t="n">
        <v>46310</v>
      </c>
      <c r="F314" t="inlineStr">
        <is>
          <t>VÄSTMANLANDS LÄN</t>
        </is>
      </c>
      <c r="G314" t="inlineStr">
        <is>
          <t>VÄSTERÅS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46310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45448</v>
      </c>
      <c r="E316" s="1" t="n">
        <v>46310</v>
      </c>
      <c r="F316" t="inlineStr">
        <is>
          <t>VÄSTMANLANDS LÄN</t>
        </is>
      </c>
      <c r="G316" t="inlineStr">
        <is>
          <t>VÄSTERÅS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46310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46310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46310</v>
      </c>
      <c r="F319" t="inlineStr">
        <is>
          <t>VÄSTMANLANDS LÄN</t>
        </is>
      </c>
      <c r="G319" t="inlineStr">
        <is>
          <t>VÄSTERÅS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46215</v>
      </c>
      <c r="E320" s="1" t="n">
        <v>46310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46303</v>
      </c>
      <c r="E321" s="1" t="n">
        <v>46310</v>
      </c>
      <c r="F321" t="inlineStr">
        <is>
          <t>VÄSTMANLANDS LÄN</t>
        </is>
      </c>
      <c r="G321" t="inlineStr">
        <is>
          <t>VÄSTERÅS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46310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46310</v>
      </c>
      <c r="F323" t="inlineStr">
        <is>
          <t>VÄSTMANLANDS LÄN</t>
        </is>
      </c>
      <c r="G323" t="inlineStr">
        <is>
          <t>VÄSTERÅS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44657</v>
      </c>
      <c r="E324" s="1" t="n">
        <v>46310</v>
      </c>
      <c r="F324" t="inlineStr">
        <is>
          <t>VÄSTMANLANDS LÄN</t>
        </is>
      </c>
      <c r="G324" t="inlineStr">
        <is>
          <t>VÄSTERÅS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12289-2024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45378</v>
      </c>
      <c r="E325" s="1" t="n">
        <v>46310</v>
      </c>
      <c r="F325" t="inlineStr">
        <is>
          <t>VÄSTMANLANDS LÄN</t>
        </is>
      </c>
      <c r="G325" t="inlineStr">
        <is>
          <t>VÄSTERÅS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46215</v>
      </c>
      <c r="E326" s="1" t="n">
        <v>46310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46310</v>
      </c>
      <c r="F327" t="inlineStr">
        <is>
          <t>VÄSTMANLANDS LÄN</t>
        </is>
      </c>
      <c r="G327" t="inlineStr">
        <is>
          <t>VÄSTERÅS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46310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46310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46310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46310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46310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46310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2026-10-15T02:04:30Z</dcterms:created>
  <dcterms:modified xmlns:dcterms="http://purl.org/dc/terms/" xmlns:xsi="http://www.w3.org/2001/XMLSchema-instance" xsi:type="dcterms:W3CDTF">2026-10-15T02:04:30Z</dcterms:modified>
</cp:coreProperties>
</file>