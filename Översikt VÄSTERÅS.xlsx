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46266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46266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46266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46266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46266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46266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46266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46266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46266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46266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46266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46266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46266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46266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46266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46266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46266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46266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46266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46266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46266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46266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46266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46266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46266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59520-2024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46266</v>
      </c>
      <c r="F44" t="inlineStr">
        <is>
          <t>VÄSTMANLANDS LÄN</t>
        </is>
      </c>
      <c r="G44" t="inlineStr">
        <is>
          <t>VÄSTERÅS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Brunklöver</t>
        </is>
      </c>
      <c r="W44">
        <f>HYPERLINK("https://klasma.github.io/Logging_1980/artfynd/A 59520-2024 artfynd.xlsx", "A 59520-2024")</f>
        <v/>
      </c>
      <c r="X44">
        <f>HYPERLINK("https://klasma.github.io/Logging_1980/kartor/A 59520-2024 karta.png", "A 59520-2024")</f>
        <v/>
      </c>
      <c r="Y44">
        <f>HYPERLINK("https://klasma.github.io/Logging_1980/kartor_geotiff/A 59520-2024 georefererad karta.tif", "A 59520-2024")</f>
        <v/>
      </c>
      <c r="AA44">
        <f>HYPERLINK("https://klasma.github.io/Logging_1980/klagomål/A 59520-2024 FSC-klagomål.docx", "A 59520-2024")</f>
        <v/>
      </c>
      <c r="AB44">
        <f>HYPERLINK("https://klasma.github.io/Logging_1980/klagomålsmail/A 59520-2024 FSC-klagomål mail.docx", "A 59520-2024")</f>
        <v/>
      </c>
      <c r="AC44">
        <f>HYPERLINK("https://klasma.github.io/Logging_1980/tillsyn/A 59520-2024 tillsynsbegäran.docx", "A 59520-2024")</f>
        <v/>
      </c>
      <c r="AD44">
        <f>HYPERLINK("https://klasma.github.io/Logging_1980/tillsynsmail/A 59520-2024 tillsynsbegäran mail.docx", "A 59520-2024")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46266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46266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46266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46266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51147-2023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46266</v>
      </c>
      <c r="F49" t="inlineStr">
        <is>
          <t>VÄSTMANLANDS LÄN</t>
        </is>
      </c>
      <c r="G49" t="inlineStr">
        <is>
          <t>VÄSTERÅS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Mindre märgborre</t>
        </is>
      </c>
      <c r="W49">
        <f>HYPERLINK("https://klasma.github.io/Logging_1980/artfynd/A 51147-2023 artfynd.xlsx", "A 51147-2023")</f>
        <v/>
      </c>
      <c r="X49">
        <f>HYPERLINK("https://klasma.github.io/Logging_1980/kartor/A 51147-2023 karta.png", "A 51147-2023")</f>
        <v/>
      </c>
      <c r="Y49">
        <f>HYPERLINK("https://klasma.github.io/Logging_1980/kartor_geotiff/A 51147-2023 georefererad karta.tif", "A 51147-2023")</f>
        <v/>
      </c>
      <c r="AA49">
        <f>HYPERLINK("https://klasma.github.io/Logging_1980/klagomål/A 51147-2023 FSC-klagomål.docx", "A 51147-2023")</f>
        <v/>
      </c>
      <c r="AB49">
        <f>HYPERLINK("https://klasma.github.io/Logging_1980/klagomålsmail/A 51147-2023 FSC-klagomål mail.docx", "A 51147-2023")</f>
        <v/>
      </c>
      <c r="AC49">
        <f>HYPERLINK("https://klasma.github.io/Logging_1980/tillsyn/A 51147-2023 tillsynsbegäran.docx", "A 51147-2023")</f>
        <v/>
      </c>
      <c r="AD49">
        <f>HYPERLINK("https://klasma.github.io/Logging_1980/tillsynsmail/A 51147-2023 tillsynsbegäran mail.docx", "A 51147-2023")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46266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46266</v>
      </c>
      <c r="F51" t="inlineStr">
        <is>
          <t>VÄSTMANLANDS LÄN</t>
        </is>
      </c>
      <c r="G51" t="inlineStr">
        <is>
          <t>VÄSTERÅS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5363-2025 artfynd.xlsx", "A 5363-2025")</f>
        <v/>
      </c>
      <c r="X51">
        <f>HYPERLINK("https://klasma.github.io/Logging_1980/kartor/A 5363-2025 karta.png", "A 5363-2025")</f>
        <v/>
      </c>
      <c r="Y51">
        <f>HYPERLINK("https://klasma.github.io/Logging_1980/kartor_geotiff/A 5363-2025 georefererad karta.tif", "A 5363-2025")</f>
        <v/>
      </c>
      <c r="AA51">
        <f>HYPERLINK("https://klasma.github.io/Logging_1980/klagomål/A 5363-2025 FSC-klagomål.docx", "A 5363-2025")</f>
        <v/>
      </c>
      <c r="AB51">
        <f>HYPERLINK("https://klasma.github.io/Logging_1980/klagomålsmail/A 5363-2025 FSC-klagomål mail.docx", "A 5363-2025")</f>
        <v/>
      </c>
      <c r="AC51">
        <f>HYPERLINK("https://klasma.github.io/Logging_1980/tillsyn/A 5363-2025 tillsynsbegäran.docx", "A 5363-2025")</f>
        <v/>
      </c>
      <c r="AD51">
        <f>HYPERLINK("https://klasma.github.io/Logging_1980/tillsynsmail/A 5363-2025 tillsynsbegäran mail.docx", "A 5363-2025")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46266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46266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46266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HYPERLINK("https://klasma.github.io/Logging_1980/artfynd/A 59144-2025 artfynd.xlsx", "A 59144-2025")</f>
        <v/>
      </c>
      <c r="X54">
        <f>HYPERLINK("https://klasma.github.io/Logging_1980/kartor/A 59144-2025 karta.png", "A 59144-2025")</f>
        <v/>
      </c>
      <c r="Y54">
        <f>HYPERLINK("https://klasma.github.io/Logging_1980/kartor_geotiff/A 59144-2025 georefererad karta.tif", "A 59144-2025")</f>
        <v/>
      </c>
      <c r="AA54">
        <f>HYPERLINK("https://klasma.github.io/Logging_1980/klagomål/A 59144-2025 FSC-klagomål.docx", "A 59144-2025")</f>
        <v/>
      </c>
      <c r="AB54">
        <f>HYPERLINK("https://klasma.github.io/Logging_1980/klagomålsmail/A 59144-2025 FSC-klagomål mail.docx", "A 59144-2025")</f>
        <v/>
      </c>
      <c r="AC54">
        <f>HYPERLINK("https://klasma.github.io/Logging_1980/tillsyn/A 59144-2025 tillsynsbegäran.docx", "A 59144-2025")</f>
        <v/>
      </c>
      <c r="AD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46266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46266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46266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46266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46266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46266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46266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46266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46266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46266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46266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46266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46266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46266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46266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46266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46266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46266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46266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46266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46266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46266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46266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46266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46266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46266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46266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46266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46266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46266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46266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46266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46266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46266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46266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46266</v>
      </c>
      <c r="F92" t="inlineStr">
        <is>
          <t>VÄSTMANLANDS LÄN</t>
        </is>
      </c>
      <c r="G92" t="inlineStr">
        <is>
          <t>VÄSTERÅS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73601-2021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44552</v>
      </c>
      <c r="E93" s="1" t="n">
        <v>46266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55676-2023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45232</v>
      </c>
      <c r="E94" s="1" t="n">
        <v>46266</v>
      </c>
      <c r="F94" t="inlineStr">
        <is>
          <t>VÄSTMANLANDS LÄN</t>
        </is>
      </c>
      <c r="G94" t="inlineStr">
        <is>
          <t>VÄSTERÅS</t>
        </is>
      </c>
      <c r="H94" t="inlineStr">
        <is>
          <t>Övriga Aktiebolag</t>
        </is>
      </c>
      <c r="I94" t="n">
        <v>37.9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46266</v>
      </c>
      <c r="F95" t="inlineStr">
        <is>
          <t>VÄSTMANLANDS LÄN</t>
        </is>
      </c>
      <c r="G95" t="inlineStr">
        <is>
          <t>VÄSTERÅS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46266</v>
      </c>
      <c r="F96" t="inlineStr">
        <is>
          <t>VÄSTMANLANDS LÄN</t>
        </is>
      </c>
      <c r="G96" t="inlineStr">
        <is>
          <t>VÄSTERÅS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55684-2023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45232</v>
      </c>
      <c r="E97" s="1" t="n">
        <v>46266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29.4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46266</v>
      </c>
      <c r="F98" t="inlineStr">
        <is>
          <t>VÄSTMANLANDS LÄN</t>
        </is>
      </c>
      <c r="G98" t="inlineStr">
        <is>
          <t>VÄSTERÅS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46266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46266</v>
      </c>
      <c r="F100" t="inlineStr">
        <is>
          <t>VÄSTMANLANDS LÄN</t>
        </is>
      </c>
      <c r="G100" t="inlineStr">
        <is>
          <t>VÄSTERÅS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46266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46266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45378</v>
      </c>
      <c r="E103" s="1" t="n">
        <v>46266</v>
      </c>
      <c r="F103" t="inlineStr">
        <is>
          <t>VÄSTMANLANDS LÄN</t>
        </is>
      </c>
      <c r="G103" t="inlineStr">
        <is>
          <t>VÄSTERÅS</t>
        </is>
      </c>
      <c r="I103" t="n">
        <v>15.4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74314-2021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46266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46266</v>
      </c>
      <c r="F105" t="inlineStr">
        <is>
          <t>VÄSTMANLANDS LÄN</t>
        </is>
      </c>
      <c r="G105" t="inlineStr">
        <is>
          <t>VÄSTERÅS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46266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46266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46266</v>
      </c>
      <c r="F108" t="inlineStr">
        <is>
          <t>VÄSTMANLANDS LÄN</t>
        </is>
      </c>
      <c r="G108" t="inlineStr">
        <is>
          <t>VÄSTERÅS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45595</v>
      </c>
      <c r="E109" s="1" t="n">
        <v>46266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Övriga Aktiebolag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46266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46266</v>
      </c>
      <c r="F111" t="inlineStr">
        <is>
          <t>VÄSTMANLANDS LÄN</t>
        </is>
      </c>
      <c r="G111" t="inlineStr">
        <is>
          <t>VÄSTERÅS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46266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Kommuner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46266</v>
      </c>
      <c r="F113" t="inlineStr">
        <is>
          <t>VÄSTMANLANDS LÄN</t>
        </is>
      </c>
      <c r="G113" t="inlineStr">
        <is>
          <t>VÄSTERÅS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44961</v>
      </c>
      <c r="E114" s="1" t="n">
        <v>46266</v>
      </c>
      <c r="F114" t="inlineStr">
        <is>
          <t>VÄSTMANLANDS LÄN</t>
        </is>
      </c>
      <c r="G114" t="inlineStr">
        <is>
          <t>VÄSTERÅS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46266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46266</v>
      </c>
      <c r="F116" t="inlineStr">
        <is>
          <t>VÄSTMANLANDS LÄN</t>
        </is>
      </c>
      <c r="G116" t="inlineStr">
        <is>
          <t>VÄSTERÅS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46266</v>
      </c>
      <c r="F117" t="inlineStr">
        <is>
          <t>VÄSTMANLANDS LÄN</t>
        </is>
      </c>
      <c r="G117" t="inlineStr">
        <is>
          <t>VÄSTERÅS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44662</v>
      </c>
      <c r="E118" s="1" t="n">
        <v>46266</v>
      </c>
      <c r="F118" t="inlineStr">
        <is>
          <t>VÄSTMANLANDS LÄN</t>
        </is>
      </c>
      <c r="G118" t="inlineStr">
        <is>
          <t>VÄSTERÅS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46266</v>
      </c>
      <c r="F119" t="inlineStr">
        <is>
          <t>VÄSTMANLANDS LÄN</t>
        </is>
      </c>
      <c r="G119" t="inlineStr">
        <is>
          <t>VÄSTERÅS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45072</v>
      </c>
      <c r="E120" s="1" t="n">
        <v>46266</v>
      </c>
      <c r="F120" t="inlineStr">
        <is>
          <t>VÄSTMANLANDS LÄN</t>
        </is>
      </c>
      <c r="G120" t="inlineStr">
        <is>
          <t>VÄSTERÅS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46266</v>
      </c>
      <c r="F121" t="inlineStr">
        <is>
          <t>VÄSTMANLANDS LÄN</t>
        </is>
      </c>
      <c r="G121" t="inlineStr">
        <is>
          <t>VÄSTERÅS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45235</v>
      </c>
      <c r="E122" s="1" t="n">
        <v>46266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37.8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45370</v>
      </c>
      <c r="E123" s="1" t="n">
        <v>46266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46266</v>
      </c>
      <c r="F124" t="inlineStr">
        <is>
          <t>VÄSTMANLANDS LÄN</t>
        </is>
      </c>
      <c r="G124" t="inlineStr">
        <is>
          <t>VÄSTERÅS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46266</v>
      </c>
      <c r="F125" t="inlineStr">
        <is>
          <t>VÄSTMANLANDS LÄN</t>
        </is>
      </c>
      <c r="G125" t="inlineStr">
        <is>
          <t>VÄSTERÅS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46266</v>
      </c>
      <c r="F126" t="inlineStr">
        <is>
          <t>VÄSTMANLANDS LÄN</t>
        </is>
      </c>
      <c r="G126" t="inlineStr">
        <is>
          <t>VÄSTERÅS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45019</v>
      </c>
      <c r="E127" s="1" t="n">
        <v>46266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46266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statliga verk och myndigheter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46266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45223</v>
      </c>
      <c r="E130" s="1" t="n">
        <v>46266</v>
      </c>
      <c r="F130" t="inlineStr">
        <is>
          <t>VÄSTMANLANDS LÄN</t>
        </is>
      </c>
      <c r="G130" t="inlineStr">
        <is>
          <t>VÄSTERÅS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45628</v>
      </c>
      <c r="E131" s="1" t="n">
        <v>46266</v>
      </c>
      <c r="F131" t="inlineStr">
        <is>
          <t>VÄSTMANLANDS LÄN</t>
        </is>
      </c>
      <c r="G131" t="inlineStr">
        <is>
          <t>VÄSTERÅS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46266</v>
      </c>
      <c r="F132" t="inlineStr">
        <is>
          <t>VÄSTMANLANDS LÄN</t>
        </is>
      </c>
      <c r="G132" t="inlineStr">
        <is>
          <t>VÄSTERÅS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46266</v>
      </c>
      <c r="F133" t="inlineStr">
        <is>
          <t>VÄSTMANLANDS LÄN</t>
        </is>
      </c>
      <c r="G133" t="inlineStr">
        <is>
          <t>VÄSTERÅS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46266</v>
      </c>
      <c r="F134" t="inlineStr">
        <is>
          <t>VÄSTMANLANDS LÄN</t>
        </is>
      </c>
      <c r="G134" t="inlineStr">
        <is>
          <t>VÄSTERÅS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46266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Kommuner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46266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46266</v>
      </c>
      <c r="F137" t="inlineStr">
        <is>
          <t>VÄSTMANLANDS LÄN</t>
        </is>
      </c>
      <c r="G137" t="inlineStr">
        <is>
          <t>VÄSTERÅS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46266</v>
      </c>
      <c r="F138" t="inlineStr">
        <is>
          <t>VÄSTMANLANDS LÄN</t>
        </is>
      </c>
      <c r="G138" t="inlineStr">
        <is>
          <t>VÄSTERÅS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46266</v>
      </c>
      <c r="F139" t="inlineStr">
        <is>
          <t>VÄSTMANLANDS LÄN</t>
        </is>
      </c>
      <c r="G139" t="inlineStr">
        <is>
          <t>VÄSTERÅS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46266</v>
      </c>
      <c r="F140" t="inlineStr">
        <is>
          <t>VÄSTMANLANDS LÄN</t>
        </is>
      </c>
      <c r="G140" t="inlineStr">
        <is>
          <t>VÄSTERÅS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46266</v>
      </c>
      <c r="F141" t="inlineStr">
        <is>
          <t>VÄSTMANLANDS LÄN</t>
        </is>
      </c>
      <c r="G141" t="inlineStr">
        <is>
          <t>VÄSTERÅS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11137-2023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44987</v>
      </c>
      <c r="E142" s="1" t="n">
        <v>46266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46266</v>
      </c>
      <c r="F143" t="inlineStr">
        <is>
          <t>VÄSTMANLANDS LÄN</t>
        </is>
      </c>
      <c r="G143" t="inlineStr">
        <is>
          <t>VÄSTERÅS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44880</v>
      </c>
      <c r="E144" s="1" t="n">
        <v>46266</v>
      </c>
      <c r="F144" t="inlineStr">
        <is>
          <t>VÄSTMANLANDS LÄN</t>
        </is>
      </c>
      <c r="G144" t="inlineStr">
        <is>
          <t>VÄSTERÅS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46266</v>
      </c>
      <c r="F145" t="inlineStr">
        <is>
          <t>VÄSTMANLANDS LÄN</t>
        </is>
      </c>
      <c r="G145" t="inlineStr">
        <is>
          <t>VÄSTERÅS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46266</v>
      </c>
      <c r="F146" t="inlineStr">
        <is>
          <t>VÄSTMANLANDS LÄN</t>
        </is>
      </c>
      <c r="G146" t="inlineStr">
        <is>
          <t>VÄSTERÅS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46266</v>
      </c>
      <c r="F147" t="inlineStr">
        <is>
          <t>VÄSTMANLANDS LÄN</t>
        </is>
      </c>
      <c r="G147" t="inlineStr">
        <is>
          <t>VÄSTERÅS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44999</v>
      </c>
      <c r="E148" s="1" t="n">
        <v>46266</v>
      </c>
      <c r="F148" t="inlineStr">
        <is>
          <t>VÄSTMANLANDS LÄN</t>
        </is>
      </c>
      <c r="G148" t="inlineStr">
        <is>
          <t>VÄSTERÅS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46266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46266</v>
      </c>
      <c r="F150" t="inlineStr">
        <is>
          <t>VÄSTMANLANDS LÄN</t>
        </is>
      </c>
      <c r="G150" t="inlineStr">
        <is>
          <t>VÄSTERÅS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44635</v>
      </c>
      <c r="E151" s="1" t="n">
        <v>46266</v>
      </c>
      <c r="F151" t="inlineStr">
        <is>
          <t>VÄSTMANLANDS LÄN</t>
        </is>
      </c>
      <c r="G151" t="inlineStr">
        <is>
          <t>VÄSTERÅS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46266</v>
      </c>
      <c r="F152" t="inlineStr">
        <is>
          <t>VÄSTMANLANDS LÄN</t>
        </is>
      </c>
      <c r="G152" t="inlineStr">
        <is>
          <t>VÄSTERÅS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46266</v>
      </c>
      <c r="F153" t="inlineStr">
        <is>
          <t>VÄSTMANLANDS LÄN</t>
        </is>
      </c>
      <c r="G153" t="inlineStr">
        <is>
          <t>VÄSTERÅS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45125</v>
      </c>
      <c r="E154" s="1" t="n">
        <v>46266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46266</v>
      </c>
      <c r="F155" t="inlineStr">
        <is>
          <t>VÄSTMANLANDS LÄN</t>
        </is>
      </c>
      <c r="G155" t="inlineStr">
        <is>
          <t>VÄSTERÅS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45279</v>
      </c>
      <c r="E156" s="1" t="n">
        <v>46266</v>
      </c>
      <c r="F156" t="inlineStr">
        <is>
          <t>VÄSTMANLANDS LÄN</t>
        </is>
      </c>
      <c r="G156" t="inlineStr">
        <is>
          <t>VÄSTERÅS</t>
        </is>
      </c>
      <c r="I156" t="n">
        <v>13.9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39127-2022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44816</v>
      </c>
      <c r="E157" s="1" t="n">
        <v>46266</v>
      </c>
      <c r="F157" t="inlineStr">
        <is>
          <t>VÄSTMANLANDS LÄN</t>
        </is>
      </c>
      <c r="G157" t="inlineStr">
        <is>
          <t>VÄSTERÅS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46266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46266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46266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46266</v>
      </c>
      <c r="F161" t="inlineStr">
        <is>
          <t>VÄSTMANLANDS LÄN</t>
        </is>
      </c>
      <c r="G161" t="inlineStr">
        <is>
          <t>VÄSTERÅS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45979</v>
      </c>
      <c r="E162" s="1" t="n">
        <v>46266</v>
      </c>
      <c r="F162" t="inlineStr">
        <is>
          <t>VÄSTMANLANDS LÄN</t>
        </is>
      </c>
      <c r="G162" t="inlineStr">
        <is>
          <t>VÄSTERÅS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46266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46266</v>
      </c>
      <c r="F164" t="inlineStr">
        <is>
          <t>VÄSTMANLANDS LÄN</t>
        </is>
      </c>
      <c r="G164" t="inlineStr">
        <is>
          <t>VÄSTERÅS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46266</v>
      </c>
      <c r="F165" t="inlineStr">
        <is>
          <t>VÄSTMANLANDS LÄN</t>
        </is>
      </c>
      <c r="G165" t="inlineStr">
        <is>
          <t>VÄSTERÅS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46266</v>
      </c>
      <c r="F166" t="inlineStr">
        <is>
          <t>VÄSTMANLANDS LÄN</t>
        </is>
      </c>
      <c r="G166" t="inlineStr">
        <is>
          <t>VÄSTERÅS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46266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46266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46266</v>
      </c>
      <c r="F169" t="inlineStr">
        <is>
          <t>VÄSTMANLANDS LÄN</t>
        </is>
      </c>
      <c r="G169" t="inlineStr">
        <is>
          <t>VÄSTERÅS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46266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46266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45027</v>
      </c>
      <c r="E172" s="1" t="n">
        <v>46266</v>
      </c>
      <c r="F172" t="inlineStr">
        <is>
          <t>VÄSTMANLANDS LÄN</t>
        </is>
      </c>
      <c r="G172" t="inlineStr">
        <is>
          <t>VÄSTERÅS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46266</v>
      </c>
      <c r="F173" t="inlineStr">
        <is>
          <t>VÄSTMANLANDS LÄN</t>
        </is>
      </c>
      <c r="G173" t="inlineStr">
        <is>
          <t>VÄSTERÅS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46266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46266</v>
      </c>
      <c r="F175" t="inlineStr">
        <is>
          <t>VÄSTMANLANDS LÄN</t>
        </is>
      </c>
      <c r="G175" t="inlineStr">
        <is>
          <t>VÄSTERÅS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46266</v>
      </c>
      <c r="F176" t="inlineStr">
        <is>
          <t>VÄSTMANLANDS LÄN</t>
        </is>
      </c>
      <c r="G176" t="inlineStr">
        <is>
          <t>VÄSTERÅS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44958</v>
      </c>
      <c r="E177" s="1" t="n">
        <v>46266</v>
      </c>
      <c r="F177" t="inlineStr">
        <is>
          <t>VÄSTMANLANDS LÄN</t>
        </is>
      </c>
      <c r="G177" t="inlineStr">
        <is>
          <t>VÄSTERÅS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44582</v>
      </c>
      <c r="E178" s="1" t="n">
        <v>46266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Övriga Aktiebolag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46266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Allmännings- och besparingsskogar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46266</v>
      </c>
      <c r="F180" t="inlineStr">
        <is>
          <t>VÄSTMANLANDS LÄN</t>
        </is>
      </c>
      <c r="G180" t="inlineStr">
        <is>
          <t>VÄSTERÅS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46266</v>
      </c>
      <c r="F181" t="inlineStr">
        <is>
          <t>VÄSTMANLANDS LÄN</t>
        </is>
      </c>
      <c r="G181" t="inlineStr">
        <is>
          <t>VÄSTERÅS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45414</v>
      </c>
      <c r="E182" s="1" t="n">
        <v>46266</v>
      </c>
      <c r="F182" t="inlineStr">
        <is>
          <t>VÄSTMANLANDS LÄN</t>
        </is>
      </c>
      <c r="G182" t="inlineStr">
        <is>
          <t>VÄSTERÅS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18465-2023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45042</v>
      </c>
      <c r="E183" s="1" t="n">
        <v>46266</v>
      </c>
      <c r="F183" t="inlineStr">
        <is>
          <t>VÄSTMANLANDS LÄN</t>
        </is>
      </c>
      <c r="G183" t="inlineStr">
        <is>
          <t>VÄSTERÅS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64202-2023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45279</v>
      </c>
      <c r="E184" s="1" t="n">
        <v>46266</v>
      </c>
      <c r="F184" t="inlineStr">
        <is>
          <t>VÄSTMANLANDS LÄN</t>
        </is>
      </c>
      <c r="G184" t="inlineStr">
        <is>
          <t>VÄSTERÅS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46266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Kyrkan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46266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15316-2022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44659</v>
      </c>
      <c r="E187" s="1" t="n">
        <v>46266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46266</v>
      </c>
      <c r="F188" t="inlineStr">
        <is>
          <t>VÄSTMANLANDS LÄN</t>
        </is>
      </c>
      <c r="G188" t="inlineStr">
        <is>
          <t>VÄSTERÅS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46266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7797-2026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46062</v>
      </c>
      <c r="E190" s="1" t="n">
        <v>46266</v>
      </c>
      <c r="F190" t="inlineStr">
        <is>
          <t>VÄSTMANLANDS LÄN</t>
        </is>
      </c>
      <c r="G190" t="inlineStr">
        <is>
          <t>VÄSTERÅS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52027-2025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45952</v>
      </c>
      <c r="E191" s="1" t="n">
        <v>46266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Övriga statliga verk och myndigheter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46266</v>
      </c>
      <c r="F192" t="inlineStr">
        <is>
          <t>VÄSTMANLANDS LÄN</t>
        </is>
      </c>
      <c r="G192" t="inlineStr">
        <is>
          <t>VÄSTERÅS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46266</v>
      </c>
      <c r="F193" t="inlineStr">
        <is>
          <t>VÄSTMANLANDS LÄN</t>
        </is>
      </c>
      <c r="G193" t="inlineStr">
        <is>
          <t>VÄSTERÅS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46266</v>
      </c>
      <c r="F194" t="inlineStr">
        <is>
          <t>VÄSTMANLANDS LÄN</t>
        </is>
      </c>
      <c r="G194" t="inlineStr">
        <is>
          <t>VÄSTERÅS</t>
        </is>
      </c>
      <c r="I194" t="n">
        <v>20.3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46266</v>
      </c>
      <c r="F195" t="inlineStr">
        <is>
          <t>VÄSTMANLANDS LÄN</t>
        </is>
      </c>
      <c r="G195" t="inlineStr">
        <is>
          <t>VÄSTERÅS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46266</v>
      </c>
      <c r="F196" t="inlineStr">
        <is>
          <t>VÄSTMANLANDS LÄN</t>
        </is>
      </c>
      <c r="G196" t="inlineStr">
        <is>
          <t>VÄSTERÅS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46083</v>
      </c>
      <c r="E197" s="1" t="n">
        <v>46266</v>
      </c>
      <c r="F197" t="inlineStr">
        <is>
          <t>VÄSTMANLANDS LÄN</t>
        </is>
      </c>
      <c r="G197" t="inlineStr">
        <is>
          <t>VÄSTERÅS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63851-2021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44509</v>
      </c>
      <c r="E198" s="1" t="n">
        <v>46266</v>
      </c>
      <c r="F198" t="inlineStr">
        <is>
          <t>VÄSTMANLANDS LÄN</t>
        </is>
      </c>
      <c r="G198" t="inlineStr">
        <is>
          <t>VÄSTERÅS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46266</v>
      </c>
      <c r="F199" t="inlineStr">
        <is>
          <t>VÄSTMANLANDS LÄN</t>
        </is>
      </c>
      <c r="G199" t="inlineStr">
        <is>
          <t>VÄSTERÅS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46266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45042</v>
      </c>
      <c r="E201" s="1" t="n">
        <v>46266</v>
      </c>
      <c r="F201" t="inlineStr">
        <is>
          <t>VÄSTMANLANDS LÄN</t>
        </is>
      </c>
      <c r="G201" t="inlineStr">
        <is>
          <t>VÄSTERÅS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46266</v>
      </c>
      <c r="F202" t="inlineStr">
        <is>
          <t>VÄSTMANLANDS LÄN</t>
        </is>
      </c>
      <c r="G202" t="inlineStr">
        <is>
          <t>VÄSTERÅS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44717</v>
      </c>
      <c r="E203" s="1" t="n">
        <v>46266</v>
      </c>
      <c r="F203" t="inlineStr">
        <is>
          <t>VÄSTMANLANDS LÄN</t>
        </is>
      </c>
      <c r="G203" t="inlineStr">
        <is>
          <t>VÄSTERÅS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46266</v>
      </c>
      <c r="F204" t="inlineStr">
        <is>
          <t>VÄSTMANLANDS LÄN</t>
        </is>
      </c>
      <c r="G204" t="inlineStr">
        <is>
          <t>VÄSTERÅS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46112</v>
      </c>
      <c r="E205" s="1" t="n">
        <v>46266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46266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46266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46112</v>
      </c>
      <c r="E208" s="1" t="n">
        <v>46266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46266</v>
      </c>
      <c r="F209" t="inlineStr">
        <is>
          <t>VÄSTMANLANDS LÄN</t>
        </is>
      </c>
      <c r="G209" t="inlineStr">
        <is>
          <t>VÄSTERÅS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46266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46120</v>
      </c>
      <c r="E211" s="1" t="n">
        <v>46266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Allmännings- och besparingsskogar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46266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46266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Kommuner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46266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46266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46266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46266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46266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46266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46266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Kommuner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46266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46266</v>
      </c>
      <c r="F222" t="inlineStr">
        <is>
          <t>VÄSTMANLANDS LÄN</t>
        </is>
      </c>
      <c r="G222" t="inlineStr">
        <is>
          <t>VÄSTERÅS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46266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46266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46266</v>
      </c>
      <c r="F225" t="inlineStr">
        <is>
          <t>VÄSTMANLANDS LÄN</t>
        </is>
      </c>
      <c r="G225" t="inlineStr">
        <is>
          <t>VÄSTERÅS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46266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46266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46266</v>
      </c>
      <c r="F228" t="inlineStr">
        <is>
          <t>VÄSTMANLANDS LÄN</t>
        </is>
      </c>
      <c r="G228" t="inlineStr">
        <is>
          <t>VÄSTERÅS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45019</v>
      </c>
      <c r="E229" s="1" t="n">
        <v>46266</v>
      </c>
      <c r="F229" t="inlineStr">
        <is>
          <t>VÄSTMANLANDS LÄN</t>
        </is>
      </c>
      <c r="G229" t="inlineStr">
        <is>
          <t>VÄSTERÅS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18482-2023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45042</v>
      </c>
      <c r="E230" s="1" t="n">
        <v>46266</v>
      </c>
      <c r="F230" t="inlineStr">
        <is>
          <t>VÄSTMANLANDS LÄN</t>
        </is>
      </c>
      <c r="G230" t="inlineStr">
        <is>
          <t>VÄSTERÅS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46266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46266</v>
      </c>
      <c r="F232" t="inlineStr">
        <is>
          <t>VÄSTMANLANDS LÄN</t>
        </is>
      </c>
      <c r="G232" t="inlineStr">
        <is>
          <t>VÄSTERÅS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46266</v>
      </c>
      <c r="F233" t="inlineStr">
        <is>
          <t>VÄSTMANLANDS LÄN</t>
        </is>
      </c>
      <c r="G233" t="inlineStr">
        <is>
          <t>VÄSTERÅS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45083</v>
      </c>
      <c r="E234" s="1" t="n">
        <v>46266</v>
      </c>
      <c r="F234" t="inlineStr">
        <is>
          <t>VÄSTMANLANDS LÄN</t>
        </is>
      </c>
      <c r="G234" t="inlineStr">
        <is>
          <t>VÄSTERÅS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46266</v>
      </c>
      <c r="F235" t="inlineStr">
        <is>
          <t>VÄSTMANLANDS LÄN</t>
        </is>
      </c>
      <c r="G235" t="inlineStr">
        <is>
          <t>VÄSTERÅS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46266</v>
      </c>
      <c r="F236" t="inlineStr">
        <is>
          <t>VÄSTMANLANDS LÄN</t>
        </is>
      </c>
      <c r="G236" t="inlineStr">
        <is>
          <t>VÄSTERÅS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46266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46266</v>
      </c>
      <c r="F238" t="inlineStr">
        <is>
          <t>VÄSTMANLANDS LÄN</t>
        </is>
      </c>
      <c r="G238" t="inlineStr">
        <is>
          <t>VÄSTERÅS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46266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67352-2021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44523</v>
      </c>
      <c r="E240" s="1" t="n">
        <v>46266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Övriga Aktiebolag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46266</v>
      </c>
      <c r="F241" t="inlineStr">
        <is>
          <t>VÄSTMANLANDS LÄN</t>
        </is>
      </c>
      <c r="G241" t="inlineStr">
        <is>
          <t>VÄSTERÅS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46266</v>
      </c>
      <c r="F242" t="inlineStr">
        <is>
          <t>VÄSTMANLANDS LÄN</t>
        </is>
      </c>
      <c r="G242" t="inlineStr">
        <is>
          <t>VÄSTERÅS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46266</v>
      </c>
      <c r="F243" t="inlineStr">
        <is>
          <t>VÄSTMANLANDS LÄN</t>
        </is>
      </c>
      <c r="G243" t="inlineStr">
        <is>
          <t>VÄSTERÅS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46266</v>
      </c>
      <c r="F244" t="inlineStr">
        <is>
          <t>VÄSTMANLANDS LÄN</t>
        </is>
      </c>
      <c r="G244" t="inlineStr">
        <is>
          <t>VÄSTERÅS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46266</v>
      </c>
      <c r="F245" t="inlineStr">
        <is>
          <t>VÄSTMANLANDS LÄN</t>
        </is>
      </c>
      <c r="G245" t="inlineStr">
        <is>
          <t>VÄSTERÅS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46266</v>
      </c>
      <c r="F246" t="inlineStr">
        <is>
          <t>VÄSTMANLANDS LÄN</t>
        </is>
      </c>
      <c r="G246" t="inlineStr">
        <is>
          <t>VÄSTERÅS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18467-2023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45042</v>
      </c>
      <c r="E247" s="1" t="n">
        <v>46266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45457</v>
      </c>
      <c r="E248" s="1" t="n">
        <v>46266</v>
      </c>
      <c r="F248" t="inlineStr">
        <is>
          <t>VÄSTMANLANDS LÄN</t>
        </is>
      </c>
      <c r="G248" t="inlineStr">
        <is>
          <t>VÄSTERÅS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46266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Kyrkan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46154</v>
      </c>
      <c r="E250" s="1" t="n">
        <v>46266</v>
      </c>
      <c r="F250" t="inlineStr">
        <is>
          <t>VÄSTMANLANDS LÄN</t>
        </is>
      </c>
      <c r="G250" t="inlineStr">
        <is>
          <t>VÄSTERÅS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46266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46154</v>
      </c>
      <c r="E252" s="1" t="n">
        <v>46266</v>
      </c>
      <c r="F252" t="inlineStr">
        <is>
          <t>VÄSTMANLANDS LÄN</t>
        </is>
      </c>
      <c r="G252" t="inlineStr">
        <is>
          <t>VÄSTERÅS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46154</v>
      </c>
      <c r="E253" s="1" t="n">
        <v>46266</v>
      </c>
      <c r="F253" t="inlineStr">
        <is>
          <t>VÄSTMANLANDS LÄN</t>
        </is>
      </c>
      <c r="G253" t="inlineStr">
        <is>
          <t>VÄSTERÅS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46154</v>
      </c>
      <c r="E254" s="1" t="n">
        <v>46266</v>
      </c>
      <c r="F254" t="inlineStr">
        <is>
          <t>VÄSTMANLANDS LÄN</t>
        </is>
      </c>
      <c r="G254" t="inlineStr">
        <is>
          <t>VÄSTERÅS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67350-2021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44523</v>
      </c>
      <c r="E255" s="1" t="n">
        <v>46266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Övriga Aktiebolag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44623</v>
      </c>
      <c r="E256" s="1" t="n">
        <v>46266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46266</v>
      </c>
      <c r="F257" t="inlineStr">
        <is>
          <t>VÄSTMANLANDS LÄN</t>
        </is>
      </c>
      <c r="G257" t="inlineStr">
        <is>
          <t>VÄSTERÅS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45033</v>
      </c>
      <c r="E258" s="1" t="n">
        <v>46266</v>
      </c>
      <c r="F258" t="inlineStr">
        <is>
          <t>VÄSTMANLANDS LÄN</t>
        </is>
      </c>
      <c r="G258" t="inlineStr">
        <is>
          <t>VÄSTERÅS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73994-2021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44556</v>
      </c>
      <c r="E259" s="1" t="n">
        <v>46266</v>
      </c>
      <c r="F259" t="inlineStr">
        <is>
          <t>VÄSTMANLANDS LÄN</t>
        </is>
      </c>
      <c r="G259" t="inlineStr">
        <is>
          <t>VÄSTERÅS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46266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61249-2021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46266</v>
      </c>
      <c r="F261" t="inlineStr">
        <is>
          <t>VÄSTMANLANDS LÄN</t>
        </is>
      </c>
      <c r="G261" t="inlineStr">
        <is>
          <t>VÄSTERÅS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46266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46266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44792</v>
      </c>
      <c r="E264" s="1" t="n">
        <v>46266</v>
      </c>
      <c r="F264" t="inlineStr">
        <is>
          <t>VÄSTMANLANDS LÄN</t>
        </is>
      </c>
      <c r="G264" t="inlineStr">
        <is>
          <t>VÄSTERÅS</t>
        </is>
      </c>
      <c r="I264" t="n">
        <v>9.6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46266</v>
      </c>
      <c r="F265" t="inlineStr">
        <is>
          <t>VÄSTMANLANDS LÄN</t>
        </is>
      </c>
      <c r="G265" t="inlineStr">
        <is>
          <t>VÄSTERÅS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52569-2022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46266</v>
      </c>
      <c r="F266" t="inlineStr">
        <is>
          <t>VÄSTMANLANDS LÄN</t>
        </is>
      </c>
      <c r="G266" t="inlineStr">
        <is>
          <t>VÄSTERÅS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44708</v>
      </c>
      <c r="E267" s="1" t="n">
        <v>46266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46266</v>
      </c>
      <c r="F268" t="inlineStr">
        <is>
          <t>VÄSTMANLANDS LÄN</t>
        </is>
      </c>
      <c r="G268" t="inlineStr">
        <is>
          <t>VÄSTERÅS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46266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46169</v>
      </c>
      <c r="E270" s="1" t="n">
        <v>46266</v>
      </c>
      <c r="F270" t="inlineStr">
        <is>
          <t>VÄSTMANLANDS LÄN</t>
        </is>
      </c>
      <c r="G270" t="inlineStr">
        <is>
          <t>VÄSTERÅS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45274</v>
      </c>
      <c r="E271" s="1" t="n">
        <v>46266</v>
      </c>
      <c r="F271" t="inlineStr">
        <is>
          <t>VÄSTMANLANDS LÄN</t>
        </is>
      </c>
      <c r="G271" t="inlineStr">
        <is>
          <t>VÄSTERÅS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29746-2022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44755</v>
      </c>
      <c r="E272" s="1" t="n">
        <v>46266</v>
      </c>
      <c r="F272" t="inlineStr">
        <is>
          <t>VÄSTMANLANDS LÄN</t>
        </is>
      </c>
      <c r="G272" t="inlineStr">
        <is>
          <t>VÄSTERÅS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46266</v>
      </c>
      <c r="F273" t="inlineStr">
        <is>
          <t>VÄSTMANLANDS LÄN</t>
        </is>
      </c>
      <c r="G273" t="inlineStr">
        <is>
          <t>VÄSTERÅS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46266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46266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46266</v>
      </c>
      <c r="F276" t="inlineStr">
        <is>
          <t>VÄSTMANLANDS LÄN</t>
        </is>
      </c>
      <c r="G276" t="inlineStr">
        <is>
          <t>VÄSTERÅS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46266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46266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46266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44658</v>
      </c>
      <c r="E280" s="1" t="n">
        <v>46266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44903</v>
      </c>
      <c r="E281" s="1" t="n">
        <v>46266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46266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44978</v>
      </c>
      <c r="E283" s="1" t="n">
        <v>46266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16214-2023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45028</v>
      </c>
      <c r="E284" s="1" t="n">
        <v>46266</v>
      </c>
      <c r="F284" t="inlineStr">
        <is>
          <t>VÄSTMANLANDS LÄN</t>
        </is>
      </c>
      <c r="G284" t="inlineStr">
        <is>
          <t>VÄSTERÅS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46266</v>
      </c>
      <c r="F285" t="inlineStr">
        <is>
          <t>VÄSTMANLANDS LÄN</t>
        </is>
      </c>
      <c r="G285" t="inlineStr">
        <is>
          <t>VÄSTERÅS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46266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Allmännings- och besparingsskogar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46266</v>
      </c>
      <c r="F287" t="inlineStr">
        <is>
          <t>VÄSTMANLANDS LÄN</t>
        </is>
      </c>
      <c r="G287" t="inlineStr">
        <is>
          <t>VÄSTERÅS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46266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46266</v>
      </c>
      <c r="F289" t="inlineStr">
        <is>
          <t>VÄSTMANLANDS LÄN</t>
        </is>
      </c>
      <c r="G289" t="inlineStr">
        <is>
          <t>VÄSTERÅS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46266</v>
      </c>
      <c r="F290" t="inlineStr">
        <is>
          <t>VÄSTMANLANDS LÄN</t>
        </is>
      </c>
      <c r="G290" t="inlineStr">
        <is>
          <t>VÄSTERÅS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46266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46266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46266</v>
      </c>
      <c r="F293" t="inlineStr">
        <is>
          <t>VÄSTMANLANDS LÄN</t>
        </is>
      </c>
      <c r="G293" t="inlineStr">
        <is>
          <t>VÄSTERÅS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46266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46266</v>
      </c>
      <c r="F295" t="inlineStr">
        <is>
          <t>VÄSTMANLANDS LÄN</t>
        </is>
      </c>
      <c r="G295" t="inlineStr">
        <is>
          <t>VÄSTERÅS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46266</v>
      </c>
      <c r="F296" t="inlineStr">
        <is>
          <t>VÄSTMANLANDS LÄN</t>
        </is>
      </c>
      <c r="G296" t="inlineStr">
        <is>
          <t>VÄSTERÅS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17808-2023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45037</v>
      </c>
      <c r="E297" s="1" t="n">
        <v>46266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46190</v>
      </c>
      <c r="E298" s="1" t="n">
        <v>46266</v>
      </c>
      <c r="F298" t="inlineStr">
        <is>
          <t>VÄSTMANLANDS LÄN</t>
        </is>
      </c>
      <c r="G298" t="inlineStr">
        <is>
          <t>VÄSTERÅS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46266</v>
      </c>
      <c r="F299" t="inlineStr">
        <is>
          <t>VÄSTMANLANDS LÄN</t>
        </is>
      </c>
      <c r="G299" t="inlineStr">
        <is>
          <t>VÄSTERÅS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73597-2021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44552</v>
      </c>
      <c r="E300" s="1" t="n">
        <v>46266</v>
      </c>
      <c r="F300" t="inlineStr">
        <is>
          <t>VÄSTMANLANDS LÄN</t>
        </is>
      </c>
      <c r="G300" t="inlineStr">
        <is>
          <t>VÄSTERÅS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45153</v>
      </c>
      <c r="E301" s="1" t="n">
        <v>46266</v>
      </c>
      <c r="F301" t="inlineStr">
        <is>
          <t>VÄSTMANLANDS LÄN</t>
        </is>
      </c>
      <c r="G301" t="inlineStr">
        <is>
          <t>VÄSTERÅS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46266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45448</v>
      </c>
      <c r="E303" s="1" t="n">
        <v>46266</v>
      </c>
      <c r="F303" t="inlineStr">
        <is>
          <t>VÄSTMANLANDS LÄN</t>
        </is>
      </c>
      <c r="G303" t="inlineStr">
        <is>
          <t>VÄSTERÅS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46266</v>
      </c>
      <c r="F304" t="inlineStr">
        <is>
          <t>VÄSTMANLANDS LÄN</t>
        </is>
      </c>
      <c r="G304" t="inlineStr">
        <is>
          <t>VÄSTERÅS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14926-2022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46266</v>
      </c>
      <c r="F305" t="inlineStr">
        <is>
          <t>VÄSTMANLANDS LÄN</t>
        </is>
      </c>
      <c r="G305" t="inlineStr">
        <is>
          <t>VÄSTERÅS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46266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46266</v>
      </c>
      <c r="F307" t="inlineStr">
        <is>
          <t>VÄSTMANLANDS LÄN</t>
        </is>
      </c>
      <c r="G307" t="inlineStr">
        <is>
          <t>VÄSTERÅS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46266</v>
      </c>
      <c r="F308" t="inlineStr">
        <is>
          <t>VÄSTMANLANDS LÄN</t>
        </is>
      </c>
      <c r="G308" t="inlineStr">
        <is>
          <t>VÄSTERÅS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46266</v>
      </c>
      <c r="F309" t="inlineStr">
        <is>
          <t>VÄSTMANLANDS LÄN</t>
        </is>
      </c>
      <c r="G309" t="inlineStr">
        <is>
          <t>VÄSTERÅS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46213</v>
      </c>
      <c r="E310" s="1" t="n">
        <v>46266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46266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9.800000000000001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46266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46266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46266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46266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46266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46266</v>
      </c>
      <c r="F317" t="inlineStr">
        <is>
          <t>VÄSTMANLANDS LÄN</t>
        </is>
      </c>
      <c r="G317" t="inlineStr">
        <is>
          <t>VÄSTERÅS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46217</v>
      </c>
      <c r="E318" s="1" t="n">
        <v>46266</v>
      </c>
      <c r="F318" t="inlineStr">
        <is>
          <t>VÄSTMANLANDS LÄN</t>
        </is>
      </c>
      <c r="G318" t="inlineStr">
        <is>
          <t>VÄSTERÅS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46266</v>
      </c>
      <c r="F319" t="inlineStr">
        <is>
          <t>VÄSTMANLANDS LÄN</t>
        </is>
      </c>
      <c r="G319" t="inlineStr">
        <is>
          <t>VÄSTERÅS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46265</v>
      </c>
      <c r="E320" s="1" t="n">
        <v>46266</v>
      </c>
      <c r="F320" t="inlineStr">
        <is>
          <t>VÄSTMANLANDS LÄN</t>
        </is>
      </c>
      <c r="G320" t="inlineStr">
        <is>
          <t>VÄSTERÅS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951-2020</t>
        </is>
      </c>
      <c r="B321" t="inlineStr">
        <is>
          <t>samrådsanmälan</t>
        </is>
      </c>
      <c r="C321" t="inlineStr">
        <is>
          <t>Åtgärd i nyckelbiotop</t>
        </is>
      </c>
      <c r="D321" s="1" t="n">
        <v>43948</v>
      </c>
      <c r="E321" s="1" t="n">
        <v>46266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Kommuner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3639-2022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44740</v>
      </c>
      <c r="E322" s="1" t="n">
        <v>46266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45005</v>
      </c>
      <c r="E323" s="1" t="n">
        <v>46266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46266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696-2026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46091</v>
      </c>
      <c r="E325" s="1" t="n">
        <v>46266</v>
      </c>
      <c r="F325" t="inlineStr">
        <is>
          <t>VÄSTMANLANDS LÄN</t>
        </is>
      </c>
      <c r="G325" t="inlineStr">
        <is>
          <t>VÄSTERÅS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949-2026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46113</v>
      </c>
      <c r="E326" s="1" t="n">
        <v>46266</v>
      </c>
      <c r="F326" t="inlineStr">
        <is>
          <t>VÄSTMANLANDS LÄN</t>
        </is>
      </c>
      <c r="G326" t="inlineStr">
        <is>
          <t>VÄSTERÅS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1468-2026</t>
        </is>
      </c>
      <c r="B327" t="inlineStr">
        <is>
          <t>samrådsanmälan</t>
        </is>
      </c>
      <c r="C327" t="inlineStr">
        <is>
          <t>Dikesrensning</t>
        </is>
      </c>
      <c r="D327" s="1" t="n">
        <v>46134</v>
      </c>
      <c r="E327" s="1" t="n">
        <v>46266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2026-09-01T02:07:13Z</dcterms:created>
  <dcterms:modified xmlns:dcterms="http://purl.org/dc/terms/" xmlns:xsi="http://www.w3.org/2001/XMLSchema-instance" xsi:type="dcterms:W3CDTF">2026-09-01T02:07:13Z</dcterms:modified>
</cp:coreProperties>
</file>