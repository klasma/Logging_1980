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46262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46262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46262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46262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46262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46262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46262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46262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46262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46262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46262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46262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46262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46262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46262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46262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46262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46262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46262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46262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46262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46262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46262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46262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59140-2025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46262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HYPERLINK("https://klasma.github.io/Logging_1980/artfynd/A 59140-2025 artfynd.xlsx", "A 59140-2025")</f>
        <v/>
      </c>
      <c r="X48">
        <f>HYPERLINK("https://klasma.github.io/Logging_1980/kartor/A 59140-2025 karta.png", "A 59140-2025")</f>
        <v/>
      </c>
      <c r="Y48">
        <f>HYPERLINK("https://klasma.github.io/Logging_1980/kartor_geotiff/A 59140-2025 georefererad karta.tif", "A 59140-2025")</f>
        <v/>
      </c>
      <c r="AA48">
        <f>HYPERLINK("https://klasma.github.io/Logging_1980/klagomål/A 59140-2025 FSC-klagomål.docx", "A 59140-2025")</f>
        <v/>
      </c>
      <c r="AB48">
        <f>HYPERLINK("https://klasma.github.io/Logging_1980/klagomålsmail/A 59140-2025 FSC-klagomål mail.docx", "A 59140-2025")</f>
        <v/>
      </c>
      <c r="AC48">
        <f>HYPERLINK("https://klasma.github.io/Logging_1980/tillsyn/A 59140-2025 tillsynsbegäran.docx", "A 59140-2025")</f>
        <v/>
      </c>
      <c r="AD48">
        <f>HYPERLINK("https://klasma.github.io/Logging_1980/tillsynsmail/A 59140-2025 tillsynsbegäran mail.docx", "A 59140-2025")</f>
        <v/>
      </c>
      <c r="AE48">
        <f>HYPERLINK("https://klasma.github.io/Logging_1980/fåglar/A 59140-2025 prioriterade fågelarter.docx", "A 59140-2025")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46262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46262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46262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46262</v>
      </c>
      <c r="F52" t="inlineStr">
        <is>
          <t>VÄSTMANLANDS LÄN</t>
        </is>
      </c>
      <c r="G52" t="inlineStr">
        <is>
          <t>VÄSTERÅS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5363-2025 artfynd.xlsx", "A 5363-2025")</f>
        <v/>
      </c>
      <c r="X52">
        <f>HYPERLINK("https://klasma.github.io/Logging_1980/kartor/A 5363-2025 karta.png", "A 5363-2025")</f>
        <v/>
      </c>
      <c r="Y52">
        <f>HYPERLINK("https://klasma.github.io/Logging_1980/kartor_geotiff/A 5363-2025 georefererad karta.tif", "A 5363-2025")</f>
        <v/>
      </c>
      <c r="AA52">
        <f>HYPERLINK("https://klasma.github.io/Logging_1980/klagomål/A 5363-2025 FSC-klagomål.docx", "A 5363-2025")</f>
        <v/>
      </c>
      <c r="AB52">
        <f>HYPERLINK("https://klasma.github.io/Logging_1980/klagomålsmail/A 5363-2025 FSC-klagomål mail.docx", "A 5363-2025")</f>
        <v/>
      </c>
      <c r="AC52">
        <f>HYPERLINK("https://klasma.github.io/Logging_1980/tillsyn/A 5363-2025 tillsynsbegäran.docx", "A 5363-2025")</f>
        <v/>
      </c>
      <c r="AD52">
        <f>HYPERLINK("https://klasma.github.io/Logging_1980/tillsynsmail/A 5363-2025 tillsynsbegäran mail.docx", "A 5363-2025")</f>
        <v/>
      </c>
    </row>
    <row r="53" ht="15" customHeight="1">
      <c r="A53" t="inlineStr">
        <is>
          <t>A 61059-2024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46262</v>
      </c>
      <c r="F53" t="inlineStr">
        <is>
          <t>VÄSTMANLANDS LÄN</t>
        </is>
      </c>
      <c r="G53" t="inlineStr">
        <is>
          <t>VÄSTERÅS</t>
        </is>
      </c>
      <c r="I53" t="n">
        <v>4.7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Bandad skulderbock</t>
        </is>
      </c>
      <c r="W53">
        <f>HYPERLINK("https://klasma.github.io/Logging_1980/artfynd/A 61059-2024 artfynd.xlsx", "A 61059-2024")</f>
        <v/>
      </c>
      <c r="X53">
        <f>HYPERLINK("https://klasma.github.io/Logging_1980/kartor/A 61059-2024 karta.png", "A 61059-2024")</f>
        <v/>
      </c>
      <c r="Y53">
        <f>HYPERLINK("https://klasma.github.io/Logging_1980/kartor_geotiff/A 61059-2024 georefererad karta.tif", "A 61059-2024")</f>
        <v/>
      </c>
      <c r="AA53">
        <f>HYPERLINK("https://klasma.github.io/Logging_1980/klagomål/A 61059-2024 FSC-klagomål.docx", "A 61059-2024")</f>
        <v/>
      </c>
      <c r="AB53">
        <f>HYPERLINK("https://klasma.github.io/Logging_1980/klagomålsmail/A 61059-2024 FSC-klagomål mail.docx", "A 61059-2024")</f>
        <v/>
      </c>
      <c r="AC53">
        <f>HYPERLINK("https://klasma.github.io/Logging_1980/tillsyn/A 61059-2024 tillsynsbegäran.docx", "A 61059-2024")</f>
        <v/>
      </c>
      <c r="AD53">
        <f>HYPERLINK("https://klasma.github.io/Logging_1980/tillsynsmail/A 61059-2024 tillsynsbegäran mail.docx", "A 61059-2024")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46262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46262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46262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46262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46262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46262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46262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46262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46262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46262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46262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46262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46262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46262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46262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46262</v>
      </c>
      <c r="F69" t="inlineStr">
        <is>
          <t>VÄSTMANLANDS LÄN</t>
        </is>
      </c>
      <c r="G69" t="inlineStr">
        <is>
          <t>VÄSTERÅS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46262</v>
      </c>
      <c r="F70" t="inlineStr">
        <is>
          <t>VÄSTMANLANDS LÄN</t>
        </is>
      </c>
      <c r="G70" t="inlineStr">
        <is>
          <t>VÄSTERÅS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65678-2021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46262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46262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46262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46262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46262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46262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46262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46262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46262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46262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46262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46262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46262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46262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46262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46262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46262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46262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46262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46262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46262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46262</v>
      </c>
      <c r="F94" t="inlineStr">
        <is>
          <t>VÄSTMANLANDS LÄN</t>
        </is>
      </c>
      <c r="G94" t="inlineStr">
        <is>
          <t>VÄSTERÅS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45232</v>
      </c>
      <c r="E95" s="1" t="n">
        <v>46262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29.4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46262</v>
      </c>
      <c r="F96" t="inlineStr">
        <is>
          <t>VÄSTMANLANDS LÄN</t>
        </is>
      </c>
      <c r="G96" t="inlineStr">
        <is>
          <t>VÄSTERÅS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55676-2023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45232</v>
      </c>
      <c r="E97" s="1" t="n">
        <v>46262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37.9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73601-2021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46262</v>
      </c>
      <c r="F98" t="inlineStr">
        <is>
          <t>VÄSTMANLANDS LÄN</t>
        </is>
      </c>
      <c r="G98" t="inlineStr">
        <is>
          <t>VÄSTERÅS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46262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46262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46262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46262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46262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46262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46262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46262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statliga verk och myndigheter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46262</v>
      </c>
      <c r="F107" t="inlineStr">
        <is>
          <t>VÄSTMANLANDS LÄN</t>
        </is>
      </c>
      <c r="G107" t="inlineStr">
        <is>
          <t>VÄSTERÅS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46262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46262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46262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45506</v>
      </c>
      <c r="E111" s="1" t="n">
        <v>46262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Kommuner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46262</v>
      </c>
      <c r="F112" t="inlineStr">
        <is>
          <t>VÄSTMANLANDS LÄN</t>
        </is>
      </c>
      <c r="G112" t="inlineStr">
        <is>
          <t>VÄSTERÅS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45595</v>
      </c>
      <c r="E113" s="1" t="n">
        <v>46262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Övriga Aktiebolag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46262</v>
      </c>
      <c r="F114" t="inlineStr">
        <is>
          <t>VÄSTMANLANDS LÄN</t>
        </is>
      </c>
      <c r="G114" t="inlineStr">
        <is>
          <t>VÄSTERÅS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44961</v>
      </c>
      <c r="E115" s="1" t="n">
        <v>46262</v>
      </c>
      <c r="F115" t="inlineStr">
        <is>
          <t>VÄSTMANLANDS LÄN</t>
        </is>
      </c>
      <c r="G115" t="inlineStr">
        <is>
          <t>VÄSTERÅS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44662</v>
      </c>
      <c r="E116" s="1" t="n">
        <v>46262</v>
      </c>
      <c r="F116" t="inlineStr">
        <is>
          <t>VÄSTMANLANDS LÄN</t>
        </is>
      </c>
      <c r="G116" t="inlineStr">
        <is>
          <t>VÄSTERÅS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46262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45072</v>
      </c>
      <c r="E118" s="1" t="n">
        <v>46262</v>
      </c>
      <c r="F118" t="inlineStr">
        <is>
          <t>VÄSTMANLANDS LÄN</t>
        </is>
      </c>
      <c r="G118" t="inlineStr">
        <is>
          <t>VÄSTERÅS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45705</v>
      </c>
      <c r="E119" s="1" t="n">
        <v>46262</v>
      </c>
      <c r="F119" t="inlineStr">
        <is>
          <t>VÄSTMANLANDS LÄN</t>
        </is>
      </c>
      <c r="G119" t="inlineStr">
        <is>
          <t>VÄSTERÅS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46262</v>
      </c>
      <c r="F120" t="inlineStr">
        <is>
          <t>VÄSTMANLANDS LÄN</t>
        </is>
      </c>
      <c r="G120" t="inlineStr">
        <is>
          <t>VÄSTERÅS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46262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45235</v>
      </c>
      <c r="E122" s="1" t="n">
        <v>46262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37.8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46262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46262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46262</v>
      </c>
      <c r="F125" t="inlineStr">
        <is>
          <t>VÄSTMANLANDS LÄN</t>
        </is>
      </c>
      <c r="G125" t="inlineStr">
        <is>
          <t>VÄSTERÅS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46262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46262</v>
      </c>
      <c r="F127" t="inlineStr">
        <is>
          <t>VÄSTMANLANDS LÄN</t>
        </is>
      </c>
      <c r="G127" t="inlineStr">
        <is>
          <t>VÄSTERÅS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46262</v>
      </c>
      <c r="F128" t="inlineStr">
        <is>
          <t>VÄSTMANLANDS LÄN</t>
        </is>
      </c>
      <c r="G128" t="inlineStr">
        <is>
          <t>VÄSTERÅS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46262</v>
      </c>
      <c r="F129" t="inlineStr">
        <is>
          <t>VÄSTMANLANDS LÄN</t>
        </is>
      </c>
      <c r="G129" t="inlineStr">
        <is>
          <t>VÄSTERÅS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46262</v>
      </c>
      <c r="F130" t="inlineStr">
        <is>
          <t>VÄSTMANLANDS LÄN</t>
        </is>
      </c>
      <c r="G130" t="inlineStr">
        <is>
          <t>VÄSTERÅS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45628</v>
      </c>
      <c r="E131" s="1" t="n">
        <v>46262</v>
      </c>
      <c r="F131" t="inlineStr">
        <is>
          <t>VÄSTMANLANDS LÄN</t>
        </is>
      </c>
      <c r="G131" t="inlineStr">
        <is>
          <t>VÄSTERÅS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46262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46262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46262</v>
      </c>
      <c r="F134" t="inlineStr">
        <is>
          <t>VÄSTMANLANDS LÄN</t>
        </is>
      </c>
      <c r="G134" t="inlineStr">
        <is>
          <t>VÄSTERÅS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46262</v>
      </c>
      <c r="F135" t="inlineStr">
        <is>
          <t>VÄSTMANLANDS LÄN</t>
        </is>
      </c>
      <c r="G135" t="inlineStr">
        <is>
          <t>VÄSTERÅS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46262</v>
      </c>
      <c r="F136" t="inlineStr">
        <is>
          <t>VÄSTMANLANDS LÄN</t>
        </is>
      </c>
      <c r="G136" t="inlineStr">
        <is>
          <t>VÄSTERÅS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46262</v>
      </c>
      <c r="F137" t="inlineStr">
        <is>
          <t>VÄSTMANLANDS LÄN</t>
        </is>
      </c>
      <c r="G137" t="inlineStr">
        <is>
          <t>VÄSTERÅS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46262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46262</v>
      </c>
      <c r="F139" t="inlineStr">
        <is>
          <t>VÄSTMANLANDS LÄN</t>
        </is>
      </c>
      <c r="G139" t="inlineStr">
        <is>
          <t>VÄSTERÅS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46262</v>
      </c>
      <c r="F140" t="inlineStr">
        <is>
          <t>VÄSTMANLANDS LÄN</t>
        </is>
      </c>
      <c r="G140" t="inlineStr">
        <is>
          <t>VÄSTERÅS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46262</v>
      </c>
      <c r="F141" t="inlineStr">
        <is>
          <t>VÄSTMANLANDS LÄN</t>
        </is>
      </c>
      <c r="G141" t="inlineStr">
        <is>
          <t>VÄSTERÅS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46262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Övriga statliga verk och myndigheter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45516</v>
      </c>
      <c r="E143" s="1" t="n">
        <v>46262</v>
      </c>
      <c r="F143" t="inlineStr">
        <is>
          <t>VÄSTMANLANDS LÄN</t>
        </is>
      </c>
      <c r="G143" t="inlineStr">
        <is>
          <t>VÄSTERÅS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11137-2023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44987</v>
      </c>
      <c r="E144" s="1" t="n">
        <v>46262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46262</v>
      </c>
      <c r="F145" t="inlineStr">
        <is>
          <t>VÄSTMANLANDS LÄN</t>
        </is>
      </c>
      <c r="G145" t="inlineStr">
        <is>
          <t>VÄSTERÅS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46262</v>
      </c>
      <c r="F146" t="inlineStr">
        <is>
          <t>VÄSTMANLANDS LÄN</t>
        </is>
      </c>
      <c r="G146" t="inlineStr">
        <is>
          <t>VÄSTERÅS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46262</v>
      </c>
      <c r="F147" t="inlineStr">
        <is>
          <t>VÄSTMANLANDS LÄN</t>
        </is>
      </c>
      <c r="G147" t="inlineStr">
        <is>
          <t>VÄSTERÅS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46262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46262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46262</v>
      </c>
      <c r="F150" t="inlineStr">
        <is>
          <t>VÄSTMANLANDS LÄN</t>
        </is>
      </c>
      <c r="G150" t="inlineStr">
        <is>
          <t>VÄSTERÅS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45456</v>
      </c>
      <c r="E151" s="1" t="n">
        <v>46262</v>
      </c>
      <c r="F151" t="inlineStr">
        <is>
          <t>VÄSTMANLANDS LÄN</t>
        </is>
      </c>
      <c r="G151" t="inlineStr">
        <is>
          <t>VÄSTERÅS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11950-2022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44635</v>
      </c>
      <c r="E152" s="1" t="n">
        <v>46262</v>
      </c>
      <c r="F152" t="inlineStr">
        <is>
          <t>VÄSTMANLANDS LÄN</t>
        </is>
      </c>
      <c r="G152" t="inlineStr">
        <is>
          <t>VÄSTERÅS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46262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46262</v>
      </c>
      <c r="F154" t="inlineStr">
        <is>
          <t>VÄSTMANLANDS LÄN</t>
        </is>
      </c>
      <c r="G154" t="inlineStr">
        <is>
          <t>VÄSTERÅS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46262</v>
      </c>
      <c r="F155" t="inlineStr">
        <is>
          <t>VÄSTMANLANDS LÄN</t>
        </is>
      </c>
      <c r="G155" t="inlineStr">
        <is>
          <t>VÄSTERÅS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46262</v>
      </c>
      <c r="F156" t="inlineStr">
        <is>
          <t>VÄSTMANLANDS LÄN</t>
        </is>
      </c>
      <c r="G156" t="inlineStr">
        <is>
          <t>VÄSTERÅS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45125</v>
      </c>
      <c r="E157" s="1" t="n">
        <v>46262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46262</v>
      </c>
      <c r="F158" t="inlineStr">
        <is>
          <t>VÄSTMANLANDS LÄN</t>
        </is>
      </c>
      <c r="G158" t="inlineStr">
        <is>
          <t>VÄSTERÅS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46262</v>
      </c>
      <c r="F159" t="inlineStr">
        <is>
          <t>VÄSTMANLANDS LÄN</t>
        </is>
      </c>
      <c r="G159" t="inlineStr">
        <is>
          <t>VÄSTERÅS</t>
        </is>
      </c>
      <c r="I159" t="n">
        <v>13.9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39127-2022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44816</v>
      </c>
      <c r="E160" s="1" t="n">
        <v>46262</v>
      </c>
      <c r="F160" t="inlineStr">
        <is>
          <t>VÄSTMANLANDS LÄN</t>
        </is>
      </c>
      <c r="G160" t="inlineStr">
        <is>
          <t>VÄSTERÅS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46262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46262</v>
      </c>
      <c r="F162" t="inlineStr">
        <is>
          <t>VÄSTMANLANDS LÄN</t>
        </is>
      </c>
      <c r="G162" t="inlineStr">
        <is>
          <t>VÄSTERÅS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46262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46262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Allmännings- och besparingsskogar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46262</v>
      </c>
      <c r="F165" t="inlineStr">
        <is>
          <t>VÄSTMANLANDS LÄN</t>
        </is>
      </c>
      <c r="G165" t="inlineStr">
        <is>
          <t>VÄSTERÅS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46262</v>
      </c>
      <c r="F166" t="inlineStr">
        <is>
          <t>VÄSTMANLANDS LÄN</t>
        </is>
      </c>
      <c r="G166" t="inlineStr">
        <is>
          <t>VÄSTERÅS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44635</v>
      </c>
      <c r="E167" s="1" t="n">
        <v>46262</v>
      </c>
      <c r="F167" t="inlineStr">
        <is>
          <t>VÄSTMANLANDS LÄN</t>
        </is>
      </c>
      <c r="G167" t="inlineStr">
        <is>
          <t>VÄSTERÅS</t>
        </is>
      </c>
      <c r="I167" t="n">
        <v>12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46262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46262</v>
      </c>
      <c r="F169" t="inlineStr">
        <is>
          <t>VÄSTMANLANDS LÄN</t>
        </is>
      </c>
      <c r="G169" t="inlineStr">
        <is>
          <t>VÄSTERÅS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46262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46262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45027</v>
      </c>
      <c r="E172" s="1" t="n">
        <v>46262</v>
      </c>
      <c r="F172" t="inlineStr">
        <is>
          <t>VÄSTMANLANDS LÄN</t>
        </is>
      </c>
      <c r="G172" t="inlineStr">
        <is>
          <t>VÄSTERÅS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46262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46262</v>
      </c>
      <c r="F174" t="inlineStr">
        <is>
          <t>VÄSTMANLANDS LÄN</t>
        </is>
      </c>
      <c r="G174" t="inlineStr">
        <is>
          <t>VÄSTERÅS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7797-2026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46062</v>
      </c>
      <c r="E175" s="1" t="n">
        <v>46262</v>
      </c>
      <c r="F175" t="inlineStr">
        <is>
          <t>VÄSTMANLANDS LÄN</t>
        </is>
      </c>
      <c r="G175" t="inlineStr">
        <is>
          <t>VÄSTERÅS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52015-2024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45607</v>
      </c>
      <c r="E176" s="1" t="n">
        <v>46262</v>
      </c>
      <c r="F176" t="inlineStr">
        <is>
          <t>VÄSTMANLANDS LÄN</t>
        </is>
      </c>
      <c r="G176" t="inlineStr">
        <is>
          <t>VÄSTERÅS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44999</v>
      </c>
      <c r="E177" s="1" t="n">
        <v>46262</v>
      </c>
      <c r="F177" t="inlineStr">
        <is>
          <t>VÄSTMANLANDS LÄN</t>
        </is>
      </c>
      <c r="G177" t="inlineStr">
        <is>
          <t>VÄSTERÅS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52027-2025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45952</v>
      </c>
      <c r="E178" s="1" t="n">
        <v>46262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Övriga statliga verk och myndigheter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46262</v>
      </c>
      <c r="F179" t="inlineStr">
        <is>
          <t>VÄSTMANLANDS LÄN</t>
        </is>
      </c>
      <c r="G179" t="inlineStr">
        <is>
          <t>VÄSTERÅS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46262</v>
      </c>
      <c r="F180" t="inlineStr">
        <is>
          <t>VÄSTMANLANDS LÄN</t>
        </is>
      </c>
      <c r="G180" t="inlineStr">
        <is>
          <t>VÄSTERÅS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46262</v>
      </c>
      <c r="F181" t="inlineStr">
        <is>
          <t>VÄSTMANLANDS LÄN</t>
        </is>
      </c>
      <c r="G181" t="inlineStr">
        <is>
          <t>VÄSTERÅS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46262</v>
      </c>
      <c r="F182" t="inlineStr">
        <is>
          <t>VÄSTMANLANDS LÄN</t>
        </is>
      </c>
      <c r="G182" t="inlineStr">
        <is>
          <t>VÄSTERÅS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44582</v>
      </c>
      <c r="E183" s="1" t="n">
        <v>46262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Övriga Aktiebolag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46262</v>
      </c>
      <c r="F184" t="inlineStr">
        <is>
          <t>VÄSTMANLANDS LÄN</t>
        </is>
      </c>
      <c r="G184" t="inlineStr">
        <is>
          <t>VÄSTERÅS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46262</v>
      </c>
      <c r="F185" t="inlineStr">
        <is>
          <t>VÄSTMANLANDS LÄN</t>
        </is>
      </c>
      <c r="G185" t="inlineStr">
        <is>
          <t>VÄSTERÅS</t>
        </is>
      </c>
      <c r="I185" t="n">
        <v>20.3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46262</v>
      </c>
      <c r="F186" t="inlineStr">
        <is>
          <t>VÄSTMANLANDS LÄN</t>
        </is>
      </c>
      <c r="G186" t="inlineStr">
        <is>
          <t>VÄSTERÅS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46262</v>
      </c>
      <c r="F187" t="inlineStr">
        <is>
          <t>VÄSTMANLANDS LÄN</t>
        </is>
      </c>
      <c r="G187" t="inlineStr">
        <is>
          <t>VÄSTERÅS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46262</v>
      </c>
      <c r="F188" t="inlineStr">
        <is>
          <t>VÄSTMANLANDS LÄN</t>
        </is>
      </c>
      <c r="G188" t="inlineStr">
        <is>
          <t>VÄSTERÅS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46262</v>
      </c>
      <c r="F189" t="inlineStr">
        <is>
          <t>VÄSTMANLANDS LÄN</t>
        </is>
      </c>
      <c r="G189" t="inlineStr">
        <is>
          <t>VÄSTERÅS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46262</v>
      </c>
      <c r="F190" t="inlineStr">
        <is>
          <t>VÄSTMANLANDS LÄN</t>
        </is>
      </c>
      <c r="G190" t="inlineStr">
        <is>
          <t>VÄSTERÅS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45414</v>
      </c>
      <c r="E191" s="1" t="n">
        <v>46262</v>
      </c>
      <c r="F191" t="inlineStr">
        <is>
          <t>VÄSTMANLANDS LÄN</t>
        </is>
      </c>
      <c r="G191" t="inlineStr">
        <is>
          <t>VÄSTERÅS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18465-2023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45042</v>
      </c>
      <c r="E192" s="1" t="n">
        <v>46262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64202-2023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46262</v>
      </c>
      <c r="F193" t="inlineStr">
        <is>
          <t>VÄSTMANLANDS LÄN</t>
        </is>
      </c>
      <c r="G193" t="inlineStr">
        <is>
          <t>VÄSTERÅS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46262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46262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Kyrkan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46262</v>
      </c>
      <c r="F196" t="inlineStr">
        <is>
          <t>VÄSTMANLANDS LÄN</t>
        </is>
      </c>
      <c r="G196" t="inlineStr">
        <is>
          <t>VÄSTERÅS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46262</v>
      </c>
      <c r="F197" t="inlineStr">
        <is>
          <t>VÄSTMANLANDS LÄN</t>
        </is>
      </c>
      <c r="G197" t="inlineStr">
        <is>
          <t>VÄSTERÅS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46262</v>
      </c>
      <c r="F198" t="inlineStr">
        <is>
          <t>VÄSTMANLANDS LÄN</t>
        </is>
      </c>
      <c r="G198" t="inlineStr">
        <is>
          <t>VÄSTERÅS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46262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46262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46262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46262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46262</v>
      </c>
      <c r="F203" t="inlineStr">
        <is>
          <t>VÄSTMANLANDS LÄN</t>
        </is>
      </c>
      <c r="G203" t="inlineStr">
        <is>
          <t>VÄSTERÅS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46120</v>
      </c>
      <c r="E204" s="1" t="n">
        <v>46262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46262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63851-2021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44509</v>
      </c>
      <c r="E206" s="1" t="n">
        <v>46262</v>
      </c>
      <c r="F206" t="inlineStr">
        <is>
          <t>VÄSTMANLANDS LÄN</t>
        </is>
      </c>
      <c r="G206" t="inlineStr">
        <is>
          <t>VÄSTERÅS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46262</v>
      </c>
      <c r="F207" t="inlineStr">
        <is>
          <t>VÄSTMANLANDS LÄN</t>
        </is>
      </c>
      <c r="G207" t="inlineStr">
        <is>
          <t>VÄSTERÅS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46135</v>
      </c>
      <c r="E208" s="1" t="n">
        <v>46262</v>
      </c>
      <c r="F208" t="inlineStr">
        <is>
          <t>VÄSTMANLANDS LÄN</t>
        </is>
      </c>
      <c r="G208" t="inlineStr">
        <is>
          <t>VÄSTERÅS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46262</v>
      </c>
      <c r="F209" t="inlineStr">
        <is>
          <t>VÄSTMANLANDS LÄN</t>
        </is>
      </c>
      <c r="G209" t="inlineStr">
        <is>
          <t>VÄSTERÅS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18457-2023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45042</v>
      </c>
      <c r="E210" s="1" t="n">
        <v>46262</v>
      </c>
      <c r="F210" t="inlineStr">
        <is>
          <t>VÄSTMANLANDS LÄN</t>
        </is>
      </c>
      <c r="G210" t="inlineStr">
        <is>
          <t>VÄSTERÅS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22978-2022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44717</v>
      </c>
      <c r="E211" s="1" t="n">
        <v>46262</v>
      </c>
      <c r="F211" t="inlineStr">
        <is>
          <t>VÄSTMANLANDS LÄN</t>
        </is>
      </c>
      <c r="G211" t="inlineStr">
        <is>
          <t>VÄSTERÅS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45219</v>
      </c>
      <c r="E212" s="1" t="n">
        <v>46262</v>
      </c>
      <c r="F212" t="inlineStr">
        <is>
          <t>VÄSTMANLANDS LÄN</t>
        </is>
      </c>
      <c r="G212" t="inlineStr">
        <is>
          <t>VÄSTERÅS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46262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44680</v>
      </c>
      <c r="E214" s="1" t="n">
        <v>46262</v>
      </c>
      <c r="F214" t="inlineStr">
        <is>
          <t>VÄSTMANLANDS LÄN</t>
        </is>
      </c>
      <c r="G214" t="inlineStr">
        <is>
          <t>VÄSTERÅS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46262</v>
      </c>
      <c r="F215" t="inlineStr">
        <is>
          <t>VÄSTMANLANDS LÄN</t>
        </is>
      </c>
      <c r="G215" t="inlineStr">
        <is>
          <t>VÄSTERÅS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46262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46262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46262</v>
      </c>
      <c r="F218" t="inlineStr">
        <is>
          <t>VÄSTMANLANDS LÄN</t>
        </is>
      </c>
      <c r="G218" t="inlineStr">
        <is>
          <t>VÄSTERÅS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46262</v>
      </c>
      <c r="F219" t="inlineStr">
        <is>
          <t>VÄSTMANLANDS LÄN</t>
        </is>
      </c>
      <c r="G219" t="inlineStr">
        <is>
          <t>VÄSTERÅS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46262</v>
      </c>
      <c r="F220" t="inlineStr">
        <is>
          <t>VÄSTMANLANDS LÄN</t>
        </is>
      </c>
      <c r="G220" t="inlineStr">
        <is>
          <t>VÄSTERÅS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44899</v>
      </c>
      <c r="E221" s="1" t="n">
        <v>46262</v>
      </c>
      <c r="F221" t="inlineStr">
        <is>
          <t>VÄSTMANLANDS LÄN</t>
        </is>
      </c>
      <c r="G221" t="inlineStr">
        <is>
          <t>VÄSTERÅS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46262</v>
      </c>
      <c r="F222" t="inlineStr">
        <is>
          <t>VÄSTMANLANDS LÄN</t>
        </is>
      </c>
      <c r="G222" t="inlineStr">
        <is>
          <t>VÄSTERÅS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46262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12.9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46262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44840</v>
      </c>
      <c r="E225" s="1" t="n">
        <v>46262</v>
      </c>
      <c r="F225" t="inlineStr">
        <is>
          <t>VÄSTMANLANDS LÄN</t>
        </is>
      </c>
      <c r="G225" t="inlineStr">
        <is>
          <t>VÄSTERÅS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44574</v>
      </c>
      <c r="E226" s="1" t="n">
        <v>46262</v>
      </c>
      <c r="F226" t="inlineStr">
        <is>
          <t>VÄSTMANLANDS LÄN</t>
        </is>
      </c>
      <c r="G226" t="inlineStr">
        <is>
          <t>VÄSTERÅS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56532-2022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46262</v>
      </c>
      <c r="F227" t="inlineStr">
        <is>
          <t>VÄSTMANLANDS LÄN</t>
        </is>
      </c>
      <c r="G227" t="inlineStr">
        <is>
          <t>VÄSTERÅS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46262</v>
      </c>
      <c r="F228" t="inlineStr">
        <is>
          <t>VÄSTMANLANDS LÄN</t>
        </is>
      </c>
      <c r="G228" t="inlineStr">
        <is>
          <t>VÄSTERÅS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46262</v>
      </c>
      <c r="F229" t="inlineStr">
        <is>
          <t>VÄSTMANLANDS LÄN</t>
        </is>
      </c>
      <c r="G229" t="inlineStr">
        <is>
          <t>VÄSTERÅS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46262</v>
      </c>
      <c r="F230" t="inlineStr">
        <is>
          <t>VÄSTMANLANDS LÄN</t>
        </is>
      </c>
      <c r="G230" t="inlineStr">
        <is>
          <t>VÄSTERÅS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46262</v>
      </c>
      <c r="F231" t="inlineStr">
        <is>
          <t>VÄSTMANLANDS LÄN</t>
        </is>
      </c>
      <c r="G231" t="inlineStr">
        <is>
          <t>VÄSTERÅS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45019</v>
      </c>
      <c r="E232" s="1" t="n">
        <v>46262</v>
      </c>
      <c r="F232" t="inlineStr">
        <is>
          <t>VÄSTMANLANDS LÄN</t>
        </is>
      </c>
      <c r="G232" t="inlineStr">
        <is>
          <t>VÄSTERÅS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18482-2023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45042</v>
      </c>
      <c r="E233" s="1" t="n">
        <v>46262</v>
      </c>
      <c r="F233" t="inlineStr">
        <is>
          <t>VÄSTMANLANDS LÄN</t>
        </is>
      </c>
      <c r="G233" t="inlineStr">
        <is>
          <t>VÄSTERÅS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46262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46262</v>
      </c>
      <c r="F235" t="inlineStr">
        <is>
          <t>VÄSTMANLANDS LÄN</t>
        </is>
      </c>
      <c r="G235" t="inlineStr">
        <is>
          <t>VÄSTERÅS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46262</v>
      </c>
      <c r="F236" t="inlineStr">
        <is>
          <t>VÄSTMANLANDS LÄN</t>
        </is>
      </c>
      <c r="G236" t="inlineStr">
        <is>
          <t>VÄSTERÅS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46262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46262</v>
      </c>
      <c r="F238" t="inlineStr">
        <is>
          <t>VÄSTMANLANDS LÄN</t>
        </is>
      </c>
      <c r="G238" t="inlineStr">
        <is>
          <t>VÄSTERÅS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46262</v>
      </c>
      <c r="F239" t="inlineStr">
        <is>
          <t>VÄSTMANLANDS LÄN</t>
        </is>
      </c>
      <c r="G239" t="inlineStr">
        <is>
          <t>VÄSTERÅS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46262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45083</v>
      </c>
      <c r="E241" s="1" t="n">
        <v>46262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45400</v>
      </c>
      <c r="E242" s="1" t="n">
        <v>46262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23347-2026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46262</v>
      </c>
      <c r="F243" t="inlineStr">
        <is>
          <t>VÄSTMANLANDS LÄN</t>
        </is>
      </c>
      <c r="G243" t="inlineStr">
        <is>
          <t>VÄSTERÅS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46262</v>
      </c>
      <c r="F244" t="inlineStr">
        <is>
          <t>VÄSTMANLANDS LÄN</t>
        </is>
      </c>
      <c r="G244" t="inlineStr">
        <is>
          <t>VÄSTERÅS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46262</v>
      </c>
      <c r="F245" t="inlineStr">
        <is>
          <t>VÄSTMANLANDS LÄN</t>
        </is>
      </c>
      <c r="G245" t="inlineStr">
        <is>
          <t>VÄSTERÅS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46262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46262</v>
      </c>
      <c r="F247" t="inlineStr">
        <is>
          <t>VÄSTMANLANDS LÄN</t>
        </is>
      </c>
      <c r="G247" t="inlineStr">
        <is>
          <t>VÄSTERÅS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67352-2021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46262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Övriga Aktiebolag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46262</v>
      </c>
      <c r="F249" t="inlineStr">
        <is>
          <t>VÄSTMANLANDS LÄN</t>
        </is>
      </c>
      <c r="G249" t="inlineStr">
        <is>
          <t>VÄSTERÅS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46262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46262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46262</v>
      </c>
      <c r="F252" t="inlineStr">
        <is>
          <t>VÄSTMANLANDS LÄN</t>
        </is>
      </c>
      <c r="G252" t="inlineStr">
        <is>
          <t>VÄSTERÅS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46262</v>
      </c>
      <c r="F253" t="inlineStr">
        <is>
          <t>VÄSTMANLANDS LÄN</t>
        </is>
      </c>
      <c r="G253" t="inlineStr">
        <is>
          <t>VÄSTERÅS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52396-2022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46262</v>
      </c>
      <c r="F254" t="inlineStr">
        <is>
          <t>VÄSTMANLANDS LÄN</t>
        </is>
      </c>
      <c r="G254" t="inlineStr">
        <is>
          <t>VÄSTERÅS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45274</v>
      </c>
      <c r="E255" s="1" t="n">
        <v>46262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46262</v>
      </c>
      <c r="F256" t="inlineStr">
        <is>
          <t>VÄSTMANLANDS LÄN</t>
        </is>
      </c>
      <c r="G256" t="inlineStr">
        <is>
          <t>VÄSTERÅS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46262</v>
      </c>
      <c r="F257" t="inlineStr">
        <is>
          <t>VÄSTMANLANDS LÄN</t>
        </is>
      </c>
      <c r="G257" t="inlineStr">
        <is>
          <t>VÄSTERÅS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46262</v>
      </c>
      <c r="F258" t="inlineStr">
        <is>
          <t>VÄSTMANLANDS LÄN</t>
        </is>
      </c>
      <c r="G258" t="inlineStr">
        <is>
          <t>VÄSTERÅS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46262</v>
      </c>
      <c r="F259" t="inlineStr">
        <is>
          <t>VÄSTMANLANDS LÄN</t>
        </is>
      </c>
      <c r="G259" t="inlineStr">
        <is>
          <t>VÄSTERÅS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46262</v>
      </c>
      <c r="F260" t="inlineStr">
        <is>
          <t>VÄSTMANLANDS LÄN</t>
        </is>
      </c>
      <c r="G260" t="inlineStr">
        <is>
          <t>VÄSTERÅS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18467-2023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45042</v>
      </c>
      <c r="E261" s="1" t="n">
        <v>46262</v>
      </c>
      <c r="F261" t="inlineStr">
        <is>
          <t>VÄSTMANLANDS LÄN</t>
        </is>
      </c>
      <c r="G261" t="inlineStr">
        <is>
          <t>VÄSTERÅS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46262</v>
      </c>
      <c r="F262" t="inlineStr">
        <is>
          <t>VÄSTMANLANDS LÄN</t>
        </is>
      </c>
      <c r="G262" t="inlineStr">
        <is>
          <t>VÄSTERÅS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46262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67350-2021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44523</v>
      </c>
      <c r="E264" s="1" t="n">
        <v>46262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44623</v>
      </c>
      <c r="E265" s="1" t="n">
        <v>46262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46262</v>
      </c>
      <c r="F266" t="inlineStr">
        <is>
          <t>VÄSTMANLANDS LÄN</t>
        </is>
      </c>
      <c r="G266" t="inlineStr">
        <is>
          <t>VÄSTERÅS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46262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46262</v>
      </c>
      <c r="F268" t="inlineStr">
        <is>
          <t>VÄSTMANLANDS LÄN</t>
        </is>
      </c>
      <c r="G268" t="inlineStr">
        <is>
          <t>VÄSTERÅS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73994-2021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44556</v>
      </c>
      <c r="E269" s="1" t="n">
        <v>46262</v>
      </c>
      <c r="F269" t="inlineStr">
        <is>
          <t>VÄSTMANLANDS LÄN</t>
        </is>
      </c>
      <c r="G269" t="inlineStr">
        <is>
          <t>VÄSTERÅS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46262</v>
      </c>
      <c r="F270" t="inlineStr">
        <is>
          <t>VÄSTMANLANDS LÄN</t>
        </is>
      </c>
      <c r="G270" t="inlineStr">
        <is>
          <t>VÄSTERÅS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44498</v>
      </c>
      <c r="E271" s="1" t="n">
        <v>46262</v>
      </c>
      <c r="F271" t="inlineStr">
        <is>
          <t>VÄSTMANLANDS LÄN</t>
        </is>
      </c>
      <c r="G271" t="inlineStr">
        <is>
          <t>VÄSTERÅS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50987-2024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46262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46262</v>
      </c>
      <c r="F273" t="inlineStr">
        <is>
          <t>VÄSTMANLANDS LÄN</t>
        </is>
      </c>
      <c r="G273" t="inlineStr">
        <is>
          <t>VÄSTERÅS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44792</v>
      </c>
      <c r="E274" s="1" t="n">
        <v>46262</v>
      </c>
      <c r="F274" t="inlineStr">
        <is>
          <t>VÄSTMANLANDS LÄN</t>
        </is>
      </c>
      <c r="G274" t="inlineStr">
        <is>
          <t>VÄSTERÅS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46262</v>
      </c>
      <c r="F275" t="inlineStr">
        <is>
          <t>VÄSTMANLANDS LÄN</t>
        </is>
      </c>
      <c r="G275" t="inlineStr">
        <is>
          <t>VÄSTERÅS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46262</v>
      </c>
      <c r="F276" t="inlineStr">
        <is>
          <t>VÄSTMANLANDS LÄN</t>
        </is>
      </c>
      <c r="G276" t="inlineStr">
        <is>
          <t>VÄSTERÅS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46262</v>
      </c>
      <c r="F277" t="inlineStr">
        <is>
          <t>VÄSTMANLANDS LÄN</t>
        </is>
      </c>
      <c r="G277" t="inlineStr">
        <is>
          <t>VÄSTERÅS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44708</v>
      </c>
      <c r="E278" s="1" t="n">
        <v>46262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44755</v>
      </c>
      <c r="E279" s="1" t="n">
        <v>46262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67353-2021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44523</v>
      </c>
      <c r="E280" s="1" t="n">
        <v>46262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Aktiebolag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46262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46262</v>
      </c>
      <c r="F282" t="inlineStr">
        <is>
          <t>VÄSTMANLANDS LÄN</t>
        </is>
      </c>
      <c r="G282" t="inlineStr">
        <is>
          <t>VÄSTERÅS</t>
        </is>
      </c>
      <c r="I282" t="n">
        <v>14.1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46262</v>
      </c>
      <c r="F283" t="inlineStr">
        <is>
          <t>VÄSTMANLANDS LÄN</t>
        </is>
      </c>
      <c r="G283" t="inlineStr">
        <is>
          <t>VÄSTERÅS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56980-2021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46262</v>
      </c>
      <c r="F284" t="inlineStr">
        <is>
          <t>VÄSTMANLANDS LÄN</t>
        </is>
      </c>
      <c r="G284" t="inlineStr">
        <is>
          <t>VÄSTERÅS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46262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46262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46262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46262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46262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8727-2023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44978</v>
      </c>
      <c r="E290" s="1" t="n">
        <v>46262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16214-2023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45028</v>
      </c>
      <c r="E291" s="1" t="n">
        <v>46262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14851-2024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46262</v>
      </c>
      <c r="F292" t="inlineStr">
        <is>
          <t>VÄSTMANLANDS LÄN</t>
        </is>
      </c>
      <c r="G292" t="inlineStr">
        <is>
          <t>VÄSTERÅS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46262</v>
      </c>
      <c r="F293" t="inlineStr">
        <is>
          <t>VÄSTMANLANDS LÄN</t>
        </is>
      </c>
      <c r="G293" t="inlineStr">
        <is>
          <t>VÄSTERÅS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45366</v>
      </c>
      <c r="E294" s="1" t="n">
        <v>46262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46262</v>
      </c>
      <c r="F295" t="inlineStr">
        <is>
          <t>VÄSTMANLANDS LÄN</t>
        </is>
      </c>
      <c r="G295" t="inlineStr">
        <is>
          <t>VÄSTERÅS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70642-2021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44537</v>
      </c>
      <c r="E296" s="1" t="n">
        <v>46262</v>
      </c>
      <c r="F296" t="inlineStr">
        <is>
          <t>VÄSTMANLANDS LÄN</t>
        </is>
      </c>
      <c r="G296" t="inlineStr">
        <is>
          <t>VÄSTERÅS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44722</v>
      </c>
      <c r="E297" s="1" t="n">
        <v>46262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64793-2023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46262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45296</v>
      </c>
      <c r="E299" s="1" t="n">
        <v>46262</v>
      </c>
      <c r="F299" t="inlineStr">
        <is>
          <t>VÄSTMANLANDS LÄN</t>
        </is>
      </c>
      <c r="G299" t="inlineStr">
        <is>
          <t>VÄSTERÅS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17808-2023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45037</v>
      </c>
      <c r="E300" s="1" t="n">
        <v>46262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46262</v>
      </c>
      <c r="F301" t="inlineStr">
        <is>
          <t>VÄSTMANLANDS LÄN</t>
        </is>
      </c>
      <c r="G301" t="inlineStr">
        <is>
          <t>VÄSTERÅS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73597-2021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46262</v>
      </c>
      <c r="F302" t="inlineStr">
        <is>
          <t>VÄSTMANLANDS LÄN</t>
        </is>
      </c>
      <c r="G302" t="inlineStr">
        <is>
          <t>VÄSTERÅS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46262</v>
      </c>
      <c r="F303" t="inlineStr">
        <is>
          <t>VÄSTMANLANDS LÄN</t>
        </is>
      </c>
      <c r="G303" t="inlineStr">
        <is>
          <t>VÄSTERÅS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46262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22700-2024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45448</v>
      </c>
      <c r="E305" s="1" t="n">
        <v>46262</v>
      </c>
      <c r="F305" t="inlineStr">
        <is>
          <t>VÄSTMANLANDS LÄN</t>
        </is>
      </c>
      <c r="G305" t="inlineStr">
        <is>
          <t>VÄSTERÅS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46262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46262</v>
      </c>
      <c r="F307" t="inlineStr">
        <is>
          <t>VÄSTMANLANDS LÄN</t>
        </is>
      </c>
      <c r="G307" t="inlineStr">
        <is>
          <t>VÄSTERÅS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46262</v>
      </c>
      <c r="F308" t="inlineStr">
        <is>
          <t>VÄSTMANLANDS LÄN</t>
        </is>
      </c>
      <c r="G308" t="inlineStr">
        <is>
          <t>VÄSTERÅS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44657</v>
      </c>
      <c r="E309" s="1" t="n">
        <v>46262</v>
      </c>
      <c r="F309" t="inlineStr">
        <is>
          <t>VÄSTMANLANDS LÄN</t>
        </is>
      </c>
      <c r="G309" t="inlineStr">
        <is>
          <t>VÄSTERÅS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45378</v>
      </c>
      <c r="E310" s="1" t="n">
        <v>46262</v>
      </c>
      <c r="F310" t="inlineStr">
        <is>
          <t>VÄSTMANLANDS LÄN</t>
        </is>
      </c>
      <c r="G310" t="inlineStr">
        <is>
          <t>VÄSTERÅS</t>
        </is>
      </c>
      <c r="I310" t="n">
        <v>15.4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46213</v>
      </c>
      <c r="E311" s="1" t="n">
        <v>46262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46262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46262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46262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46262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46262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46215</v>
      </c>
      <c r="E317" s="1" t="n">
        <v>46262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46262</v>
      </c>
      <c r="F318" t="inlineStr">
        <is>
          <t>VÄSTMANLANDS LÄN</t>
        </is>
      </c>
      <c r="G318" t="inlineStr">
        <is>
          <t>VÄSTERÅS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46262</v>
      </c>
      <c r="F319" t="inlineStr">
        <is>
          <t>VÄSTMANLANDS LÄN</t>
        </is>
      </c>
      <c r="G319" t="inlineStr">
        <is>
          <t>VÄSTERÅS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46262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46262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46262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46262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46262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46262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46262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2026-08-28T01:48:30Z</dcterms:created>
  <dcterms:modified xmlns:dcterms="http://purl.org/dc/terms/" xmlns:xsi="http://www.w3.org/2001/XMLSchema-instance" xsi:type="dcterms:W3CDTF">2026-08-28T01:48:31Z</dcterms:modified>
</cp:coreProperties>
</file>