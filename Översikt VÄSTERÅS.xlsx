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46311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46311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46311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47228-2022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44852</v>
      </c>
      <c r="E17" s="1" t="n">
        <v>46311</v>
      </c>
      <c r="F17" t="inlineStr">
        <is>
          <t>VÄSTMANLANDS LÄN</t>
        </is>
      </c>
      <c r="G17" t="inlineStr">
        <is>
          <t>VÄSTERÅS</t>
        </is>
      </c>
      <c r="I17" t="n">
        <v>11.6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2</v>
      </c>
      <c r="V17" s="2" t="inlineStr">
        <is>
          <t>Vithornad barkskinnbagge
Xyletinus ater
Mindre märgborre
Fiskgjuse</t>
        </is>
      </c>
      <c r="W17">
        <f>HYPERLINK("https://klasma.github.io/Logging_1980/artfynd/A 47228-2022 artfynd.xlsx", "A 47228-2022")</f>
        <v/>
      </c>
      <c r="X17">
        <f>HYPERLINK("https://klasma.github.io/Logging_1980/kartor/A 47228-2022 karta.png", "A 47228-2022")</f>
        <v/>
      </c>
      <c r="Y17">
        <f>HYPERLINK("https://klasma.github.io/Logging_1980/kartor_geotiff/A 47228-2022 georefererad karta.tif", "A 47228-2022")</f>
        <v/>
      </c>
      <c r="AA17">
        <f>HYPERLINK("https://klasma.github.io/Logging_1980/klagomål/A 47228-2022 FSC-klagomål.docx", "A 47228-2022")</f>
        <v/>
      </c>
      <c r="AB17">
        <f>HYPERLINK("https://klasma.github.io/Logging_1980/klagomålsmail/A 47228-2022 FSC-klagomål mail.docx", "A 47228-2022")</f>
        <v/>
      </c>
      <c r="AC17">
        <f>HYPERLINK("https://klasma.github.io/Logging_1980/tillsyn/A 47228-2022 tillsynsbegäran.docx", "A 47228-2022")</f>
        <v/>
      </c>
      <c r="AD17">
        <f>HYPERLINK("https://klasma.github.io/Logging_1980/tillsynsmail/A 47228-2022 tillsynsbegäran mail.docx", "A 47228-2022")</f>
        <v/>
      </c>
      <c r="AE17">
        <f>HYPERLINK("https://klasma.github.io/Logging_1980/fåglar/A 47228-2022 prioriterade fågelarter.docx", "A 47228-2022")</f>
        <v/>
      </c>
    </row>
    <row r="18" ht="15" customHeight="1">
      <c r="A18" t="inlineStr">
        <is>
          <t>A 41262-2023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45174</v>
      </c>
      <c r="E18" s="1" t="n">
        <v>46311</v>
      </c>
      <c r="F18" t="inlineStr">
        <is>
          <t>VÄSTMANLANDS LÄN</t>
        </is>
      </c>
      <c r="G18" t="inlineStr">
        <is>
          <t>VÄSTERÅS</t>
        </is>
      </c>
      <c r="H18" t="inlineStr">
        <is>
          <t>Kommuner</t>
        </is>
      </c>
      <c r="I18" t="n">
        <v>11.4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8</v>
      </c>
      <c r="U18" t="n">
        <v>2</v>
      </c>
      <c r="V18" s="2" t="inlineStr">
        <is>
          <t>Grönsångare
Gulsparv
Kungsfågel
Vanlig groda</t>
        </is>
      </c>
      <c r="W18">
        <f>HYPERLINK("https://klasma.github.io/Logging_1980/artfynd/A 41262-2023 artfynd.xlsx", "A 41262-2023")</f>
        <v/>
      </c>
      <c r="X18">
        <f>HYPERLINK("https://klasma.github.io/Logging_1980/kartor/A 41262-2023 karta.png", "A 41262-2023")</f>
        <v/>
      </c>
      <c r="Y18">
        <f>HYPERLINK("https://klasma.github.io/Logging_1980/kartor_geotiff/A 41262-2023 georefererad karta.tif", "A 41262-2023")</f>
        <v/>
      </c>
      <c r="AA18">
        <f>HYPERLINK("https://klasma.github.io/Logging_1980/klagomål/A 41262-2023 FSC-klagomål.docx", "A 41262-2023")</f>
        <v/>
      </c>
      <c r="AB18">
        <f>HYPERLINK("https://klasma.github.io/Logging_1980/klagomålsmail/A 41262-2023 FSC-klagomål mail.docx", "A 41262-2023")</f>
        <v/>
      </c>
      <c r="AC18">
        <f>HYPERLINK("https://klasma.github.io/Logging_1980/tillsyn/A 41262-2023 tillsynsbegäran.docx", "A 41262-2023")</f>
        <v/>
      </c>
      <c r="AD18">
        <f>HYPERLINK("https://klasma.github.io/Logging_1980/tillsynsmail/A 41262-2023 tillsynsbegäran mail.docx", "A 41262-2023")</f>
        <v/>
      </c>
      <c r="AE18">
        <f>HYPERLINK("https://klasma.github.io/Logging_1980/fåglar/A 41262-2023 prioriterade fågelarter.docx", "A 41262-2023")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46311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46311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46311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46311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46311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46311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59143-2025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46311</v>
      </c>
      <c r="F25" t="inlineStr">
        <is>
          <t>VÄSTMANLANDS LÄN</t>
        </is>
      </c>
      <c r="G25" t="inlineStr">
        <is>
          <t>VÄSTERÅS</t>
        </is>
      </c>
      <c r="H25" t="inlineStr">
        <is>
          <t>Sveaskog</t>
        </is>
      </c>
      <c r="I25" t="n">
        <v>12.4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5</v>
      </c>
      <c r="U25" t="n">
        <v>2</v>
      </c>
      <c r="V25" s="2" t="inlineStr">
        <is>
          <t>Grönpyrola
Järpe
Tjäder
Fiskgjuse</t>
        </is>
      </c>
      <c r="W25">
        <f>HYPERLINK("https://klasma.github.io/Logging_1980/artfynd/A 59143-2025 artfynd.xlsx", "A 59143-2025")</f>
        <v/>
      </c>
      <c r="X25">
        <f>HYPERLINK("https://klasma.github.io/Logging_1980/kartor/A 59143-2025 karta.png", "A 59143-2025")</f>
        <v/>
      </c>
      <c r="Y25">
        <f>HYPERLINK("https://klasma.github.io/Logging_1980/kartor_geotiff/A 59143-2025 georefererad karta.tif", "A 59143-2025")</f>
        <v/>
      </c>
      <c r="AA25">
        <f>HYPERLINK("https://klasma.github.io/Logging_1980/klagomål/A 59143-2025 FSC-klagomål.docx", "A 59143-2025")</f>
        <v/>
      </c>
      <c r="AB25">
        <f>HYPERLINK("https://klasma.github.io/Logging_1980/klagomålsmail/A 59143-2025 FSC-klagomål mail.docx", "A 59143-2025")</f>
        <v/>
      </c>
      <c r="AC25">
        <f>HYPERLINK("https://klasma.github.io/Logging_1980/tillsyn/A 59143-2025 tillsynsbegäran.docx", "A 59143-2025")</f>
        <v/>
      </c>
      <c r="AD25">
        <f>HYPERLINK("https://klasma.github.io/Logging_1980/tillsynsmail/A 59143-2025 tillsynsbegäran mail.docx", "A 59143-2025")</f>
        <v/>
      </c>
      <c r="AE25">
        <f>HYPERLINK("https://klasma.github.io/Logging_1980/fåglar/A 59143-2025 prioriterade fågelarter.docx", "A 59143-2025")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46311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46311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46311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46311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46311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46311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A 59140-2025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46311</v>
      </c>
      <c r="F32" t="inlineStr">
        <is>
          <t>VÄSTMANLANDS LÄN</t>
        </is>
      </c>
      <c r="G32" t="inlineStr">
        <is>
          <t>VÄSTERÅS</t>
        </is>
      </c>
      <c r="H32" t="inlineStr">
        <is>
          <t>Sveaskog</t>
        </is>
      </c>
      <c r="I32" t="n">
        <v>3.6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Järpe
Tjäder
Fiskgjuse</t>
        </is>
      </c>
      <c r="W32">
        <f>HYPERLINK("https://klasma.github.io/Logging_1980/artfynd/A 59140-2025 artfynd.xlsx", "A 59140-2025")</f>
        <v/>
      </c>
      <c r="X32">
        <f>HYPERLINK("https://klasma.github.io/Logging_1980/kartor/A 59140-2025 karta.png", "A 59140-2025")</f>
        <v/>
      </c>
      <c r="Y32">
        <f>HYPERLINK("https://klasma.github.io/Logging_1980/kartor_geotiff/A 59140-2025 georefererad karta.tif", "A 59140-2025")</f>
        <v/>
      </c>
      <c r="AA32">
        <f>HYPERLINK("https://klasma.github.io/Logging_1980/klagomål/A 59140-2025 FSC-klagomål.docx", "A 59140-2025")</f>
        <v/>
      </c>
      <c r="AB32">
        <f>HYPERLINK("https://klasma.github.io/Logging_1980/klagomålsmail/A 59140-2025 FSC-klagomål mail.docx", "A 59140-2025")</f>
        <v/>
      </c>
      <c r="AC32">
        <f>HYPERLINK("https://klasma.github.io/Logging_1980/tillsyn/A 59140-2025 tillsynsbegäran.docx", "A 59140-2025")</f>
        <v/>
      </c>
      <c r="AD32">
        <f>HYPERLINK("https://klasma.github.io/Logging_1980/tillsynsmail/A 59140-2025 tillsynsbegäran mail.docx", "A 59140-2025")</f>
        <v/>
      </c>
      <c r="AE32">
        <f>HYPERLINK("https://klasma.github.io/Logging_1980/fåglar/A 59140-2025 prioriterade fågelarter.docx", "A 59140-2025")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46311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46311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46311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46311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46311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46311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46311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46311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46311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46311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46311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46311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46311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46311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58395-2022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46311</v>
      </c>
      <c r="F47" t="inlineStr">
        <is>
          <t>VÄSTMANLANDS LÄN</t>
        </is>
      </c>
      <c r="G47" t="inlineStr">
        <is>
          <t>VÄSTERÅS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Korskovall</t>
        </is>
      </c>
      <c r="W47">
        <f>HYPERLINK("https://klasma.github.io/Logging_1980/artfynd/A 58395-2022 artfynd.xlsx", "A 58395-2022")</f>
        <v/>
      </c>
      <c r="X47">
        <f>HYPERLINK("https://klasma.github.io/Logging_1980/kartor/A 58395-2022 karta.png", "A 58395-2022")</f>
        <v/>
      </c>
      <c r="Y47">
        <f>HYPERLINK("https://klasma.github.io/Logging_1980/kartor_geotiff/A 58395-2022 georefererad karta.tif", "A 58395-2022")</f>
        <v/>
      </c>
      <c r="AA47">
        <f>HYPERLINK("https://klasma.github.io/Logging_1980/klagomål/A 58395-2022 FSC-klagomål.docx", "A 58395-2022")</f>
        <v/>
      </c>
      <c r="AB47">
        <f>HYPERLINK("https://klasma.github.io/Logging_1980/klagomålsmail/A 58395-2022 FSC-klagomål mail.docx", "A 58395-2022")</f>
        <v/>
      </c>
      <c r="AC47">
        <f>HYPERLINK("https://klasma.github.io/Logging_1980/tillsyn/A 58395-2022 tillsynsbegäran.docx", "A 58395-2022")</f>
        <v/>
      </c>
      <c r="AD47">
        <f>HYPERLINK("https://klasma.github.io/Logging_1980/tillsynsmail/A 58395-2022 tillsynsbegäran mail.docx", "A 58395-2022")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46311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40886-2025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46311</v>
      </c>
      <c r="F49" t="inlineStr">
        <is>
          <t>VÄSTMANLANDS LÄN</t>
        </is>
      </c>
      <c r="G49" t="inlineStr">
        <is>
          <t>VÄSTERÅS</t>
        </is>
      </c>
      <c r="I49" t="n">
        <v>1.5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Grönpyrola</t>
        </is>
      </c>
      <c r="W49">
        <f>HYPERLINK("https://klasma.github.io/Logging_1980/artfynd/A 40886-2025 artfynd.xlsx", "A 40886-2025")</f>
        <v/>
      </c>
      <c r="X49">
        <f>HYPERLINK("https://klasma.github.io/Logging_1980/kartor/A 40886-2025 karta.png", "A 40886-2025")</f>
        <v/>
      </c>
      <c r="Y49">
        <f>HYPERLINK("https://klasma.github.io/Logging_1980/kartor_geotiff/A 40886-2025 georefererad karta.tif", "A 40886-2025")</f>
        <v/>
      </c>
      <c r="AA49">
        <f>HYPERLINK("https://klasma.github.io/Logging_1980/klagomål/A 40886-2025 FSC-klagomål.docx", "A 40886-2025")</f>
        <v/>
      </c>
      <c r="AB49">
        <f>HYPERLINK("https://klasma.github.io/Logging_1980/klagomålsmail/A 40886-2025 FSC-klagomål mail.docx", "A 40886-2025")</f>
        <v/>
      </c>
      <c r="AC49">
        <f>HYPERLINK("https://klasma.github.io/Logging_1980/tillsyn/A 40886-2025 tillsynsbegäran.docx", "A 40886-2025")</f>
        <v/>
      </c>
      <c r="AD49">
        <f>HYPERLINK("https://klasma.github.io/Logging_1980/tillsynsmail/A 40886-2025 tillsynsbegäran mail.docx", "A 40886-2025")</f>
        <v/>
      </c>
    </row>
    <row r="50" ht="15" customHeight="1">
      <c r="A50" t="inlineStr">
        <is>
          <t>A 59520-2024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46311</v>
      </c>
      <c r="F50" t="inlineStr">
        <is>
          <t>VÄSTMANLANDS LÄN</t>
        </is>
      </c>
      <c r="G50" t="inlineStr">
        <is>
          <t>VÄSTERÅS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59520-2024 artfynd.xlsx", "A 59520-2024")</f>
        <v/>
      </c>
      <c r="X50">
        <f>HYPERLINK("https://klasma.github.io/Logging_1980/kartor/A 59520-2024 karta.png", "A 59520-2024")</f>
        <v/>
      </c>
      <c r="Y50">
        <f>HYPERLINK("https://klasma.github.io/Logging_1980/kartor_geotiff/A 59520-2024 georefererad karta.tif", "A 59520-2024")</f>
        <v/>
      </c>
      <c r="AA50">
        <f>HYPERLINK("https://klasma.github.io/Logging_1980/klagomål/A 59520-2024 FSC-klagomål.docx", "A 59520-2024")</f>
        <v/>
      </c>
      <c r="AB50">
        <f>HYPERLINK("https://klasma.github.io/Logging_1980/klagomålsmail/A 59520-2024 FSC-klagomål mail.docx", "A 59520-2024")</f>
        <v/>
      </c>
      <c r="AC50">
        <f>HYPERLINK("https://klasma.github.io/Logging_1980/tillsyn/A 59520-2024 tillsynsbegäran.docx", "A 59520-2024")</f>
        <v/>
      </c>
      <c r="AD50">
        <f>HYPERLINK("https://klasma.github.io/Logging_1980/tillsynsmail/A 59520-2024 tillsynsbegäran mail.docx", "A 59520-2024")</f>
        <v/>
      </c>
    </row>
    <row r="51" ht="15" customHeight="1">
      <c r="A51" t="inlineStr">
        <is>
          <t>A 46189-2023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45196</v>
      </c>
      <c r="E51" s="1" t="n">
        <v>46311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HYPERLINK("https://klasma.github.io/Logging_1980/artfynd/A 46189-2023 artfynd.xlsx", "A 46189-2023")</f>
        <v/>
      </c>
      <c r="X51">
        <f>HYPERLINK("https://klasma.github.io/Logging_1980/kartor/A 46189-2023 karta.png", "A 46189-2023")</f>
        <v/>
      </c>
      <c r="Y51">
        <f>HYPERLINK("https://klasma.github.io/Logging_1980/kartor_geotiff/A 46189-2023 georefererad karta.tif", "A 46189-2023")</f>
        <v/>
      </c>
      <c r="AA51">
        <f>HYPERLINK("https://klasma.github.io/Logging_1980/klagomål/A 46189-2023 FSC-klagomål.docx", "A 46189-2023")</f>
        <v/>
      </c>
      <c r="AB51">
        <f>HYPERLINK("https://klasma.github.io/Logging_1980/klagomålsmail/A 46189-2023 FSC-klagomål mail.docx", "A 46189-2023")</f>
        <v/>
      </c>
      <c r="AC51">
        <f>HYPERLINK("https://klasma.github.io/Logging_1980/tillsyn/A 46189-2023 tillsynsbegäran.docx", "A 46189-2023")</f>
        <v/>
      </c>
      <c r="AD51">
        <f>HYPERLINK("https://klasma.github.io/Logging_1980/tillsynsmail/A 46189-2023 tillsynsbegäran mail.docx", "A 46189-2023")</f>
        <v/>
      </c>
    </row>
    <row r="52" ht="15" customHeight="1">
      <c r="A52" t="inlineStr">
        <is>
          <t>A 8362-2022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44610</v>
      </c>
      <c r="E52" s="1" t="n">
        <v>46311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Köpingfibbla</t>
        </is>
      </c>
      <c r="W52">
        <f>HYPERLINK("https://klasma.github.io/Logging_1980/artfynd/A 8362-2022 artfynd.xlsx", "A 8362-2022")</f>
        <v/>
      </c>
      <c r="X52">
        <f>HYPERLINK("https://klasma.github.io/Logging_1980/kartor/A 8362-2022 karta.png", "A 8362-2022")</f>
        <v/>
      </c>
      <c r="Y52">
        <f>HYPERLINK("https://klasma.github.io/Logging_1980/kartor_geotiff/A 8362-2022 georefererad karta.tif", "A 8362-2022")</f>
        <v/>
      </c>
      <c r="AA52">
        <f>HYPERLINK("https://klasma.github.io/Logging_1980/klagomål/A 8362-2022 FSC-klagomål.docx", "A 8362-2022")</f>
        <v/>
      </c>
      <c r="AB52">
        <f>HYPERLINK("https://klasma.github.io/Logging_1980/klagomålsmail/A 8362-2022 FSC-klagomål mail.docx", "A 8362-2022")</f>
        <v/>
      </c>
      <c r="AC52">
        <f>HYPERLINK("https://klasma.github.io/Logging_1980/tillsyn/A 8362-2022 tillsynsbegäran.docx", "A 8362-2022")</f>
        <v/>
      </c>
      <c r="AD52">
        <f>HYPERLINK("https://klasma.github.io/Logging_1980/tillsynsmail/A 8362-2022 tillsynsbegäran mail.docx", "A 8362-2022")</f>
        <v/>
      </c>
    </row>
    <row r="53" ht="15" customHeight="1">
      <c r="A53" t="inlineStr">
        <is>
          <t>A 29787-2023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46311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HYPERLINK("https://klasma.github.io/Logging_1980/artfynd/A 29787-2023 artfynd.xlsx", "A 29787-2023")</f>
        <v/>
      </c>
      <c r="X53">
        <f>HYPERLINK("https://klasma.github.io/Logging_1980/kartor/A 29787-2023 karta.png", "A 29787-2023")</f>
        <v/>
      </c>
      <c r="Y53">
        <f>HYPERLINK("https://klasma.github.io/Logging_1980/kartor_geotiff/A 29787-2023 georefererad karta.tif", "A 29787-2023")</f>
        <v/>
      </c>
      <c r="AA53">
        <f>HYPERLINK("https://klasma.github.io/Logging_1980/klagomål/A 29787-2023 FSC-klagomål.docx", "A 29787-2023")</f>
        <v/>
      </c>
      <c r="AB53">
        <f>HYPERLINK("https://klasma.github.io/Logging_1980/klagomålsmail/A 29787-2023 FSC-klagomål mail.docx", "A 29787-2023")</f>
        <v/>
      </c>
      <c r="AC53">
        <f>HYPERLINK("https://klasma.github.io/Logging_1980/tillsyn/A 29787-2023 tillsynsbegäran.docx", "A 29787-2023")</f>
        <v/>
      </c>
      <c r="AD53">
        <f>HYPERLINK("https://klasma.github.io/Logging_1980/tillsynsmail/A 29787-2023 tillsynsbegäran mail.docx", "A 29787-2023")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46311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1594-2023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46311</v>
      </c>
      <c r="F55" t="inlineStr">
        <is>
          <t>VÄSTMANLANDS LÄN</t>
        </is>
      </c>
      <c r="G55" t="inlineStr">
        <is>
          <t>VÄSTERÅS</t>
        </is>
      </c>
      <c r="I55" t="n">
        <v>10.9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HYPERLINK("https://klasma.github.io/Logging_1980/artfynd/A 1594-2023 artfynd.xlsx", "A 1594-2023")</f>
        <v/>
      </c>
      <c r="X55">
        <f>HYPERLINK("https://klasma.github.io/Logging_1980/kartor/A 1594-2023 karta.png", "A 1594-2023")</f>
        <v/>
      </c>
      <c r="Y55">
        <f>HYPERLINK("https://klasma.github.io/Logging_1980/kartor_geotiff/A 1594-2023 georefererad karta.tif", "A 1594-2023")</f>
        <v/>
      </c>
      <c r="AA55">
        <f>HYPERLINK("https://klasma.github.io/Logging_1980/klagomål/A 1594-2023 FSC-klagomål.docx", "A 1594-2023")</f>
        <v/>
      </c>
      <c r="AB55">
        <f>HYPERLINK("https://klasma.github.io/Logging_1980/klagomålsmail/A 1594-2023 FSC-klagomål mail.docx", "A 1594-2023")</f>
        <v/>
      </c>
      <c r="AC55">
        <f>HYPERLINK("https://klasma.github.io/Logging_1980/tillsyn/A 1594-2023 tillsynsbegäran.docx", "A 1594-2023")</f>
        <v/>
      </c>
      <c r="AD55">
        <f>HYPERLINK("https://klasma.github.io/Logging_1980/tillsynsmail/A 1594-2023 tillsynsbegäran mail.docx", "A 1594-2023")</f>
        <v/>
      </c>
      <c r="AE55">
        <f>HYPERLINK("https://klasma.github.io/Logging_1980/fåglar/A 1594-2023 prioriterade fågelarter.docx", "A 1594-2023")</f>
        <v/>
      </c>
    </row>
    <row r="56" ht="15" customHeight="1">
      <c r="A56" t="inlineStr">
        <is>
          <t>A 26568-2022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44739</v>
      </c>
      <c r="E56" s="1" t="n">
        <v>46311</v>
      </c>
      <c r="F56" t="inlineStr">
        <is>
          <t>VÄSTMANLANDS LÄN</t>
        </is>
      </c>
      <c r="G56" t="inlineStr">
        <is>
          <t>VÄSTERÅS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Mistel</t>
        </is>
      </c>
      <c r="W56">
        <f>HYPERLINK("https://klasma.github.io/Logging_1980/artfynd/A 26568-2022 artfynd.xlsx", "A 26568-2022")</f>
        <v/>
      </c>
      <c r="X56">
        <f>HYPERLINK("https://klasma.github.io/Logging_1980/kartor/A 26568-2022 karta.png", "A 26568-2022")</f>
        <v/>
      </c>
      <c r="Y56">
        <f>HYPERLINK("https://klasma.github.io/Logging_1980/kartor_geotiff/A 26568-2022 georefererad karta.tif", "A 26568-2022")</f>
        <v/>
      </c>
      <c r="AA56">
        <f>HYPERLINK("https://klasma.github.io/Logging_1980/klagomål/A 26568-2022 FSC-klagomål.docx", "A 26568-2022")</f>
        <v/>
      </c>
      <c r="AB56">
        <f>HYPERLINK("https://klasma.github.io/Logging_1980/klagomålsmail/A 26568-2022 FSC-klagomål mail.docx", "A 26568-2022")</f>
        <v/>
      </c>
      <c r="AC56">
        <f>HYPERLINK("https://klasma.github.io/Logging_1980/tillsyn/A 26568-2022 tillsynsbegäran.docx", "A 26568-2022")</f>
        <v/>
      </c>
      <c r="AD56">
        <f>HYPERLINK("https://klasma.github.io/Logging_1980/tillsynsmail/A 26568-2022 tillsynsbegäran mail.docx", "A 26568-2022")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46311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46311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12950-2023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45001</v>
      </c>
      <c r="E59" s="1" t="n">
        <v>46311</v>
      </c>
      <c r="F59" t="inlineStr">
        <is>
          <t>VÄSTMANLANDS LÄN</t>
        </is>
      </c>
      <c r="G59" t="inlineStr">
        <is>
          <t>VÄSTERÅS</t>
        </is>
      </c>
      <c r="I59" t="n">
        <v>2.1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HYPERLINK("https://klasma.github.io/Logging_1980/artfynd/A 12950-2023 artfynd.xlsx", "A 12950-2023")</f>
        <v/>
      </c>
      <c r="X59">
        <f>HYPERLINK("https://klasma.github.io/Logging_1980/kartor/A 12950-2023 karta.png", "A 12950-2023")</f>
        <v/>
      </c>
      <c r="Y59">
        <f>HYPERLINK("https://klasma.github.io/Logging_1980/kartor_geotiff/A 12950-2023 georefererad karta.tif", "A 12950-2023")</f>
        <v/>
      </c>
      <c r="AA59">
        <f>HYPERLINK("https://klasma.github.io/Logging_1980/klagomål/A 12950-2023 FSC-klagomål.docx", "A 12950-2023")</f>
        <v/>
      </c>
      <c r="AB59">
        <f>HYPERLINK("https://klasma.github.io/Logging_1980/klagomålsmail/A 12950-2023 FSC-klagomål mail.docx", "A 12950-2023")</f>
        <v/>
      </c>
      <c r="AC59">
        <f>HYPERLINK("https://klasma.github.io/Logging_1980/tillsyn/A 12950-2023 tillsynsbegäran.docx", "A 12950-2023")</f>
        <v/>
      </c>
      <c r="AD59">
        <f>HYPERLINK("https://klasma.github.io/Logging_1980/tillsynsmail/A 12950-2023 tillsynsbegäran mail.docx", "A 12950-2023")</f>
        <v/>
      </c>
    </row>
    <row r="60" ht="15" customHeight="1">
      <c r="A60" t="inlineStr">
        <is>
          <t>A 16374-2025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46311</v>
      </c>
      <c r="F60" t="inlineStr">
        <is>
          <t>VÄSTMANLANDS LÄN</t>
        </is>
      </c>
      <c r="G60" t="inlineStr">
        <is>
          <t>VÄSTERÅS</t>
        </is>
      </c>
      <c r="I60" t="n">
        <v>0.6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Lönnlav</t>
        </is>
      </c>
      <c r="W60">
        <f>HYPERLINK("https://klasma.github.io/Logging_1980/artfynd/A 16374-2025 artfynd.xlsx", "A 16374-2025")</f>
        <v/>
      </c>
      <c r="X60">
        <f>HYPERLINK("https://klasma.github.io/Logging_1980/kartor/A 16374-2025 karta.png", "A 16374-2025")</f>
        <v/>
      </c>
      <c r="Y60">
        <f>HYPERLINK("https://klasma.github.io/Logging_1980/kartor_geotiff/A 16374-2025 georefererad karta.tif", "A 16374-2025")</f>
        <v/>
      </c>
      <c r="AA60">
        <f>HYPERLINK("https://klasma.github.io/Logging_1980/klagomål/A 16374-2025 FSC-klagomål.docx", "A 16374-2025")</f>
        <v/>
      </c>
      <c r="AB60">
        <f>HYPERLINK("https://klasma.github.io/Logging_1980/klagomålsmail/A 16374-2025 FSC-klagomål mail.docx", "A 16374-2025")</f>
        <v/>
      </c>
      <c r="AC60">
        <f>HYPERLINK("https://klasma.github.io/Logging_1980/tillsyn/A 16374-2025 tillsynsbegäran.docx", "A 16374-2025")</f>
        <v/>
      </c>
      <c r="AD60">
        <f>HYPERLINK("https://klasma.github.io/Logging_1980/tillsynsmail/A 16374-2025 tillsynsbegäran mail.docx", "A 16374-2025")</f>
        <v/>
      </c>
    </row>
    <row r="61" ht="15" customHeight="1">
      <c r="A61" t="inlineStr">
        <is>
          <t>A 50193-2022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44865</v>
      </c>
      <c r="E61" s="1" t="n">
        <v>46311</v>
      </c>
      <c r="F61" t="inlineStr">
        <is>
          <t>VÄSTMANLANDS LÄN</t>
        </is>
      </c>
      <c r="G61" t="inlineStr">
        <is>
          <t>VÄSTERÅS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Vedticka</t>
        </is>
      </c>
      <c r="W61">
        <f>HYPERLINK("https://klasma.github.io/Logging_1980/artfynd/A 50193-2022 artfynd.xlsx", "A 50193-2022")</f>
        <v/>
      </c>
      <c r="X61">
        <f>HYPERLINK("https://klasma.github.io/Logging_1980/kartor/A 50193-2022 karta.png", "A 50193-2022")</f>
        <v/>
      </c>
      <c r="Y61">
        <f>HYPERLINK("https://klasma.github.io/Logging_1980/kartor_geotiff/A 50193-2022 georefererad karta.tif", "A 50193-2022")</f>
        <v/>
      </c>
      <c r="AA61">
        <f>HYPERLINK("https://klasma.github.io/Logging_1980/klagomål/A 50193-2022 FSC-klagomål.docx", "A 50193-2022")</f>
        <v/>
      </c>
      <c r="AB61">
        <f>HYPERLINK("https://klasma.github.io/Logging_1980/klagomålsmail/A 50193-2022 FSC-klagomål mail.docx", "A 50193-2022")</f>
        <v/>
      </c>
      <c r="AC61">
        <f>HYPERLINK("https://klasma.github.io/Logging_1980/tillsyn/A 50193-2022 tillsynsbegäran.docx", "A 50193-2022")</f>
        <v/>
      </c>
      <c r="AD61">
        <f>HYPERLINK("https://klasma.github.io/Logging_1980/tillsynsmail/A 50193-2022 tillsynsbegäran mail.docx", "A 50193-2022")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46311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46311</v>
      </c>
      <c r="F63" t="inlineStr">
        <is>
          <t>VÄSTMANLANDS LÄN</t>
        </is>
      </c>
      <c r="G63" t="inlineStr">
        <is>
          <t>VÄSTERÅS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Brunklöver</t>
        </is>
      </c>
      <c r="W63">
        <f>HYPERLINK("https://klasma.github.io/Logging_1980/artfynd/A 5363-2025 artfynd.xlsx", "A 5363-2025")</f>
        <v/>
      </c>
      <c r="X63">
        <f>HYPERLINK("https://klasma.github.io/Logging_1980/kartor/A 5363-2025 karta.png", "A 5363-2025")</f>
        <v/>
      </c>
      <c r="Y63">
        <f>HYPERLINK("https://klasma.github.io/Logging_1980/kartor_geotiff/A 5363-2025 georefererad karta.tif", "A 5363-2025")</f>
        <v/>
      </c>
      <c r="AA63">
        <f>HYPERLINK("https://klasma.github.io/Logging_1980/klagomål/A 5363-2025 FSC-klagomål.docx", "A 5363-2025")</f>
        <v/>
      </c>
      <c r="AB63">
        <f>HYPERLINK("https://klasma.github.io/Logging_1980/klagomålsmail/A 5363-2025 FSC-klagomål mail.docx", "A 5363-2025")</f>
        <v/>
      </c>
      <c r="AC63">
        <f>HYPERLINK("https://klasma.github.io/Logging_1980/tillsyn/A 5363-2025 tillsynsbegäran.docx", "A 5363-2025")</f>
        <v/>
      </c>
      <c r="AD63">
        <f>HYPERLINK("https://klasma.github.io/Logging_1980/tillsynsmail/A 5363-2025 tillsynsbegäran mail.docx", "A 5363-2025")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46311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39919-2026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46311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4.2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HYPERLINK("https://klasma.github.io/Logging_1980/artfynd/A 39919-2026 artfynd.xlsx", "A 39919-2026")</f>
        <v/>
      </c>
      <c r="X65">
        <f>HYPERLINK("https://klasma.github.io/Logging_1980/kartor/A 39919-2026 karta.png", "A 39919-2026")</f>
        <v/>
      </c>
      <c r="Y65">
        <f>HYPERLINK("https://klasma.github.io/Logging_1980/kartor_geotiff/A 39919-2026 georefererad karta.tif", "A 39919-2026")</f>
        <v/>
      </c>
      <c r="AA65">
        <f>HYPERLINK("https://klasma.github.io/Logging_1980/klagomål/A 39919-2026 FSC-klagomål.docx", "A 39919-2026")</f>
        <v/>
      </c>
      <c r="AB65">
        <f>HYPERLINK("https://klasma.github.io/Logging_1980/klagomålsmail/A 39919-2026 FSC-klagomål mail.docx", "A 39919-2026")</f>
        <v/>
      </c>
      <c r="AC65">
        <f>HYPERLINK("https://klasma.github.io/Logging_1980/tillsyn/A 39919-2026 tillsynsbegäran.docx", "A 39919-2026")</f>
        <v/>
      </c>
      <c r="AD65">
        <f>HYPERLINK("https://klasma.github.io/Logging_1980/tillsynsmail/A 39919-2026 tillsynsbegäran mail.docx", "A 39919-2026")</f>
        <v/>
      </c>
      <c r="AE65">
        <f>HYPERLINK("https://klasma.github.io/Logging_1980/fåglar/A 39919-2026 prioriterade fågelarter.docx", "A 39919-2026")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46311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59144-2025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46311</v>
      </c>
      <c r="F67" t="inlineStr">
        <is>
          <t>VÄSTMANLANDS LÄN</t>
        </is>
      </c>
      <c r="G67" t="inlineStr">
        <is>
          <t>VÄSTERÅS</t>
        </is>
      </c>
      <c r="H67" t="inlineStr">
        <is>
          <t>Sveaskog</t>
        </is>
      </c>
      <c r="I67" t="n">
        <v>6.3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HYPERLINK("https://klasma.github.io/Logging_1980/artfynd/A 59144-2025 artfynd.xlsx", "A 59144-2025")</f>
        <v/>
      </c>
      <c r="X67">
        <f>HYPERLINK("https://klasma.github.io/Logging_1980/kartor/A 59144-2025 karta.png", "A 59144-2025")</f>
        <v/>
      </c>
      <c r="Y67">
        <f>HYPERLINK("https://klasma.github.io/Logging_1980/kartor_geotiff/A 59144-2025 georefererad karta.tif", "A 59144-2025")</f>
        <v/>
      </c>
      <c r="AA67">
        <f>HYPERLINK("https://klasma.github.io/Logging_1980/klagomål/A 59144-2025 FSC-klagomål.docx", "A 59144-2025")</f>
        <v/>
      </c>
      <c r="AB67">
        <f>HYPERLINK("https://klasma.github.io/Logging_1980/klagomålsmail/A 59144-2025 FSC-klagomål mail.docx", "A 59144-2025")</f>
        <v/>
      </c>
      <c r="AC67">
        <f>HYPERLINK("https://klasma.github.io/Logging_1980/tillsyn/A 59144-2025 tillsynsbegäran.docx", "A 59144-2025")</f>
        <v/>
      </c>
      <c r="AD67">
        <f>HYPERLINK("https://klasma.github.io/Logging_1980/tillsynsmail/A 59144-2025 tillsynsbegäran mail.docx", "A 59144-2025")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46311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46311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46311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46311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46311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46311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46311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46311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46311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46311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46311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46311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46311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46311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46311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46311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46311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46311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46311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46311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46311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46311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46311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46311</v>
      </c>
      <c r="F91" t="inlineStr">
        <is>
          <t>VÄSTMANLANDS LÄN</t>
        </is>
      </c>
      <c r="G91" t="inlineStr">
        <is>
          <t>VÄSTERÅS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46311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46311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46311</v>
      </c>
      <c r="F94" t="inlineStr">
        <is>
          <t>VÄSTMANLANDS LÄN</t>
        </is>
      </c>
      <c r="G94" t="inlineStr">
        <is>
          <t>VÄSTERÅS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46311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44699</v>
      </c>
      <c r="E96" s="1" t="n">
        <v>46311</v>
      </c>
      <c r="F96" t="inlineStr">
        <is>
          <t>VÄSTMANLANDS LÄN</t>
        </is>
      </c>
      <c r="G96" t="inlineStr">
        <is>
          <t>VÄSTERÅS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45077</v>
      </c>
      <c r="E97" s="1" t="n">
        <v>46311</v>
      </c>
      <c r="F97" t="inlineStr">
        <is>
          <t>VÄSTMANLANDS LÄN</t>
        </is>
      </c>
      <c r="G97" t="inlineStr">
        <is>
          <t>VÄSTERÅS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46311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46311</v>
      </c>
      <c r="F99" t="inlineStr">
        <is>
          <t>VÄSTMANLANDS LÄN</t>
        </is>
      </c>
      <c r="G99" t="inlineStr">
        <is>
          <t>VÄSTERÅS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18457-2023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45042</v>
      </c>
      <c r="E100" s="1" t="n">
        <v>46311</v>
      </c>
      <c r="F100" t="inlineStr">
        <is>
          <t>VÄSTMANLANDS LÄN</t>
        </is>
      </c>
      <c r="G100" t="inlineStr">
        <is>
          <t>VÄSTERÅS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56076-2023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45235</v>
      </c>
      <c r="E101" s="1" t="n">
        <v>46311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37.8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45735</v>
      </c>
      <c r="E102" s="1" t="n">
        <v>46311</v>
      </c>
      <c r="F102" t="inlineStr">
        <is>
          <t>VÄSTMANLANDS LÄN</t>
        </is>
      </c>
      <c r="G102" t="inlineStr">
        <is>
          <t>VÄSTERÅS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46311</v>
      </c>
      <c r="F103" t="inlineStr">
        <is>
          <t>VÄSTMANLANDS LÄN</t>
        </is>
      </c>
      <c r="G103" t="inlineStr">
        <is>
          <t>VÄSTERÅS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46311</v>
      </c>
      <c r="F104" t="inlineStr">
        <is>
          <t>VÄSTMANLANDS LÄN</t>
        </is>
      </c>
      <c r="G104" t="inlineStr">
        <is>
          <t>VÄSTERÅS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46311</v>
      </c>
      <c r="F105" t="inlineStr">
        <is>
          <t>VÄSTMANLANDS LÄN</t>
        </is>
      </c>
      <c r="G105" t="inlineStr">
        <is>
          <t>VÄSTERÅS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17258-2024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46311</v>
      </c>
      <c r="F106" t="inlineStr">
        <is>
          <t>VÄSTMANLANDS LÄN</t>
        </is>
      </c>
      <c r="G106" t="inlineStr">
        <is>
          <t>VÄSTERÅS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46311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46311</v>
      </c>
      <c r="F108" t="inlineStr">
        <is>
          <t>VÄSTMANLANDS LÄN</t>
        </is>
      </c>
      <c r="G108" t="inlineStr">
        <is>
          <t>VÄSTERÅS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46311</v>
      </c>
      <c r="F109" t="inlineStr">
        <is>
          <t>VÄSTMANLANDS LÄN</t>
        </is>
      </c>
      <c r="G109" t="inlineStr">
        <is>
          <t>VÄSTERÅS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46311</v>
      </c>
      <c r="F110" t="inlineStr">
        <is>
          <t>VÄSTMANLANDS LÄN</t>
        </is>
      </c>
      <c r="G110" t="inlineStr">
        <is>
          <t>VÄSTERÅS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24121-2024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46311</v>
      </c>
      <c r="F111" t="inlineStr">
        <is>
          <t>VÄSTMANLANDS LÄN</t>
        </is>
      </c>
      <c r="G111" t="inlineStr">
        <is>
          <t>VÄSTERÅS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46311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45223</v>
      </c>
      <c r="E113" s="1" t="n">
        <v>46311</v>
      </c>
      <c r="F113" t="inlineStr">
        <is>
          <t>VÄSTMANLANDS LÄN</t>
        </is>
      </c>
      <c r="G113" t="inlineStr">
        <is>
          <t>VÄSTERÅS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45296</v>
      </c>
      <c r="E114" s="1" t="n">
        <v>46311</v>
      </c>
      <c r="F114" t="inlineStr">
        <is>
          <t>VÄSTMANLANDS LÄN</t>
        </is>
      </c>
      <c r="G114" t="inlineStr">
        <is>
          <t>VÄSTERÅS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45223</v>
      </c>
      <c r="E115" s="1" t="n">
        <v>46311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46311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46311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46311</v>
      </c>
      <c r="F118" t="inlineStr">
        <is>
          <t>VÄSTMANLANDS LÄN</t>
        </is>
      </c>
      <c r="G118" t="inlineStr">
        <is>
          <t>VÄSTERÅS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46311</v>
      </c>
      <c r="F119" t="inlineStr">
        <is>
          <t>VÄSTMANLANDS LÄN</t>
        </is>
      </c>
      <c r="G119" t="inlineStr">
        <is>
          <t>VÄSTERÅS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45833</v>
      </c>
      <c r="E120" s="1" t="n">
        <v>46311</v>
      </c>
      <c r="F120" t="inlineStr">
        <is>
          <t>VÄSTMANLANDS LÄN</t>
        </is>
      </c>
      <c r="G120" t="inlineStr">
        <is>
          <t>VÄSTERÅS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39127-2022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44816</v>
      </c>
      <c r="E121" s="1" t="n">
        <v>46311</v>
      </c>
      <c r="F121" t="inlineStr">
        <is>
          <t>VÄSTMANLANDS LÄN</t>
        </is>
      </c>
      <c r="G121" t="inlineStr">
        <is>
          <t>VÄSTERÅS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46311</v>
      </c>
      <c r="F122" t="inlineStr">
        <is>
          <t>VÄSTMANLANDS LÄN</t>
        </is>
      </c>
      <c r="G122" t="inlineStr">
        <is>
          <t>VÄSTERÅS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46311</v>
      </c>
      <c r="F123" t="inlineStr">
        <is>
          <t>VÄSTMANLANDS LÄN</t>
        </is>
      </c>
      <c r="G123" t="inlineStr">
        <is>
          <t>VÄSTERÅS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46311</v>
      </c>
      <c r="F124" t="inlineStr">
        <is>
          <t>VÄSTMANLANDS LÄN</t>
        </is>
      </c>
      <c r="G124" t="inlineStr">
        <is>
          <t>VÄSTERÅS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46311</v>
      </c>
      <c r="F125" t="inlineStr">
        <is>
          <t>VÄSTMANLANDS LÄN</t>
        </is>
      </c>
      <c r="G125" t="inlineStr">
        <is>
          <t>VÄSTERÅS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45083</v>
      </c>
      <c r="E126" s="1" t="n">
        <v>46311</v>
      </c>
      <c r="F126" t="inlineStr">
        <is>
          <t>VÄSTMANLANDS LÄN</t>
        </is>
      </c>
      <c r="G126" t="inlineStr">
        <is>
          <t>VÄSTERÅS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45516</v>
      </c>
      <c r="E127" s="1" t="n">
        <v>46311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45257</v>
      </c>
      <c r="E128" s="1" t="n">
        <v>46311</v>
      </c>
      <c r="F128" t="inlineStr">
        <is>
          <t>VÄSTMANLANDS LÄN</t>
        </is>
      </c>
      <c r="G128" t="inlineStr">
        <is>
          <t>VÄSTERÅS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46311</v>
      </c>
      <c r="F129" t="inlineStr">
        <is>
          <t>VÄSTMANLANDS LÄN</t>
        </is>
      </c>
      <c r="G129" t="inlineStr">
        <is>
          <t>VÄSTERÅS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46311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Övriga Aktiebolag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44880</v>
      </c>
      <c r="E131" s="1" t="n">
        <v>46311</v>
      </c>
      <c r="F131" t="inlineStr">
        <is>
          <t>VÄSTMANLANDS LÄN</t>
        </is>
      </c>
      <c r="G131" t="inlineStr">
        <is>
          <t>VÄSTERÅS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44880</v>
      </c>
      <c r="E132" s="1" t="n">
        <v>46311</v>
      </c>
      <c r="F132" t="inlineStr">
        <is>
          <t>VÄSTMANLANDS LÄN</t>
        </is>
      </c>
      <c r="G132" t="inlineStr">
        <is>
          <t>VÄSTERÅS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46311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46311</v>
      </c>
      <c r="F134" t="inlineStr">
        <is>
          <t>VÄSTMANLANDS LÄN</t>
        </is>
      </c>
      <c r="G134" t="inlineStr">
        <is>
          <t>VÄSTERÅS</t>
        </is>
      </c>
      <c r="I134" t="n">
        <v>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44874</v>
      </c>
      <c r="E135" s="1" t="n">
        <v>46311</v>
      </c>
      <c r="F135" t="inlineStr">
        <is>
          <t>VÄSTMANLANDS LÄN</t>
        </is>
      </c>
      <c r="G135" t="inlineStr">
        <is>
          <t>VÄSTERÅS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46311</v>
      </c>
      <c r="F136" t="inlineStr">
        <is>
          <t>VÄSTMANLANDS LÄN</t>
        </is>
      </c>
      <c r="G136" t="inlineStr">
        <is>
          <t>VÄSTERÅS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46311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46311</v>
      </c>
      <c r="F138" t="inlineStr">
        <is>
          <t>VÄSTMANLANDS LÄN</t>
        </is>
      </c>
      <c r="G138" t="inlineStr">
        <is>
          <t>VÄSTERÅS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46311</v>
      </c>
      <c r="F139" t="inlineStr">
        <is>
          <t>VÄSTMANLANDS LÄN</t>
        </is>
      </c>
      <c r="G139" t="inlineStr">
        <is>
          <t>VÄSTERÅS</t>
        </is>
      </c>
      <c r="I139" t="n">
        <v>13.9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73601-2021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44552</v>
      </c>
      <c r="E140" s="1" t="n">
        <v>46311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18482-2023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45042</v>
      </c>
      <c r="E141" s="1" t="n">
        <v>46311</v>
      </c>
      <c r="F141" t="inlineStr">
        <is>
          <t>VÄSTMANLANDS LÄN</t>
        </is>
      </c>
      <c r="G141" t="inlineStr">
        <is>
          <t>VÄSTERÅS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46311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46311</v>
      </c>
      <c r="F143" t="inlineStr">
        <is>
          <t>VÄSTMANLANDS LÄN</t>
        </is>
      </c>
      <c r="G143" t="inlineStr">
        <is>
          <t>VÄSTERÅS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46311</v>
      </c>
      <c r="F144" t="inlineStr">
        <is>
          <t>VÄSTMANLANDS LÄN</t>
        </is>
      </c>
      <c r="G144" t="inlineStr">
        <is>
          <t>VÄSTERÅS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46311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46311</v>
      </c>
      <c r="F146" t="inlineStr">
        <is>
          <t>VÄSTMANLANDS LÄN</t>
        </is>
      </c>
      <c r="G146" t="inlineStr">
        <is>
          <t>VÄSTERÅS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70642-2021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46311</v>
      </c>
      <c r="F147" t="inlineStr">
        <is>
          <t>VÄSTMANLANDS LÄN</t>
        </is>
      </c>
      <c r="G147" t="inlineStr">
        <is>
          <t>VÄSTERÅS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74314-2021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44559</v>
      </c>
      <c r="E148" s="1" t="n">
        <v>46311</v>
      </c>
      <c r="F148" t="inlineStr">
        <is>
          <t>VÄSTMANLANDS LÄN</t>
        </is>
      </c>
      <c r="G148" t="inlineStr">
        <is>
          <t>VÄSTERÅS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46311</v>
      </c>
      <c r="F149" t="inlineStr">
        <is>
          <t>VÄSTMANLANDS LÄN</t>
        </is>
      </c>
      <c r="G149" t="inlineStr">
        <is>
          <t>VÄSTERÅS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46311</v>
      </c>
      <c r="F150" t="inlineStr">
        <is>
          <t>VÄSTMANLANDS LÄN</t>
        </is>
      </c>
      <c r="G150" t="inlineStr">
        <is>
          <t>VÄSTERÅS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46311</v>
      </c>
      <c r="F151" t="inlineStr">
        <is>
          <t>VÄSTMANLANDS LÄN</t>
        </is>
      </c>
      <c r="G151" t="inlineStr">
        <is>
          <t>VÄSTERÅS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44595</v>
      </c>
      <c r="E152" s="1" t="n">
        <v>46311</v>
      </c>
      <c r="F152" t="inlineStr">
        <is>
          <t>VÄSTMANLANDS LÄN</t>
        </is>
      </c>
      <c r="G152" t="inlineStr">
        <is>
          <t>VÄSTERÅS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45366</v>
      </c>
      <c r="E153" s="1" t="n">
        <v>46311</v>
      </c>
      <c r="F153" t="inlineStr">
        <is>
          <t>VÄSTMANLANDS LÄN</t>
        </is>
      </c>
      <c r="G153" t="inlineStr">
        <is>
          <t>VÄSTERÅS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46311</v>
      </c>
      <c r="F154" t="inlineStr">
        <is>
          <t>VÄSTMANLANDS LÄN</t>
        </is>
      </c>
      <c r="G154" t="inlineStr">
        <is>
          <t>VÄSTERÅS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46311</v>
      </c>
      <c r="F155" t="inlineStr">
        <is>
          <t>VÄSTMANLANDS LÄN</t>
        </is>
      </c>
      <c r="G155" t="inlineStr">
        <is>
          <t>VÄSTERÅS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46311</v>
      </c>
      <c r="F156" t="inlineStr">
        <is>
          <t>VÄSTMANLANDS LÄN</t>
        </is>
      </c>
      <c r="G156" t="inlineStr">
        <is>
          <t>VÄSTERÅS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44637</v>
      </c>
      <c r="E157" s="1" t="n">
        <v>46311</v>
      </c>
      <c r="F157" t="inlineStr">
        <is>
          <t>VÄSTMANLANDS LÄN</t>
        </is>
      </c>
      <c r="G157" t="inlineStr">
        <is>
          <t>VÄSTERÅS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16214-2023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45028</v>
      </c>
      <c r="E158" s="1" t="n">
        <v>46311</v>
      </c>
      <c r="F158" t="inlineStr">
        <is>
          <t>VÄSTMANLANDS LÄN</t>
        </is>
      </c>
      <c r="G158" t="inlineStr">
        <is>
          <t>VÄSTERÅS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46311</v>
      </c>
      <c r="F159" t="inlineStr">
        <is>
          <t>VÄSTMANLANDS LÄN</t>
        </is>
      </c>
      <c r="G159" t="inlineStr">
        <is>
          <t>VÄSTERÅS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46311</v>
      </c>
      <c r="F160" t="inlineStr">
        <is>
          <t>VÄSTMANLANDS LÄN</t>
        </is>
      </c>
      <c r="G160" t="inlineStr">
        <is>
          <t>VÄSTERÅS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44636</v>
      </c>
      <c r="E161" s="1" t="n">
        <v>46311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Kommuner</t>
        </is>
      </c>
      <c r="I161" t="n">
        <v>12.9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12148-2022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46311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Kommuner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46311</v>
      </c>
      <c r="F163" t="inlineStr">
        <is>
          <t>VÄSTMANLANDS LÄN</t>
        </is>
      </c>
      <c r="G163" t="inlineStr">
        <is>
          <t>VÄSTERÅS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46311</v>
      </c>
      <c r="F164" t="inlineStr">
        <is>
          <t>VÄSTMANLANDS LÄN</t>
        </is>
      </c>
      <c r="G164" t="inlineStr">
        <is>
          <t>VÄSTERÅS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46311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46311</v>
      </c>
      <c r="F166" t="inlineStr">
        <is>
          <t>VÄSTMANLANDS LÄN</t>
        </is>
      </c>
      <c r="G166" t="inlineStr">
        <is>
          <t>VÄSTERÅS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46311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46311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16583-2026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46311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Sveaskog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45125</v>
      </c>
      <c r="E170" s="1" t="n">
        <v>46311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46311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17499-2026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46120</v>
      </c>
      <c r="E172" s="1" t="n">
        <v>46311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18465-2023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45042</v>
      </c>
      <c r="E173" s="1" t="n">
        <v>46311</v>
      </c>
      <c r="F173" t="inlineStr">
        <is>
          <t>VÄSTMANLANDS LÄN</t>
        </is>
      </c>
      <c r="G173" t="inlineStr">
        <is>
          <t>VÄSTERÅS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73994-2021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44556</v>
      </c>
      <c r="E174" s="1" t="n">
        <v>46311</v>
      </c>
      <c r="F174" t="inlineStr">
        <is>
          <t>VÄSTMANLANDS LÄN</t>
        </is>
      </c>
      <c r="G174" t="inlineStr">
        <is>
          <t>VÄSTERÅS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17808-2023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45037</v>
      </c>
      <c r="E175" s="1" t="n">
        <v>46311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46311</v>
      </c>
      <c r="F176" t="inlineStr">
        <is>
          <t>VÄSTMANLANDS LÄN</t>
        </is>
      </c>
      <c r="G176" t="inlineStr">
        <is>
          <t>VÄSTERÅS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73597-2021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44552</v>
      </c>
      <c r="E177" s="1" t="n">
        <v>46311</v>
      </c>
      <c r="F177" t="inlineStr">
        <is>
          <t>VÄSTMANLANDS LÄN</t>
        </is>
      </c>
      <c r="G177" t="inlineStr">
        <is>
          <t>VÄSTERÅS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46311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46311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45506</v>
      </c>
      <c r="E180" s="1" t="n">
        <v>46311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Kommuner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46311</v>
      </c>
      <c r="F181" t="inlineStr">
        <is>
          <t>VÄSTMANLANDS LÄN</t>
        </is>
      </c>
      <c r="G181" t="inlineStr">
        <is>
          <t>VÄSTERÅS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44717</v>
      </c>
      <c r="E182" s="1" t="n">
        <v>46311</v>
      </c>
      <c r="F182" t="inlineStr">
        <is>
          <t>VÄSTMANLANDS LÄN</t>
        </is>
      </c>
      <c r="G182" t="inlineStr">
        <is>
          <t>VÄSTERÅS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67350-2021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44523</v>
      </c>
      <c r="E183" s="1" t="n">
        <v>46311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44662</v>
      </c>
      <c r="E184" s="1" t="n">
        <v>46311</v>
      </c>
      <c r="F184" t="inlineStr">
        <is>
          <t>VÄSTMANLANDS LÄN</t>
        </is>
      </c>
      <c r="G184" t="inlineStr">
        <is>
          <t>VÄSTERÅS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44636</v>
      </c>
      <c r="E185" s="1" t="n">
        <v>46311</v>
      </c>
      <c r="F185" t="inlineStr">
        <is>
          <t>VÄSTMANLANDS LÄN</t>
        </is>
      </c>
      <c r="G185" t="inlineStr">
        <is>
          <t>VÄSTERÅS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47101-2025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46311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46311</v>
      </c>
      <c r="F187" t="inlineStr">
        <is>
          <t>VÄSTMANLANDS LÄN</t>
        </is>
      </c>
      <c r="G187" t="inlineStr">
        <is>
          <t>VÄSTERÅS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45908</v>
      </c>
      <c r="E188" s="1" t="n">
        <v>46311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42899-2025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46311</v>
      </c>
      <c r="F189" t="inlineStr">
        <is>
          <t>VÄSTMANLANDS LÄN</t>
        </is>
      </c>
      <c r="G189" t="inlineStr">
        <is>
          <t>VÄSTERÅS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46311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46311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46311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46311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46311</v>
      </c>
      <c r="F194" t="inlineStr">
        <is>
          <t>VÄSTMANLANDS LÄN</t>
        </is>
      </c>
      <c r="G194" t="inlineStr">
        <is>
          <t>VÄSTERÅS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44635</v>
      </c>
      <c r="E195" s="1" t="n">
        <v>46311</v>
      </c>
      <c r="F195" t="inlineStr">
        <is>
          <t>VÄSTMANLANDS LÄN</t>
        </is>
      </c>
      <c r="G195" t="inlineStr">
        <is>
          <t>VÄSTERÅS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44610</v>
      </c>
      <c r="E196" s="1" t="n">
        <v>46311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63851-2021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44509</v>
      </c>
      <c r="E197" s="1" t="n">
        <v>46311</v>
      </c>
      <c r="F197" t="inlineStr">
        <is>
          <t>VÄSTMANLANDS LÄN</t>
        </is>
      </c>
      <c r="G197" t="inlineStr">
        <is>
          <t>VÄSTERÅS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46311</v>
      </c>
      <c r="F198" t="inlineStr">
        <is>
          <t>VÄSTMANLANDS LÄN</t>
        </is>
      </c>
      <c r="G198" t="inlineStr">
        <is>
          <t>VÄSTERÅS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46311</v>
      </c>
      <c r="F199" t="inlineStr">
        <is>
          <t>VÄSTMANLANDS LÄN</t>
        </is>
      </c>
      <c r="G199" t="inlineStr">
        <is>
          <t>VÄSTERÅS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44958</v>
      </c>
      <c r="E200" s="1" t="n">
        <v>46311</v>
      </c>
      <c r="F200" t="inlineStr">
        <is>
          <t>VÄSTMANLANDS LÄN</t>
        </is>
      </c>
      <c r="G200" t="inlineStr">
        <is>
          <t>VÄSTERÅS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46311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46311</v>
      </c>
      <c r="F202" t="inlineStr">
        <is>
          <t>VÄSTMANLANDS LÄN</t>
        </is>
      </c>
      <c r="G202" t="inlineStr">
        <is>
          <t>VÄSTERÅS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46311</v>
      </c>
      <c r="F203" t="inlineStr">
        <is>
          <t>VÄSTMANLANDS LÄN</t>
        </is>
      </c>
      <c r="G203" t="inlineStr">
        <is>
          <t>VÄSTERÅS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46311</v>
      </c>
      <c r="F204" t="inlineStr">
        <is>
          <t>VÄSTMANLANDS LÄN</t>
        </is>
      </c>
      <c r="G204" t="inlineStr">
        <is>
          <t>VÄSTERÅS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45027</v>
      </c>
      <c r="E205" s="1" t="n">
        <v>46311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46311</v>
      </c>
      <c r="F206" t="inlineStr">
        <is>
          <t>VÄSTMANLANDS LÄN</t>
        </is>
      </c>
      <c r="G206" t="inlineStr">
        <is>
          <t>VÄSTERÅS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44680</v>
      </c>
      <c r="E207" s="1" t="n">
        <v>46311</v>
      </c>
      <c r="F207" t="inlineStr">
        <is>
          <t>VÄSTMANLANDS LÄN</t>
        </is>
      </c>
      <c r="G207" t="inlineStr">
        <is>
          <t>VÄSTERÅS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44826</v>
      </c>
      <c r="E208" s="1" t="n">
        <v>46311</v>
      </c>
      <c r="F208" t="inlineStr">
        <is>
          <t>VÄSTMANLANDS LÄN</t>
        </is>
      </c>
      <c r="G208" t="inlineStr">
        <is>
          <t>VÄSTERÅS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46311</v>
      </c>
      <c r="F209" t="inlineStr">
        <is>
          <t>VÄSTMANLANDS LÄN</t>
        </is>
      </c>
      <c r="G209" t="inlineStr">
        <is>
          <t>VÄSTERÅS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46311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27722-2022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44743</v>
      </c>
      <c r="E211" s="1" t="n">
        <v>46311</v>
      </c>
      <c r="F211" t="inlineStr">
        <is>
          <t>VÄSTMANLANDS LÄN</t>
        </is>
      </c>
      <c r="G211" t="inlineStr">
        <is>
          <t>VÄSTERÅS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46311</v>
      </c>
      <c r="F212" t="inlineStr">
        <is>
          <t>VÄSTMANLANDS LÄN</t>
        </is>
      </c>
      <c r="G212" t="inlineStr">
        <is>
          <t>VÄSTERÅS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45219</v>
      </c>
      <c r="E213" s="1" t="n">
        <v>46311</v>
      </c>
      <c r="F213" t="inlineStr">
        <is>
          <t>VÄSTMANLANDS LÄN</t>
        </is>
      </c>
      <c r="G213" t="inlineStr">
        <is>
          <t>VÄSTERÅS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46311</v>
      </c>
      <c r="F214" t="inlineStr">
        <is>
          <t>VÄSTMANLANDS LÄN</t>
        </is>
      </c>
      <c r="G214" t="inlineStr">
        <is>
          <t>VÄSTERÅS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52015-2024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45607</v>
      </c>
      <c r="E215" s="1" t="n">
        <v>46311</v>
      </c>
      <c r="F215" t="inlineStr">
        <is>
          <t>VÄSTMANLANDS LÄN</t>
        </is>
      </c>
      <c r="G215" t="inlineStr">
        <is>
          <t>VÄSTERÅS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3118-2022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44582</v>
      </c>
      <c r="E216" s="1" t="n">
        <v>46311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Övriga Aktiebolag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46311</v>
      </c>
      <c r="F217" t="inlineStr">
        <is>
          <t>VÄSTMANLANDS LÄN</t>
        </is>
      </c>
      <c r="G217" t="inlineStr">
        <is>
          <t>VÄSTERÅS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46311</v>
      </c>
      <c r="F218" t="inlineStr">
        <is>
          <t>VÄSTMANLANDS LÄN</t>
        </is>
      </c>
      <c r="G218" t="inlineStr">
        <is>
          <t>VÄSTERÅS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44722</v>
      </c>
      <c r="E219" s="1" t="n">
        <v>46311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46311</v>
      </c>
      <c r="F220" t="inlineStr">
        <is>
          <t>VÄSTMANLANDS LÄN</t>
        </is>
      </c>
      <c r="G220" t="inlineStr">
        <is>
          <t>VÄSTERÅS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44739</v>
      </c>
      <c r="E221" s="1" t="n">
        <v>46311</v>
      </c>
      <c r="F221" t="inlineStr">
        <is>
          <t>VÄSTMANLANDS LÄN</t>
        </is>
      </c>
      <c r="G221" t="inlineStr">
        <is>
          <t>VÄSTERÅS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46311</v>
      </c>
      <c r="F222" t="inlineStr">
        <is>
          <t>VÄSTMANLANDS LÄN</t>
        </is>
      </c>
      <c r="G222" t="inlineStr">
        <is>
          <t>VÄSTERÅS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46311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64793-2023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46311</v>
      </c>
      <c r="F224" t="inlineStr">
        <is>
          <t>VÄSTMANLANDS LÄN</t>
        </is>
      </c>
      <c r="G224" t="inlineStr">
        <is>
          <t>VÄSTERÅS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46311</v>
      </c>
      <c r="F225" t="inlineStr">
        <is>
          <t>VÄSTMANLANDS LÄN</t>
        </is>
      </c>
      <c r="G225" t="inlineStr">
        <is>
          <t>VÄSTERÅS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46311</v>
      </c>
      <c r="F226" t="inlineStr">
        <is>
          <t>VÄSTMANLANDS LÄN</t>
        </is>
      </c>
      <c r="G226" t="inlineStr">
        <is>
          <t>VÄSTERÅS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13614-2022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44648</v>
      </c>
      <c r="E227" s="1" t="n">
        <v>46311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44847</v>
      </c>
      <c r="E228" s="1" t="n">
        <v>46311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46311</v>
      </c>
      <c r="F229" t="inlineStr">
        <is>
          <t>VÄSTMANLANDS LÄN</t>
        </is>
      </c>
      <c r="G229" t="inlineStr">
        <is>
          <t>VÄSTERÅS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46311</v>
      </c>
      <c r="F230" t="inlineStr">
        <is>
          <t>VÄSTMANLANDS LÄN</t>
        </is>
      </c>
      <c r="G230" t="inlineStr">
        <is>
          <t>VÄSTERÅS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44961</v>
      </c>
      <c r="E231" s="1" t="n">
        <v>46311</v>
      </c>
      <c r="F231" t="inlineStr">
        <is>
          <t>VÄSTMANLANDS LÄN</t>
        </is>
      </c>
      <c r="G231" t="inlineStr">
        <is>
          <t>VÄSTERÅS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46311</v>
      </c>
      <c r="F232" t="inlineStr">
        <is>
          <t>VÄSTMANLANDS LÄN</t>
        </is>
      </c>
      <c r="G232" t="inlineStr">
        <is>
          <t>VÄSTERÅS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67352-2021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44523</v>
      </c>
      <c r="E233" s="1" t="n">
        <v>46311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Övriga Aktiebolag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46311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Övriga statliga verk och myndigheter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16497-2022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44671</v>
      </c>
      <c r="E235" s="1" t="n">
        <v>46311</v>
      </c>
      <c r="F235" t="inlineStr">
        <is>
          <t>VÄSTMANLANDS LÄN</t>
        </is>
      </c>
      <c r="G235" t="inlineStr">
        <is>
          <t>VÄSTERÅS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46311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46311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46311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46311</v>
      </c>
      <c r="F239" t="inlineStr">
        <is>
          <t>VÄSTMANLANDS LÄN</t>
        </is>
      </c>
      <c r="G239" t="inlineStr">
        <is>
          <t>VÄSTERÅS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45274</v>
      </c>
      <c r="E240" s="1" t="n">
        <v>46311</v>
      </c>
      <c r="F240" t="inlineStr">
        <is>
          <t>VÄSTMANLANDS LÄN</t>
        </is>
      </c>
      <c r="G240" t="inlineStr">
        <is>
          <t>VÄSTERÅS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46311</v>
      </c>
      <c r="F241" t="inlineStr">
        <is>
          <t>VÄSTMANLANDS LÄN</t>
        </is>
      </c>
      <c r="G241" t="inlineStr">
        <is>
          <t>VÄSTERÅS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46311</v>
      </c>
      <c r="F242" t="inlineStr">
        <is>
          <t>VÄSTMANLANDS LÄN</t>
        </is>
      </c>
      <c r="G242" t="inlineStr">
        <is>
          <t>VÄSTERÅS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44657</v>
      </c>
      <c r="E243" s="1" t="n">
        <v>46311</v>
      </c>
      <c r="F243" t="inlineStr">
        <is>
          <t>VÄSTMANLANDS LÄN</t>
        </is>
      </c>
      <c r="G243" t="inlineStr">
        <is>
          <t>VÄSTERÅS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44755</v>
      </c>
      <c r="E244" s="1" t="n">
        <v>46311</v>
      </c>
      <c r="F244" t="inlineStr">
        <is>
          <t>VÄSTMANLANDS LÄN</t>
        </is>
      </c>
      <c r="G244" t="inlineStr">
        <is>
          <t>VÄSTERÅS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11137-2023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44987</v>
      </c>
      <c r="E245" s="1" t="n">
        <v>46311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45019</v>
      </c>
      <c r="E246" s="1" t="n">
        <v>46311</v>
      </c>
      <c r="F246" t="inlineStr">
        <is>
          <t>VÄSTMANLANDS LÄN</t>
        </is>
      </c>
      <c r="G246" t="inlineStr">
        <is>
          <t>VÄSTERÅS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8346-2022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44610</v>
      </c>
      <c r="E247" s="1" t="n">
        <v>46311</v>
      </c>
      <c r="F247" t="inlineStr">
        <is>
          <t>VÄSTMANLANDS LÄN</t>
        </is>
      </c>
      <c r="G247" t="inlineStr">
        <is>
          <t>VÄSTERÅS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46311</v>
      </c>
      <c r="F248" t="inlineStr">
        <is>
          <t>VÄSTMANLANDS LÄN</t>
        </is>
      </c>
      <c r="G248" t="inlineStr">
        <is>
          <t>VÄSTERÅS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46311</v>
      </c>
      <c r="F249" t="inlineStr">
        <is>
          <t>VÄSTMANLANDS LÄN</t>
        </is>
      </c>
      <c r="G249" t="inlineStr">
        <is>
          <t>VÄSTERÅS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46311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Kyrkan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46311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Allmännings- och besparingsskogar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46311</v>
      </c>
      <c r="F252" t="inlineStr">
        <is>
          <t>VÄSTMANLANDS LÄN</t>
        </is>
      </c>
      <c r="G252" t="inlineStr">
        <is>
          <t>VÄSTERÅS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46188</v>
      </c>
      <c r="E253" s="1" t="n">
        <v>46311</v>
      </c>
      <c r="F253" t="inlineStr">
        <is>
          <t>VÄSTMANLANDS LÄN</t>
        </is>
      </c>
      <c r="G253" t="inlineStr">
        <is>
          <t>VÄSTERÅS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46311</v>
      </c>
      <c r="F254" t="inlineStr">
        <is>
          <t>VÄSTMANLANDS LÄN</t>
        </is>
      </c>
      <c r="G254" t="inlineStr">
        <is>
          <t>VÄSTERÅS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46311</v>
      </c>
      <c r="F255" t="inlineStr">
        <is>
          <t>VÄSTMANLANDS LÄN</t>
        </is>
      </c>
      <c r="G255" t="inlineStr">
        <is>
          <t>VÄSTERÅS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46311</v>
      </c>
      <c r="F256" t="inlineStr">
        <is>
          <t>VÄSTMANLANDS LÄN</t>
        </is>
      </c>
      <c r="G256" t="inlineStr">
        <is>
          <t>VÄSTERÅS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51004-2024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46311</v>
      </c>
      <c r="F257" t="inlineStr">
        <is>
          <t>VÄSTMANLANDS LÄN</t>
        </is>
      </c>
      <c r="G257" t="inlineStr">
        <is>
          <t>VÄSTERÅS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46311</v>
      </c>
      <c r="F258" t="inlineStr">
        <is>
          <t>VÄSTMANLANDS LÄN</t>
        </is>
      </c>
      <c r="G258" t="inlineStr">
        <is>
          <t>VÄSTERÅS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61249-2021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44498</v>
      </c>
      <c r="E259" s="1" t="n">
        <v>46311</v>
      </c>
      <c r="F259" t="inlineStr">
        <is>
          <t>VÄSTMANLANDS LÄN</t>
        </is>
      </c>
      <c r="G259" t="inlineStr">
        <is>
          <t>VÄSTERÅS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28126-2026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46311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8727-2023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44978</v>
      </c>
      <c r="E261" s="1" t="n">
        <v>46311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Kyrkan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46311</v>
      </c>
      <c r="F262" t="inlineStr">
        <is>
          <t>VÄSTMANLANDS LÄN</t>
        </is>
      </c>
      <c r="G262" t="inlineStr">
        <is>
          <t>VÄSTERÅS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46311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50565-2025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46311</v>
      </c>
      <c r="F264" t="inlineStr">
        <is>
          <t>VÄSTMANLANDS LÄN</t>
        </is>
      </c>
      <c r="G264" t="inlineStr">
        <is>
          <t>VÄSTERÅS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46311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statliga verk och myndigheter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46311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46311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46311</v>
      </c>
      <c r="F268" t="inlineStr">
        <is>
          <t>VÄSTMANLANDS LÄN</t>
        </is>
      </c>
      <c r="G268" t="inlineStr">
        <is>
          <t>VÄSTERÅS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44574</v>
      </c>
      <c r="E269" s="1" t="n">
        <v>46311</v>
      </c>
      <c r="F269" t="inlineStr">
        <is>
          <t>VÄSTMANLANDS LÄN</t>
        </is>
      </c>
      <c r="G269" t="inlineStr">
        <is>
          <t>VÄSTERÅS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46215</v>
      </c>
      <c r="E270" s="1" t="n">
        <v>46311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46215</v>
      </c>
      <c r="E271" s="1" t="n">
        <v>46311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46311</v>
      </c>
      <c r="F272" t="inlineStr">
        <is>
          <t>VÄSTMANLANDS LÄN</t>
        </is>
      </c>
      <c r="G272" t="inlineStr">
        <is>
          <t>VÄSTERÅS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46217</v>
      </c>
      <c r="E273" s="1" t="n">
        <v>46311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46311</v>
      </c>
      <c r="F274" t="inlineStr">
        <is>
          <t>VÄSTMANLANDS LÄN</t>
        </is>
      </c>
      <c r="G274" t="inlineStr">
        <is>
          <t>VÄSTERÅS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46154</v>
      </c>
      <c r="E275" s="1" t="n">
        <v>46311</v>
      </c>
      <c r="F275" t="inlineStr">
        <is>
          <t>VÄSTMANLANDS LÄN</t>
        </is>
      </c>
      <c r="G275" t="inlineStr">
        <is>
          <t>VÄSTERÅS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50987-2024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46311</v>
      </c>
      <c r="F276" t="inlineStr">
        <is>
          <t>VÄSTMANLANDS LÄN</t>
        </is>
      </c>
      <c r="G276" t="inlineStr">
        <is>
          <t>VÄSTERÅS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46311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46311</v>
      </c>
      <c r="F278" t="inlineStr">
        <is>
          <t>VÄSTMANLANDS LÄN</t>
        </is>
      </c>
      <c r="G278" t="inlineStr">
        <is>
          <t>VÄSTERÅS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46311</v>
      </c>
      <c r="F279" t="inlineStr">
        <is>
          <t>VÄSTMANLANDS LÄN</t>
        </is>
      </c>
      <c r="G279" t="inlineStr">
        <is>
          <t>VÄSTERÅS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55684-2023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45232</v>
      </c>
      <c r="E280" s="1" t="n">
        <v>46311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Övriga Aktiebolag</t>
        </is>
      </c>
      <c r="I280" t="n">
        <v>29.4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45553</v>
      </c>
      <c r="E281" s="1" t="n">
        <v>46311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37159-2026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46274</v>
      </c>
      <c r="E282" s="1" t="n">
        <v>46311</v>
      </c>
      <c r="F282" t="inlineStr">
        <is>
          <t>VÄSTMANLANDS LÄN</t>
        </is>
      </c>
      <c r="G282" t="inlineStr">
        <is>
          <t>VÄSTERÅS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46274</v>
      </c>
      <c r="E283" s="1" t="n">
        <v>46311</v>
      </c>
      <c r="F283" t="inlineStr">
        <is>
          <t>VÄSTMANLANDS LÄN</t>
        </is>
      </c>
      <c r="G283" t="inlineStr">
        <is>
          <t>VÄSTERÅS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46311</v>
      </c>
      <c r="F284" t="inlineStr">
        <is>
          <t>VÄSTMANLANDS LÄN</t>
        </is>
      </c>
      <c r="G284" t="inlineStr">
        <is>
          <t>VÄSTERÅS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45019</v>
      </c>
      <c r="E285" s="1" t="n">
        <v>46311</v>
      </c>
      <c r="F285" t="inlineStr">
        <is>
          <t>VÄSTMANLANDS LÄN</t>
        </is>
      </c>
      <c r="G285" t="inlineStr">
        <is>
          <t>VÄSTERÅS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18467-2023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45042</v>
      </c>
      <c r="E286" s="1" t="n">
        <v>46311</v>
      </c>
      <c r="F286" t="inlineStr">
        <is>
          <t>VÄSTMANLANDS LÄN</t>
        </is>
      </c>
      <c r="G286" t="inlineStr">
        <is>
          <t>VÄSTERÅS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45033</v>
      </c>
      <c r="E287" s="1" t="n">
        <v>46311</v>
      </c>
      <c r="F287" t="inlineStr">
        <is>
          <t>VÄSTMANLANDS LÄN</t>
        </is>
      </c>
      <c r="G287" t="inlineStr">
        <is>
          <t>VÄSTERÅS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46311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46311</v>
      </c>
      <c r="F289" t="inlineStr">
        <is>
          <t>VÄSTMANLANDS LÄN</t>
        </is>
      </c>
      <c r="G289" t="inlineStr">
        <is>
          <t>VÄSTERÅS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45019</v>
      </c>
      <c r="E290" s="1" t="n">
        <v>46311</v>
      </c>
      <c r="F290" t="inlineStr">
        <is>
          <t>VÄSTMANLANDS LÄN</t>
        </is>
      </c>
      <c r="G290" t="inlineStr">
        <is>
          <t>VÄSTERÅS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46311</v>
      </c>
      <c r="F291" t="inlineStr">
        <is>
          <t>VÄSTMANLANDS LÄN</t>
        </is>
      </c>
      <c r="G291" t="inlineStr">
        <is>
          <t>VÄSTERÅS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46311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46311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46272</v>
      </c>
      <c r="E294" s="1" t="n">
        <v>46311</v>
      </c>
      <c r="F294" t="inlineStr">
        <is>
          <t>VÄSTMANLANDS LÄN</t>
        </is>
      </c>
      <c r="G294" t="inlineStr">
        <is>
          <t>VÄSTERÅS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45638</v>
      </c>
      <c r="E295" s="1" t="n">
        <v>46311</v>
      </c>
      <c r="F295" t="inlineStr">
        <is>
          <t>VÄSTMANLANDS LÄN</t>
        </is>
      </c>
      <c r="G295" t="inlineStr">
        <is>
          <t>VÄSTERÅS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46311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46290</v>
      </c>
      <c r="E297" s="1" t="n">
        <v>46311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61258-2023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46311</v>
      </c>
      <c r="F298" t="inlineStr">
        <is>
          <t>VÄSTMANLANDS LÄN</t>
        </is>
      </c>
      <c r="G298" t="inlineStr">
        <is>
          <t>VÄSTERÅS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46311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45378</v>
      </c>
      <c r="E300" s="1" t="n">
        <v>46311</v>
      </c>
      <c r="F300" t="inlineStr">
        <is>
          <t>VÄSTMANLANDS LÄN</t>
        </is>
      </c>
      <c r="G300" t="inlineStr">
        <is>
          <t>VÄSTERÅS</t>
        </is>
      </c>
      <c r="I300" t="n">
        <v>15.4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46311</v>
      </c>
      <c r="F301" t="inlineStr">
        <is>
          <t>VÄSTMANLANDS LÄN</t>
        </is>
      </c>
      <c r="G301" t="inlineStr">
        <is>
          <t>VÄSTERÅS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46311</v>
      </c>
      <c r="F302" t="inlineStr">
        <is>
          <t>VÄSTMANLANDS LÄN</t>
        </is>
      </c>
      <c r="G302" t="inlineStr">
        <is>
          <t>VÄSTERÅS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46290</v>
      </c>
      <c r="E303" s="1" t="n">
        <v>46311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46311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46287</v>
      </c>
      <c r="E305" s="1" t="n">
        <v>46311</v>
      </c>
      <c r="F305" t="inlineStr">
        <is>
          <t>VÄSTMANLANDS LÄN</t>
        </is>
      </c>
      <c r="G305" t="inlineStr">
        <is>
          <t>VÄSTERÅS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46311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46311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46080</v>
      </c>
      <c r="E308" s="1" t="n">
        <v>46311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46311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45506</v>
      </c>
      <c r="E310" s="1" t="n">
        <v>46311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Kommuner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46311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Allmännings- och besparingsskogar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46311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46311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46303</v>
      </c>
      <c r="E314" s="1" t="n">
        <v>46311</v>
      </c>
      <c r="F314" t="inlineStr">
        <is>
          <t>VÄSTMANLANDS LÄN</t>
        </is>
      </c>
      <c r="G314" t="inlineStr">
        <is>
          <t>VÄSTERÅS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41988-2026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46303</v>
      </c>
      <c r="E315" s="1" t="n">
        <v>46311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46303</v>
      </c>
      <c r="E316" s="1" t="n">
        <v>46311</v>
      </c>
      <c r="F316" t="inlineStr">
        <is>
          <t>VÄSTMANLANDS LÄN</t>
        </is>
      </c>
      <c r="G316" t="inlineStr">
        <is>
          <t>VÄSTERÅS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46215</v>
      </c>
      <c r="E317" s="1" t="n">
        <v>46311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46311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46215</v>
      </c>
      <c r="E319" s="1" t="n">
        <v>46311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46311</v>
      </c>
      <c r="F320" t="inlineStr">
        <is>
          <t>VÄSTMANLANDS LÄN</t>
        </is>
      </c>
      <c r="G320" t="inlineStr">
        <is>
          <t>VÄSTERÅS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7797-2026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46062</v>
      </c>
      <c r="E321" s="1" t="n">
        <v>46311</v>
      </c>
      <c r="F321" t="inlineStr">
        <is>
          <t>VÄSTMANLANDS LÄN</t>
        </is>
      </c>
      <c r="G321" t="inlineStr">
        <is>
          <t>VÄSTERÅS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52027-2025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45952</v>
      </c>
      <c r="E322" s="1" t="n">
        <v>46311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Övriga statliga verk och myndigheter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46311</v>
      </c>
      <c r="F323" t="inlineStr">
        <is>
          <t>VÄSTMANLANDS LÄN</t>
        </is>
      </c>
      <c r="G323" t="inlineStr">
        <is>
          <t>VÄSTERÅS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46311</v>
      </c>
      <c r="F324" t="inlineStr">
        <is>
          <t>VÄSTMANLANDS LÄN</t>
        </is>
      </c>
      <c r="G324" t="inlineStr">
        <is>
          <t>VÄSTERÅS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10870-2026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46311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44594</v>
      </c>
      <c r="E326" s="1" t="n">
        <v>46311</v>
      </c>
      <c r="F326" t="inlineStr">
        <is>
          <t>VÄSTMANLANDS LÄN</t>
        </is>
      </c>
      <c r="G326" t="inlineStr">
        <is>
          <t>VÄSTERÅS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46084</v>
      </c>
      <c r="E327" s="1" t="n">
        <v>46311</v>
      </c>
      <c r="F327" t="inlineStr">
        <is>
          <t>VÄSTMANLANDS LÄN</t>
        </is>
      </c>
      <c r="G327" t="inlineStr">
        <is>
          <t>VÄSTERÅS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46311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46311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1415-2022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44634</v>
      </c>
      <c r="E330" s="1" t="n">
        <v>46311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Kyrkan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46311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46311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46311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46311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2026-10-16T02:15:36Z</dcterms:created>
  <dcterms:modified xmlns:dcterms="http://purl.org/dc/terms/" xmlns:xsi="http://www.w3.org/2001/XMLSchema-instance" xsi:type="dcterms:W3CDTF">2026-10-16T02:15:37Z</dcterms:modified>
</cp:coreProperties>
</file>