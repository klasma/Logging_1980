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46225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46225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46225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46225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46225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46225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t="n">
        <v>31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46225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46225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46225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46225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46225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46225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46225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46225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46225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46225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46225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16686-2026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46225</v>
      </c>
      <c r="F19" t="inlineStr">
        <is>
          <t>VÄSTMANLANDS LÄN</t>
        </is>
      </c>
      <c r="G19" t="inlineStr">
        <is>
          <t>VÄSTERÅS</t>
        </is>
      </c>
      <c r="I19" t="n">
        <v>2.1</v>
      </c>
      <c r="J19" t="n">
        <v>1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11</v>
      </c>
      <c r="U19" t="n">
        <v>0</v>
      </c>
      <c r="V19" s="2" t="inlineStr">
        <is>
          <t>Knärot
Motaggsvamp
Blomkålssvamp
Grönpyrola</t>
        </is>
      </c>
      <c r="W19">
        <f>HYPERLINK("https://klasma.github.io/Logging_1980/artfynd/A 16686-2026 artfynd.xlsx", "A 16686-2026")</f>
        <v/>
      </c>
      <c r="X19">
        <f>HYPERLINK("https://klasma.github.io/Logging_1980/kartor/A 16686-2026 karta.png", "A 16686-2026")</f>
        <v/>
      </c>
      <c r="Y19">
        <f>HYPERLINK("https://klasma.github.io/Logging_1980/kartor_geotiff/A 16686-2026 georefererad karta.tif", "A 16686-2026")</f>
        <v/>
      </c>
      <c r="Z19">
        <f>HYPERLINK("https://klasma.github.io/Logging_1980/knärot/A 16686-2026 karta knärot.png", "A 16686-2026")</f>
        <v/>
      </c>
      <c r="AA19">
        <f>HYPERLINK("https://klasma.github.io/Logging_1980/klagomål/A 16686-2026 FSC-klagomål.docx", "A 16686-2026")</f>
        <v/>
      </c>
      <c r="AB19">
        <f>HYPERLINK("https://klasma.github.io/Logging_1980/klagomålsmail/A 16686-2026 FSC-klagomål mail.docx", "A 16686-2026")</f>
        <v/>
      </c>
      <c r="AC19">
        <f>HYPERLINK("https://klasma.github.io/Logging_1980/tillsyn/A 16686-2026 tillsynsbegäran.docx", "A 16686-2026")</f>
        <v/>
      </c>
      <c r="AD19">
        <f>HYPERLINK("https://klasma.github.io/Logging_1980/tillsynsmail/A 16686-2026 tillsynsbegäran mail.docx", "A 16686-2026")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46225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46225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46225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46225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46225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46225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46225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46225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46225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46225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46225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46225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46225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46225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46225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46225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46225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46225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46225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46225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46225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46225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40886-2025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46225</v>
      </c>
      <c r="F42" t="inlineStr">
        <is>
          <t>VÄSTMANLANDS LÄN</t>
        </is>
      </c>
      <c r="G42" t="inlineStr">
        <is>
          <t>VÄSTERÅS</t>
        </is>
      </c>
      <c r="I42" t="n">
        <v>1.5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HYPERLINK("https://klasma.github.io/Logging_1980/artfynd/A 40886-2025 artfynd.xlsx", "A 40886-2025")</f>
        <v/>
      </c>
      <c r="X42">
        <f>HYPERLINK("https://klasma.github.io/Logging_1980/kartor/A 40886-2025 karta.png", "A 40886-2025")</f>
        <v/>
      </c>
      <c r="Y42">
        <f>HYPERLINK("https://klasma.github.io/Logging_1980/kartor_geotiff/A 40886-2025 georefererad karta.tif", "A 40886-2025")</f>
        <v/>
      </c>
      <c r="AA42">
        <f>HYPERLINK("https://klasma.github.io/Logging_1980/klagomål/A 40886-2025 FSC-klagomål.docx", "A 40886-2025")</f>
        <v/>
      </c>
      <c r="AB42">
        <f>HYPERLINK("https://klasma.github.io/Logging_1980/klagomålsmail/A 40886-2025 FSC-klagomål mail.docx", "A 40886-2025")</f>
        <v/>
      </c>
      <c r="AC42">
        <f>HYPERLINK("https://klasma.github.io/Logging_1980/tillsyn/A 40886-2025 tillsynsbegäran.docx", "A 40886-2025")</f>
        <v/>
      </c>
      <c r="AD42">
        <f>HYPERLINK("https://klasma.github.io/Logging_1980/tillsynsmail/A 40886-2025 tillsynsbegäran mail.docx", "A 40886-2025")</f>
        <v/>
      </c>
    </row>
    <row r="43" ht="15" customHeight="1">
      <c r="A43" t="inlineStr">
        <is>
          <t>A 16374-2025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46225</v>
      </c>
      <c r="F43" t="inlineStr">
        <is>
          <t>VÄSTMANLANDS LÄN</t>
        </is>
      </c>
      <c r="G43" t="inlineStr">
        <is>
          <t>VÄSTERÅS</t>
        </is>
      </c>
      <c r="I43" t="n">
        <v>0.6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Lönnlav</t>
        </is>
      </c>
      <c r="W43">
        <f>HYPERLINK("https://klasma.github.io/Logging_1980/artfynd/A 16374-2025 artfynd.xlsx", "A 16374-2025")</f>
        <v/>
      </c>
      <c r="X43">
        <f>HYPERLINK("https://klasma.github.io/Logging_1980/kartor/A 16374-2025 karta.png", "A 16374-2025")</f>
        <v/>
      </c>
      <c r="Y43">
        <f>HYPERLINK("https://klasma.github.io/Logging_1980/kartor_geotiff/A 16374-2025 georefererad karta.tif", "A 16374-2025")</f>
        <v/>
      </c>
      <c r="AA43">
        <f>HYPERLINK("https://klasma.github.io/Logging_1980/klagomål/A 16374-2025 FSC-klagomål.docx", "A 16374-2025")</f>
        <v/>
      </c>
      <c r="AB43">
        <f>HYPERLINK("https://klasma.github.io/Logging_1980/klagomålsmail/A 16374-2025 FSC-klagomål mail.docx", "A 16374-2025")</f>
        <v/>
      </c>
      <c r="AC43">
        <f>HYPERLINK("https://klasma.github.io/Logging_1980/tillsyn/A 16374-2025 tillsynsbegäran.docx", "A 16374-2025")</f>
        <v/>
      </c>
      <c r="AD43">
        <f>HYPERLINK("https://klasma.github.io/Logging_1980/tillsynsmail/A 16374-2025 tillsynsbegäran mail.docx", "A 16374-2025")</f>
        <v/>
      </c>
    </row>
    <row r="44" ht="15" customHeight="1">
      <c r="A44" t="inlineStr">
        <is>
          <t>A 12058-2026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46086</v>
      </c>
      <c r="E44" s="1" t="n">
        <v>46225</v>
      </c>
      <c r="F44" t="inlineStr">
        <is>
          <t>VÄSTMANLANDS LÄN</t>
        </is>
      </c>
      <c r="G44" t="inlineStr">
        <is>
          <t>VÄSTERÅS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Törnskata</t>
        </is>
      </c>
      <c r="W44">
        <f>HYPERLINK("https://klasma.github.io/Logging_1980/artfynd/A 12058-2026 artfynd.xlsx", "A 12058-2026")</f>
        <v/>
      </c>
      <c r="X44">
        <f>HYPERLINK("https://klasma.github.io/Logging_1980/kartor/A 12058-2026 karta.png", "A 12058-2026")</f>
        <v/>
      </c>
      <c r="Y44">
        <f>HYPERLINK("https://klasma.github.io/Logging_1980/kartor_geotiff/A 12058-2026 georefererad karta.tif", "A 12058-2026")</f>
        <v/>
      </c>
      <c r="AA44">
        <f>HYPERLINK("https://klasma.github.io/Logging_1980/klagomål/A 12058-2026 FSC-klagomål.docx", "A 12058-2026")</f>
        <v/>
      </c>
      <c r="AB44">
        <f>HYPERLINK("https://klasma.github.io/Logging_1980/klagomålsmail/A 12058-2026 FSC-klagomål mail.docx", "A 12058-2026")</f>
        <v/>
      </c>
      <c r="AC44">
        <f>HYPERLINK("https://klasma.github.io/Logging_1980/tillsyn/A 12058-2026 tillsynsbegäran.docx", "A 12058-2026")</f>
        <v/>
      </c>
      <c r="AD44">
        <f>HYPERLINK("https://klasma.github.io/Logging_1980/tillsynsmail/A 12058-2026 tillsynsbegäran mail.docx", "A 12058-2026")</f>
        <v/>
      </c>
      <c r="AE44">
        <f>HYPERLINK("https://klasma.github.io/Logging_1980/fåglar/A 12058-2026 prioriterade fågelarter.docx", "A 12058-2026")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46225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59144-2025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46225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6.3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HYPERLINK("https://klasma.github.io/Logging_1980/artfynd/A 59144-2025 artfynd.xlsx", "A 59144-2025")</f>
        <v/>
      </c>
      <c r="X46">
        <f>HYPERLINK("https://klasma.github.io/Logging_1980/kartor/A 59144-2025 karta.png", "A 59144-2025")</f>
        <v/>
      </c>
      <c r="Y46">
        <f>HYPERLINK("https://klasma.github.io/Logging_1980/kartor_geotiff/A 59144-2025 georefererad karta.tif", "A 59144-2025")</f>
        <v/>
      </c>
      <c r="AA46">
        <f>HYPERLINK("https://klasma.github.io/Logging_1980/klagomål/A 59144-2025 FSC-klagomål.docx", "A 59144-2025")</f>
        <v/>
      </c>
      <c r="AB46">
        <f>HYPERLINK("https://klasma.github.io/Logging_1980/klagomålsmail/A 59144-2025 FSC-klagomål mail.docx", "A 59144-2025")</f>
        <v/>
      </c>
      <c r="AC46">
        <f>HYPERLINK("https://klasma.github.io/Logging_1980/tillsyn/A 59144-2025 tillsynsbegäran.docx", "A 59144-2025")</f>
        <v/>
      </c>
      <c r="AD46">
        <f>HYPERLINK("https://klasma.github.io/Logging_1980/tillsynsmail/A 59144-2025 tillsynsbegäran mail.docx", "A 59144-2025")</f>
        <v/>
      </c>
    </row>
    <row r="47" ht="15" customHeight="1">
      <c r="A47" t="inlineStr">
        <is>
          <t>A 59140-2025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46225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HYPERLINK("https://klasma.github.io/Logging_1980/artfynd/A 59140-2025 artfynd.xlsx", "A 59140-2025")</f>
        <v/>
      </c>
      <c r="X47">
        <f>HYPERLINK("https://klasma.github.io/Logging_1980/kartor/A 59140-2025 karta.png", "A 59140-2025")</f>
        <v/>
      </c>
      <c r="Y47">
        <f>HYPERLINK("https://klasma.github.io/Logging_1980/kartor_geotiff/A 59140-2025 georefererad karta.tif", "A 59140-2025")</f>
        <v/>
      </c>
      <c r="AA47">
        <f>HYPERLINK("https://klasma.github.io/Logging_1980/klagomål/A 59140-2025 FSC-klagomål.docx", "A 59140-2025")</f>
        <v/>
      </c>
      <c r="AB47">
        <f>HYPERLINK("https://klasma.github.io/Logging_1980/klagomålsmail/A 59140-2025 FSC-klagomål mail.docx", "A 59140-2025")</f>
        <v/>
      </c>
      <c r="AC47">
        <f>HYPERLINK("https://klasma.github.io/Logging_1980/tillsyn/A 59140-2025 tillsynsbegäran.docx", "A 59140-2025")</f>
        <v/>
      </c>
      <c r="AD47">
        <f>HYPERLINK("https://klasma.github.io/Logging_1980/tillsynsmail/A 59140-2025 tillsynsbegäran mail.docx", "A 59140-2025")</f>
        <v/>
      </c>
      <c r="AE47">
        <f>HYPERLINK("https://klasma.github.io/Logging_1980/fåglar/A 59140-2025 prioriterade fågelarter.docx", "A 59140-2025")</f>
        <v/>
      </c>
    </row>
    <row r="48" ht="15" customHeight="1">
      <c r="A48" t="inlineStr">
        <is>
          <t>A 1594-2023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44935</v>
      </c>
      <c r="E48" s="1" t="n">
        <v>46225</v>
      </c>
      <c r="F48" t="inlineStr">
        <is>
          <t>VÄSTMANLANDS LÄN</t>
        </is>
      </c>
      <c r="G48" t="inlineStr">
        <is>
          <t>VÄSTERÅS</t>
        </is>
      </c>
      <c r="I48" t="n">
        <v>10.9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Sparvuggla</t>
        </is>
      </c>
      <c r="W48">
        <f>HYPERLINK("https://klasma.github.io/Logging_1980/artfynd/A 1594-2023 artfynd.xlsx", "A 1594-2023")</f>
        <v/>
      </c>
      <c r="X48">
        <f>HYPERLINK("https://klasma.github.io/Logging_1980/kartor/A 1594-2023 karta.png", "A 1594-2023")</f>
        <v/>
      </c>
      <c r="Y48">
        <f>HYPERLINK("https://klasma.github.io/Logging_1980/kartor_geotiff/A 1594-2023 georefererad karta.tif", "A 1594-2023")</f>
        <v/>
      </c>
      <c r="AA48">
        <f>HYPERLINK("https://klasma.github.io/Logging_1980/klagomål/A 1594-2023 FSC-klagomål.docx", "A 1594-2023")</f>
        <v/>
      </c>
      <c r="AB48">
        <f>HYPERLINK("https://klasma.github.io/Logging_1980/klagomålsmail/A 1594-2023 FSC-klagomål mail.docx", "A 1594-2023")</f>
        <v/>
      </c>
      <c r="AC48">
        <f>HYPERLINK("https://klasma.github.io/Logging_1980/tillsyn/A 1594-2023 tillsynsbegäran.docx", "A 1594-2023")</f>
        <v/>
      </c>
      <c r="AD48">
        <f>HYPERLINK("https://klasma.github.io/Logging_1980/tillsynsmail/A 1594-2023 tillsynsbegäran mail.docx", "A 1594-2023")</f>
        <v/>
      </c>
      <c r="AE48">
        <f>HYPERLINK("https://klasma.github.io/Logging_1980/fåglar/A 1594-2023 prioriterade fågelarter.docx", "A 1594-2023")</f>
        <v/>
      </c>
    </row>
    <row r="49" ht="15" customHeight="1">
      <c r="A49" t="inlineStr">
        <is>
          <t>A 29787-2023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46225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Kopparödla</t>
        </is>
      </c>
      <c r="W49">
        <f>HYPERLINK("https://klasma.github.io/Logging_1980/artfynd/A 29787-2023 artfynd.xlsx", "A 29787-2023")</f>
        <v/>
      </c>
      <c r="X49">
        <f>HYPERLINK("https://klasma.github.io/Logging_1980/kartor/A 29787-2023 karta.png", "A 29787-2023")</f>
        <v/>
      </c>
      <c r="Y49">
        <f>HYPERLINK("https://klasma.github.io/Logging_1980/kartor_geotiff/A 29787-2023 georefererad karta.tif", "A 29787-2023")</f>
        <v/>
      </c>
      <c r="AA49">
        <f>HYPERLINK("https://klasma.github.io/Logging_1980/klagomål/A 29787-2023 FSC-klagomål.docx", "A 29787-2023")</f>
        <v/>
      </c>
      <c r="AB49">
        <f>HYPERLINK("https://klasma.github.io/Logging_1980/klagomålsmail/A 29787-2023 FSC-klagomål mail.docx", "A 29787-2023")</f>
        <v/>
      </c>
      <c r="AC49">
        <f>HYPERLINK("https://klasma.github.io/Logging_1980/tillsyn/A 29787-2023 tillsynsbegäran.docx", "A 29787-2023")</f>
        <v/>
      </c>
      <c r="AD49">
        <f>HYPERLINK("https://klasma.github.io/Logging_1980/tillsynsmail/A 29787-2023 tillsynsbegäran mail.docx", "A 29787-2023")</f>
        <v/>
      </c>
    </row>
    <row r="50" ht="15" customHeight="1">
      <c r="A50" t="inlineStr">
        <is>
          <t>A 22378-2026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46225</v>
      </c>
      <c r="F50" t="inlineStr">
        <is>
          <t>VÄSTMANLANDS LÄN</t>
        </is>
      </c>
      <c r="G50" t="inlineStr">
        <is>
          <t>VÄSTERÅS</t>
        </is>
      </c>
      <c r="I50" t="n">
        <v>5.6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HYPERLINK("https://klasma.github.io/Logging_1980/artfynd/A 22378-2026 artfynd.xlsx", "A 22378-2026")</f>
        <v/>
      </c>
      <c r="X50">
        <f>HYPERLINK("https://klasma.github.io/Logging_1980/kartor/A 22378-2026 karta.png", "A 22378-2026")</f>
        <v/>
      </c>
      <c r="Y50">
        <f>HYPERLINK("https://klasma.github.io/Logging_1980/kartor_geotiff/A 22378-2026 georefererad karta.tif", "A 22378-2026")</f>
        <v/>
      </c>
      <c r="AA50">
        <f>HYPERLINK("https://klasma.github.io/Logging_1980/klagomål/A 22378-2026 FSC-klagomål.docx", "A 22378-2026")</f>
        <v/>
      </c>
      <c r="AB50">
        <f>HYPERLINK("https://klasma.github.io/Logging_1980/klagomålsmail/A 22378-2026 FSC-klagomål mail.docx", "A 22378-2026")</f>
        <v/>
      </c>
      <c r="AC50">
        <f>HYPERLINK("https://klasma.github.io/Logging_1980/tillsyn/A 22378-2026 tillsynsbegäran.docx", "A 22378-2026")</f>
        <v/>
      </c>
      <c r="AD50">
        <f>HYPERLINK("https://klasma.github.io/Logging_1980/tillsynsmail/A 22378-2026 tillsynsbegäran mail.docx", "A 22378-2026")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46225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46225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46225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46225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46225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46225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46225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46225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50193-2022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46225</v>
      </c>
      <c r="F59" t="inlineStr">
        <is>
          <t>VÄSTMANLANDS LÄN</t>
        </is>
      </c>
      <c r="G59" t="inlineStr">
        <is>
          <t>VÄSTERÅS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HYPERLINK("https://klasma.github.io/Logging_1980/artfynd/A 50193-2022 artfynd.xlsx", "A 50193-2022")</f>
        <v/>
      </c>
      <c r="X59">
        <f>HYPERLINK("https://klasma.github.io/Logging_1980/kartor/A 50193-2022 karta.png", "A 50193-2022")</f>
        <v/>
      </c>
      <c r="Y59">
        <f>HYPERLINK("https://klasma.github.io/Logging_1980/kartor_geotiff/A 50193-2022 georefererad karta.tif", "A 50193-2022")</f>
        <v/>
      </c>
      <c r="AA59">
        <f>HYPERLINK("https://klasma.github.io/Logging_1980/klagomål/A 50193-2022 FSC-klagomål.docx", "A 50193-2022")</f>
        <v/>
      </c>
      <c r="AB59">
        <f>HYPERLINK("https://klasma.github.io/Logging_1980/klagomålsmail/A 50193-2022 FSC-klagomål mail.docx", "A 50193-2022")</f>
        <v/>
      </c>
      <c r="AC59">
        <f>HYPERLINK("https://klasma.github.io/Logging_1980/tillsyn/A 50193-2022 tillsynsbegäran.docx", "A 50193-2022")</f>
        <v/>
      </c>
      <c r="AD59">
        <f>HYPERLINK("https://klasma.github.io/Logging_1980/tillsynsmail/A 50193-2022 tillsynsbegäran mail.docx", "A 50193-2022")</f>
        <v/>
      </c>
    </row>
    <row r="60" ht="15" customHeight="1">
      <c r="A60" t="inlineStr">
        <is>
          <t>A 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46225</v>
      </c>
      <c r="F60" t="inlineStr">
        <is>
          <t>VÄSTMANLANDS LÄN</t>
        </is>
      </c>
      <c r="G60" t="inlineStr">
        <is>
          <t>VÄSTERÅS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5363-2025 artfynd.xlsx", "A 5363-2025")</f>
        <v/>
      </c>
      <c r="X60">
        <f>HYPERLINK("https://klasma.github.io/Logging_1980/kartor/A 5363-2025 karta.png", "A 5363-2025")</f>
        <v/>
      </c>
      <c r="Y60">
        <f>HYPERLINK("https://klasma.github.io/Logging_1980/kartor_geotiff/A 5363-2025 georefererad karta.tif", "A 5363-2025")</f>
        <v/>
      </c>
      <c r="AA60">
        <f>HYPERLINK("https://klasma.github.io/Logging_1980/klagomål/A 5363-2025 FSC-klagomål.docx", "A 5363-2025")</f>
        <v/>
      </c>
      <c r="AB60">
        <f>HYPERLINK("https://klasma.github.io/Logging_1980/klagomålsmail/A 5363-2025 FSC-klagomål mail.docx", "A 5363-2025")</f>
        <v/>
      </c>
      <c r="AC60">
        <f>HYPERLINK("https://klasma.github.io/Logging_1980/tillsyn/A 5363-2025 tillsynsbegäran.docx", "A 5363-2025")</f>
        <v/>
      </c>
      <c r="AD60">
        <f>HYPERLINK("https://klasma.github.io/Logging_1980/tillsynsmail/A 5363-2025 tillsynsbegäran mail.docx", "A 5363-2025")</f>
        <v/>
      </c>
    </row>
    <row r="61" ht="15" customHeight="1">
      <c r="A61" t="inlineStr">
        <is>
          <t>A 61254-2023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45264</v>
      </c>
      <c r="E61" s="1" t="n">
        <v>46225</v>
      </c>
      <c r="F61" t="inlineStr">
        <is>
          <t>VÄSTMANLANDS LÄN</t>
        </is>
      </c>
      <c r="G61" t="inlineStr">
        <is>
          <t>VÄSTERÅS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Mistel</t>
        </is>
      </c>
      <c r="W61">
        <f>HYPERLINK("https://klasma.github.io/Logging_1980/artfynd/A 61254-2023 artfynd.xlsx", "A 61254-2023")</f>
        <v/>
      </c>
      <c r="X61">
        <f>HYPERLINK("https://klasma.github.io/Logging_1980/kartor/A 61254-2023 karta.png", "A 61254-2023")</f>
        <v/>
      </c>
      <c r="Y61">
        <f>HYPERLINK("https://klasma.github.io/Logging_1980/kartor_geotiff/A 61254-2023 georefererad karta.tif", "A 61254-2023")</f>
        <v/>
      </c>
      <c r="AA61">
        <f>HYPERLINK("https://klasma.github.io/Logging_1980/klagomål/A 61254-2023 FSC-klagomål.docx", "A 61254-2023")</f>
        <v/>
      </c>
      <c r="AB61">
        <f>HYPERLINK("https://klasma.github.io/Logging_1980/klagomålsmail/A 61254-2023 FSC-klagomål mail.docx", "A 61254-2023")</f>
        <v/>
      </c>
      <c r="AC61">
        <f>HYPERLINK("https://klasma.github.io/Logging_1980/tillsyn/A 61254-2023 tillsynsbegäran.docx", "A 61254-2023")</f>
        <v/>
      </c>
      <c r="AD61">
        <f>HYPERLINK("https://klasma.github.io/Logging_1980/tillsynsmail/A 61254-2023 tillsynsbegäran mail.docx", "A 61254-2023")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46225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46225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46225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46225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46225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46225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46225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46225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46225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46225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46225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46225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46225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46225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46225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46225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46225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46225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46225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46225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46225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46225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46225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46225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46225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46225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46225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46225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46225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46225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46225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46225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46225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18457-2023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45042</v>
      </c>
      <c r="E95" s="1" t="n">
        <v>46225</v>
      </c>
      <c r="F95" t="inlineStr">
        <is>
          <t>VÄSTMANLANDS LÄN</t>
        </is>
      </c>
      <c r="G95" t="inlineStr">
        <is>
          <t>VÄSTERÅS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44825</v>
      </c>
      <c r="E96" s="1" t="n">
        <v>46225</v>
      </c>
      <c r="F96" t="inlineStr">
        <is>
          <t>VÄSTMANLANDS LÄN</t>
        </is>
      </c>
      <c r="G96" t="inlineStr">
        <is>
          <t>VÄSTERÅS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46225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45414</v>
      </c>
      <c r="E98" s="1" t="n">
        <v>46225</v>
      </c>
      <c r="F98" t="inlineStr">
        <is>
          <t>VÄSTMANLANDS LÄN</t>
        </is>
      </c>
      <c r="G98" t="inlineStr">
        <is>
          <t>VÄSTERÅS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44792</v>
      </c>
      <c r="E99" s="1" t="n">
        <v>46225</v>
      </c>
      <c r="F99" t="inlineStr">
        <is>
          <t>VÄSTMANLANDS LÄN</t>
        </is>
      </c>
      <c r="G99" t="inlineStr">
        <is>
          <t>VÄSTERÅS</t>
        </is>
      </c>
      <c r="I99" t="n">
        <v>9.6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46225</v>
      </c>
      <c r="F100" t="inlineStr">
        <is>
          <t>VÄSTMANLANDS LÄN</t>
        </is>
      </c>
      <c r="G100" t="inlineStr">
        <is>
          <t>VÄSTERÅS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46225</v>
      </c>
      <c r="F101" t="inlineStr">
        <is>
          <t>VÄSTMANLANDS LÄN</t>
        </is>
      </c>
      <c r="G101" t="inlineStr">
        <is>
          <t>VÄSTERÅS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45296</v>
      </c>
      <c r="E102" s="1" t="n">
        <v>46225</v>
      </c>
      <c r="F102" t="inlineStr">
        <is>
          <t>VÄSTMANLANDS LÄN</t>
        </is>
      </c>
      <c r="G102" t="inlineStr">
        <is>
          <t>VÄSTERÅS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45223</v>
      </c>
      <c r="E103" s="1" t="n">
        <v>46225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46225</v>
      </c>
      <c r="F104" t="inlineStr">
        <is>
          <t>VÄSTMANLANDS LÄN</t>
        </is>
      </c>
      <c r="G104" t="inlineStr">
        <is>
          <t>VÄSTERÅS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23455-2024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45453</v>
      </c>
      <c r="E105" s="1" t="n">
        <v>46225</v>
      </c>
      <c r="F105" t="inlineStr">
        <is>
          <t>VÄSTMANLANDS LÄN</t>
        </is>
      </c>
      <c r="G105" t="inlineStr">
        <is>
          <t>VÄSTERÅS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39127-2022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44816</v>
      </c>
      <c r="E106" s="1" t="n">
        <v>46225</v>
      </c>
      <c r="F106" t="inlineStr">
        <is>
          <t>VÄSTMANLANDS LÄN</t>
        </is>
      </c>
      <c r="G106" t="inlineStr">
        <is>
          <t>VÄSTERÅS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46225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56980-2021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44482</v>
      </c>
      <c r="E108" s="1" t="n">
        <v>46225</v>
      </c>
      <c r="F108" t="inlineStr">
        <is>
          <t>VÄSTMANLANDS LÄN</t>
        </is>
      </c>
      <c r="G108" t="inlineStr">
        <is>
          <t>VÄSTERÅS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24572-2023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45083</v>
      </c>
      <c r="E109" s="1" t="n">
        <v>46225</v>
      </c>
      <c r="F109" t="inlineStr">
        <is>
          <t>VÄSTMANLANDS LÄN</t>
        </is>
      </c>
      <c r="G109" t="inlineStr">
        <is>
          <t>VÄSTERÅS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44847</v>
      </c>
      <c r="E110" s="1" t="n">
        <v>46225</v>
      </c>
      <c r="F110" t="inlineStr">
        <is>
          <t>VÄSTMANLANDS LÄN</t>
        </is>
      </c>
      <c r="G110" t="inlineStr">
        <is>
          <t>VÄSTERÅS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46225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44874</v>
      </c>
      <c r="E112" s="1" t="n">
        <v>46225</v>
      </c>
      <c r="F112" t="inlineStr">
        <is>
          <t>VÄSTMANLANDS LÄN</t>
        </is>
      </c>
      <c r="G112" t="inlineStr">
        <is>
          <t>VÄSTERÅS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45019</v>
      </c>
      <c r="E113" s="1" t="n">
        <v>46225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61069-2022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46225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64208-2023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46225</v>
      </c>
      <c r="F115" t="inlineStr">
        <is>
          <t>VÄSTMANLANDS LÄN</t>
        </is>
      </c>
      <c r="G115" t="inlineStr">
        <is>
          <t>VÄSTERÅS</t>
        </is>
      </c>
      <c r="I115" t="n">
        <v>13.9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18482-2023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45042</v>
      </c>
      <c r="E116" s="1" t="n">
        <v>46225</v>
      </c>
      <c r="F116" t="inlineStr">
        <is>
          <t>VÄSTMANLANDS LÄN</t>
        </is>
      </c>
      <c r="G116" t="inlineStr">
        <is>
          <t>VÄSTERÅS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45232</v>
      </c>
      <c r="E117" s="1" t="n">
        <v>46225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37.9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46225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56076-2023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45235</v>
      </c>
      <c r="E119" s="1" t="n">
        <v>46225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37.8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50996-2024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46225</v>
      </c>
      <c r="F120" t="inlineStr">
        <is>
          <t>VÄSTMANLANDS LÄN</t>
        </is>
      </c>
      <c r="G120" t="inlineStr">
        <is>
          <t>VÄSTERÅS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46225</v>
      </c>
      <c r="F121" t="inlineStr">
        <is>
          <t>VÄSTMANLANDS LÄN</t>
        </is>
      </c>
      <c r="G121" t="inlineStr">
        <is>
          <t>VÄSTERÅS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46225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46225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46225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46225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46225</v>
      </c>
      <c r="F126" t="inlineStr">
        <is>
          <t>VÄSTMANLANDS LÄN</t>
        </is>
      </c>
      <c r="G126" t="inlineStr">
        <is>
          <t>VÄSTERÅS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46225</v>
      </c>
      <c r="F127" t="inlineStr">
        <is>
          <t>VÄSTMANLANDS LÄN</t>
        </is>
      </c>
      <c r="G127" t="inlineStr">
        <is>
          <t>VÄSTERÅS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46225</v>
      </c>
      <c r="F128" t="inlineStr">
        <is>
          <t>VÄSTMANLANDS LÄN</t>
        </is>
      </c>
      <c r="G128" t="inlineStr">
        <is>
          <t>VÄSTERÅS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7797-2026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46062</v>
      </c>
      <c r="E129" s="1" t="n">
        <v>46225</v>
      </c>
      <c r="F129" t="inlineStr">
        <is>
          <t>VÄSTMANLANDS LÄN</t>
        </is>
      </c>
      <c r="G129" t="inlineStr">
        <is>
          <t>VÄSTERÅS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46225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46225</v>
      </c>
      <c r="F131" t="inlineStr">
        <is>
          <t>VÄSTMANLANDS LÄN</t>
        </is>
      </c>
      <c r="G131" t="inlineStr">
        <is>
          <t>VÄSTERÅS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46066</v>
      </c>
      <c r="E132" s="1" t="n">
        <v>46225</v>
      </c>
      <c r="F132" t="inlineStr">
        <is>
          <t>VÄSTMANLANDS LÄN</t>
        </is>
      </c>
      <c r="G132" t="inlineStr">
        <is>
          <t>VÄSTERÅS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46066</v>
      </c>
      <c r="E133" s="1" t="n">
        <v>46225</v>
      </c>
      <c r="F133" t="inlineStr">
        <is>
          <t>VÄSTMANLANDS LÄN</t>
        </is>
      </c>
      <c r="G133" t="inlineStr">
        <is>
          <t>VÄSTERÅS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46225</v>
      </c>
      <c r="F134" t="inlineStr">
        <is>
          <t>VÄSTMANLANDS LÄN</t>
        </is>
      </c>
      <c r="G134" t="inlineStr">
        <is>
          <t>VÄSTERÅS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45516</v>
      </c>
      <c r="E135" s="1" t="n">
        <v>46225</v>
      </c>
      <c r="F135" t="inlineStr">
        <is>
          <t>VÄSTMANLANDS LÄN</t>
        </is>
      </c>
      <c r="G135" t="inlineStr">
        <is>
          <t>VÄSTERÅS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53833-2022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46225</v>
      </c>
      <c r="F136" t="inlineStr">
        <is>
          <t>VÄSTMANLANDS LÄN</t>
        </is>
      </c>
      <c r="G136" t="inlineStr">
        <is>
          <t>VÄSTERÅS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46079</v>
      </c>
      <c r="E137" s="1" t="n">
        <v>46225</v>
      </c>
      <c r="F137" t="inlineStr">
        <is>
          <t>VÄSTMANLANDS LÄN</t>
        </is>
      </c>
      <c r="G137" t="inlineStr">
        <is>
          <t>VÄSTERÅS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44880</v>
      </c>
      <c r="E138" s="1" t="n">
        <v>46225</v>
      </c>
      <c r="F138" t="inlineStr">
        <is>
          <t>VÄSTMANLANDS LÄN</t>
        </is>
      </c>
      <c r="G138" t="inlineStr">
        <is>
          <t>VÄSTERÅS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46225</v>
      </c>
      <c r="F139" t="inlineStr">
        <is>
          <t>VÄSTMANLANDS LÄN</t>
        </is>
      </c>
      <c r="G139" t="inlineStr">
        <is>
          <t>VÄSTERÅS</t>
        </is>
      </c>
      <c r="I139" t="n">
        <v>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52027-2025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45952</v>
      </c>
      <c r="E140" s="1" t="n">
        <v>46225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statliga verk och myndigheter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46225</v>
      </c>
      <c r="F141" t="inlineStr">
        <is>
          <t>VÄSTMANLANDS LÄN</t>
        </is>
      </c>
      <c r="G141" t="inlineStr">
        <is>
          <t>VÄSTERÅS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46225</v>
      </c>
      <c r="F142" t="inlineStr">
        <is>
          <t>VÄSTMANLANDS LÄN</t>
        </is>
      </c>
      <c r="G142" t="inlineStr">
        <is>
          <t>VÄSTERÅS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46225</v>
      </c>
      <c r="F143" t="inlineStr">
        <is>
          <t>VÄSTMANLANDS LÄN</t>
        </is>
      </c>
      <c r="G143" t="inlineStr">
        <is>
          <t>VÄSTERÅS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46225</v>
      </c>
      <c r="F144" t="inlineStr">
        <is>
          <t>VÄSTMANLANDS LÄN</t>
        </is>
      </c>
      <c r="G144" t="inlineStr">
        <is>
          <t>VÄSTERÅS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46225</v>
      </c>
      <c r="F145" t="inlineStr">
        <is>
          <t>VÄSTMANLANDS LÄN</t>
        </is>
      </c>
      <c r="G145" t="inlineStr">
        <is>
          <t>VÄSTERÅS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46225</v>
      </c>
      <c r="F146" t="inlineStr">
        <is>
          <t>VÄSTMANLANDS LÄN</t>
        </is>
      </c>
      <c r="G146" t="inlineStr">
        <is>
          <t>VÄSTERÅS</t>
        </is>
      </c>
      <c r="I146" t="n">
        <v>20.3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46225</v>
      </c>
      <c r="F147" t="inlineStr">
        <is>
          <t>VÄSTMANLANDS LÄN</t>
        </is>
      </c>
      <c r="G147" t="inlineStr">
        <is>
          <t>VÄSTERÅS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46225</v>
      </c>
      <c r="F148" t="inlineStr">
        <is>
          <t>VÄSTMANLANDS LÄN</t>
        </is>
      </c>
      <c r="G148" t="inlineStr">
        <is>
          <t>VÄSTERÅS</t>
        </is>
      </c>
      <c r="H148" t="inlineStr">
        <is>
          <t>Övriga statliga verk och myndigheter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46091</v>
      </c>
      <c r="E149" s="1" t="n">
        <v>46225</v>
      </c>
      <c r="F149" t="inlineStr">
        <is>
          <t>VÄSTMANLANDS LÄN</t>
        </is>
      </c>
      <c r="G149" t="inlineStr">
        <is>
          <t>VÄSTERÅS</t>
        </is>
      </c>
      <c r="I149" t="n">
        <v>5.9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57873-2022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44899</v>
      </c>
      <c r="E150" s="1" t="n">
        <v>46225</v>
      </c>
      <c r="F150" t="inlineStr">
        <is>
          <t>VÄSTMANLANDS LÄN</t>
        </is>
      </c>
      <c r="G150" t="inlineStr">
        <is>
          <t>VÄSTERÅS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46225</v>
      </c>
      <c r="F151" t="inlineStr">
        <is>
          <t>VÄSTMANLANDS LÄN</t>
        </is>
      </c>
      <c r="G151" t="inlineStr">
        <is>
          <t>VÄSTERÅS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46225</v>
      </c>
      <c r="F152" t="inlineStr">
        <is>
          <t>VÄSTMANLANDS LÄN</t>
        </is>
      </c>
      <c r="G152" t="inlineStr">
        <is>
          <t>VÄSTERÅS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14885-2026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46104</v>
      </c>
      <c r="E153" s="1" t="n">
        <v>46225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46080</v>
      </c>
      <c r="E154" s="1" t="n">
        <v>46225</v>
      </c>
      <c r="F154" t="inlineStr">
        <is>
          <t>VÄSTMANLANDS LÄN</t>
        </is>
      </c>
      <c r="G154" t="inlineStr">
        <is>
          <t>VÄSTERÅS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46080</v>
      </c>
      <c r="E155" s="1" t="n">
        <v>46225</v>
      </c>
      <c r="F155" t="inlineStr">
        <is>
          <t>VÄSTMANLANDS LÄN</t>
        </is>
      </c>
      <c r="G155" t="inlineStr">
        <is>
          <t>VÄSTERÅS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46225</v>
      </c>
      <c r="F156" t="inlineStr">
        <is>
          <t>VÄSTMANLANDS LÄN</t>
        </is>
      </c>
      <c r="G156" t="inlineStr">
        <is>
          <t>VÄSTERÅS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46225</v>
      </c>
      <c r="F157" t="inlineStr">
        <is>
          <t>VÄSTMANLANDS LÄN</t>
        </is>
      </c>
      <c r="G157" t="inlineStr">
        <is>
          <t>VÄSTERÅS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46225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46225</v>
      </c>
      <c r="F159" t="inlineStr">
        <is>
          <t>VÄSTMANLANDS LÄN</t>
        </is>
      </c>
      <c r="G159" t="inlineStr">
        <is>
          <t>VÄSTERÅS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46225</v>
      </c>
      <c r="F160" t="inlineStr">
        <is>
          <t>VÄSTMANLANDS LÄN</t>
        </is>
      </c>
      <c r="G160" t="inlineStr">
        <is>
          <t>VÄSTERÅS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46225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46225</v>
      </c>
      <c r="F162" t="inlineStr">
        <is>
          <t>VÄSTMANLANDS LÄN</t>
        </is>
      </c>
      <c r="G162" t="inlineStr">
        <is>
          <t>VÄSTERÅS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46225</v>
      </c>
      <c r="F163" t="inlineStr">
        <is>
          <t>VÄSTMANLANDS LÄN</t>
        </is>
      </c>
      <c r="G163" t="inlineStr">
        <is>
          <t>VÄSTERÅS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46225</v>
      </c>
      <c r="F164" t="inlineStr">
        <is>
          <t>VÄSTMANLANDS LÄN</t>
        </is>
      </c>
      <c r="G164" t="inlineStr">
        <is>
          <t>VÄSTERÅS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46225</v>
      </c>
      <c r="F165" t="inlineStr">
        <is>
          <t>VÄSTMANLANDS LÄN</t>
        </is>
      </c>
      <c r="G165" t="inlineStr">
        <is>
          <t>VÄSTERÅS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45366</v>
      </c>
      <c r="E166" s="1" t="n">
        <v>46225</v>
      </c>
      <c r="F166" t="inlineStr">
        <is>
          <t>VÄSTMANLANDS LÄN</t>
        </is>
      </c>
      <c r="G166" t="inlineStr">
        <is>
          <t>VÄSTERÅS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16579-2026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46225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Sveaskog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46112</v>
      </c>
      <c r="E168" s="1" t="n">
        <v>46225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17657-2026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46121</v>
      </c>
      <c r="E169" s="1" t="n">
        <v>46225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Kommuner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46120</v>
      </c>
      <c r="E170" s="1" t="n">
        <v>46225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Allmännings- och besparingsskogar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44914</v>
      </c>
      <c r="E171" s="1" t="n">
        <v>46225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44936</v>
      </c>
      <c r="E172" s="1" t="n">
        <v>46225</v>
      </c>
      <c r="F172" t="inlineStr">
        <is>
          <t>VÄSTMANLANDS LÄN</t>
        </is>
      </c>
      <c r="G172" t="inlineStr">
        <is>
          <t>VÄSTERÅS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55980-2025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46225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46225</v>
      </c>
      <c r="F174" t="inlineStr">
        <is>
          <t>VÄSTMANLANDS LÄN</t>
        </is>
      </c>
      <c r="G174" t="inlineStr">
        <is>
          <t>VÄSTERÅS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19791-2026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46135</v>
      </c>
      <c r="E175" s="1" t="n">
        <v>46225</v>
      </c>
      <c r="F175" t="inlineStr">
        <is>
          <t>VÄSTMANLANDS LÄN</t>
        </is>
      </c>
      <c r="G175" t="inlineStr">
        <is>
          <t>VÄSTERÅS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46225</v>
      </c>
      <c r="F176" t="inlineStr">
        <is>
          <t>VÄSTMANLANDS LÄN</t>
        </is>
      </c>
      <c r="G176" t="inlineStr">
        <is>
          <t>VÄSTERÅS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46225</v>
      </c>
      <c r="F177" t="inlineStr">
        <is>
          <t>VÄSTMANLANDS LÄN</t>
        </is>
      </c>
      <c r="G177" t="inlineStr">
        <is>
          <t>VÄSTERÅS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44636</v>
      </c>
      <c r="E178" s="1" t="n">
        <v>46225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Kommuner</t>
        </is>
      </c>
      <c r="I178" t="n">
        <v>12.9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44636</v>
      </c>
      <c r="E179" s="1" t="n">
        <v>46225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47101-2025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45929</v>
      </c>
      <c r="E180" s="1" t="n">
        <v>46225</v>
      </c>
      <c r="F180" t="inlineStr">
        <is>
          <t>VÄSTMANLANDS LÄN</t>
        </is>
      </c>
      <c r="G180" t="inlineStr">
        <is>
          <t>VÄSTERÅS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46136</v>
      </c>
      <c r="E181" s="1" t="n">
        <v>46225</v>
      </c>
      <c r="F181" t="inlineStr">
        <is>
          <t>VÄSTMANLANDS LÄN</t>
        </is>
      </c>
      <c r="G181" t="inlineStr">
        <is>
          <t>VÄSTERÅS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46225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42659-2021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44428</v>
      </c>
      <c r="E183" s="1" t="n">
        <v>46225</v>
      </c>
      <c r="F183" t="inlineStr">
        <is>
          <t>VÄSTMANLANDS LÄN</t>
        </is>
      </c>
      <c r="G183" t="inlineStr">
        <is>
          <t>VÄSTERÅS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17808-2023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45037</v>
      </c>
      <c r="E184" s="1" t="n">
        <v>46225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26751-2026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46225</v>
      </c>
      <c r="F185" t="inlineStr">
        <is>
          <t>VÄSTMANLANDS LÄN</t>
        </is>
      </c>
      <c r="G185" t="inlineStr">
        <is>
          <t>VÄSTERÅS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12612-2023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44999</v>
      </c>
      <c r="E186" s="1" t="n">
        <v>46225</v>
      </c>
      <c r="F186" t="inlineStr">
        <is>
          <t>VÄSTMANLANDS LÄN</t>
        </is>
      </c>
      <c r="G186" t="inlineStr">
        <is>
          <t>VÄSTERÅS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46225</v>
      </c>
      <c r="F187" t="inlineStr">
        <is>
          <t>VÄSTMANLANDS LÄN</t>
        </is>
      </c>
      <c r="G187" t="inlineStr">
        <is>
          <t>VÄSTERÅS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22978-2022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44717</v>
      </c>
      <c r="E188" s="1" t="n">
        <v>46225</v>
      </c>
      <c r="F188" t="inlineStr">
        <is>
          <t>VÄSTMANLANDS LÄN</t>
        </is>
      </c>
      <c r="G188" t="inlineStr">
        <is>
          <t>VÄSTERÅS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46225</v>
      </c>
      <c r="F189" t="inlineStr">
        <is>
          <t>VÄSTMANLANDS LÄN</t>
        </is>
      </c>
      <c r="G189" t="inlineStr">
        <is>
          <t>VÄSTERÅS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46225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Allmännings- och besparingsskogar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46225</v>
      </c>
      <c r="F191" t="inlineStr">
        <is>
          <t>VÄSTMANLANDS LÄN</t>
        </is>
      </c>
      <c r="G191" t="inlineStr">
        <is>
          <t>VÄSTERÅS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44662</v>
      </c>
      <c r="E192" s="1" t="n">
        <v>46225</v>
      </c>
      <c r="F192" t="inlineStr">
        <is>
          <t>VÄSTMANLANDS LÄN</t>
        </is>
      </c>
      <c r="G192" t="inlineStr">
        <is>
          <t>VÄSTERÅS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46190</v>
      </c>
      <c r="E193" s="1" t="n">
        <v>46225</v>
      </c>
      <c r="F193" t="inlineStr">
        <is>
          <t>VÄSTMANLANDS LÄN</t>
        </is>
      </c>
      <c r="G193" t="inlineStr">
        <is>
          <t>VÄSTERÅS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63851-2021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44509</v>
      </c>
      <c r="E194" s="1" t="n">
        <v>46225</v>
      </c>
      <c r="F194" t="inlineStr">
        <is>
          <t>VÄSTMANLANDS LÄN</t>
        </is>
      </c>
      <c r="G194" t="inlineStr">
        <is>
          <t>VÄSTERÅS</t>
        </is>
      </c>
      <c r="I194" t="n">
        <v>11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46225</v>
      </c>
      <c r="F195" t="inlineStr">
        <is>
          <t>VÄSTMANLANDS LÄN</t>
        </is>
      </c>
      <c r="G195" t="inlineStr">
        <is>
          <t>VÄSTERÅS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21758-2026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46225</v>
      </c>
      <c r="F196" t="inlineStr">
        <is>
          <t>VÄSTMANLANDS LÄN</t>
        </is>
      </c>
      <c r="G196" t="inlineStr">
        <is>
          <t>VÄSTERÅS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59740-2024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45639</v>
      </c>
      <c r="E197" s="1" t="n">
        <v>46225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46225</v>
      </c>
      <c r="F198" t="inlineStr">
        <is>
          <t>VÄSTMANLANDS LÄN</t>
        </is>
      </c>
      <c r="G198" t="inlineStr">
        <is>
          <t>VÄSTERÅS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46225</v>
      </c>
      <c r="F199" t="inlineStr">
        <is>
          <t>VÄSTMANLANDS LÄN</t>
        </is>
      </c>
      <c r="G199" t="inlineStr">
        <is>
          <t>VÄSTERÅS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46225</v>
      </c>
      <c r="F200" t="inlineStr">
        <is>
          <t>VÄSTMANLANDS LÄN</t>
        </is>
      </c>
      <c r="G200" t="inlineStr">
        <is>
          <t>VÄSTERÅS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45628</v>
      </c>
      <c r="E201" s="1" t="n">
        <v>46225</v>
      </c>
      <c r="F201" t="inlineStr">
        <is>
          <t>VÄSTMANLANDS LÄN</t>
        </is>
      </c>
      <c r="G201" t="inlineStr">
        <is>
          <t>VÄSTERÅS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22291-2026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46154</v>
      </c>
      <c r="E202" s="1" t="n">
        <v>46225</v>
      </c>
      <c r="F202" t="inlineStr">
        <is>
          <t>VÄSTMANLANDS LÄN</t>
        </is>
      </c>
      <c r="G202" t="inlineStr">
        <is>
          <t>VÄSTERÅS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22294-2026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46225</v>
      </c>
      <c r="F203" t="inlineStr">
        <is>
          <t>VÄSTMANLANDS LÄN</t>
        </is>
      </c>
      <c r="G203" t="inlineStr">
        <is>
          <t>VÄSTERÅS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45027</v>
      </c>
      <c r="E204" s="1" t="n">
        <v>46225</v>
      </c>
      <c r="F204" t="inlineStr">
        <is>
          <t>VÄSTMANLANDS LÄN</t>
        </is>
      </c>
      <c r="G204" t="inlineStr">
        <is>
          <t>VÄSTERÅS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45027</v>
      </c>
      <c r="E205" s="1" t="n">
        <v>46225</v>
      </c>
      <c r="F205" t="inlineStr">
        <is>
          <t>VÄSTMANLANDS LÄN</t>
        </is>
      </c>
      <c r="G205" t="inlineStr">
        <is>
          <t>VÄSTERÅS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46225</v>
      </c>
      <c r="F206" t="inlineStr">
        <is>
          <t>VÄSTMANLANDS LÄN</t>
        </is>
      </c>
      <c r="G206" t="inlineStr">
        <is>
          <t>VÄSTERÅS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46154</v>
      </c>
      <c r="E207" s="1" t="n">
        <v>46225</v>
      </c>
      <c r="F207" t="inlineStr">
        <is>
          <t>VÄSTMANLANDS LÄN</t>
        </is>
      </c>
      <c r="G207" t="inlineStr">
        <is>
          <t>VÄSTERÅS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28341-2026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46196</v>
      </c>
      <c r="E208" s="1" t="n">
        <v>46225</v>
      </c>
      <c r="F208" t="inlineStr">
        <is>
          <t>VÄSTMANLANDS LÄN</t>
        </is>
      </c>
      <c r="G208" t="inlineStr">
        <is>
          <t>VÄSTERÅS</t>
        </is>
      </c>
      <c r="I208" t="n">
        <v>14.1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46225</v>
      </c>
      <c r="F209" t="inlineStr">
        <is>
          <t>VÄSTMANLANDS LÄN</t>
        </is>
      </c>
      <c r="G209" t="inlineStr">
        <is>
          <t>VÄSTERÅS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44999</v>
      </c>
      <c r="E210" s="1" t="n">
        <v>46225</v>
      </c>
      <c r="F210" t="inlineStr">
        <is>
          <t>VÄSTMANLANDS LÄN</t>
        </is>
      </c>
      <c r="G210" t="inlineStr">
        <is>
          <t>VÄSTERÅS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27271-2026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46225</v>
      </c>
      <c r="F211" t="inlineStr">
        <is>
          <t>VÄSTMANLANDS LÄN</t>
        </is>
      </c>
      <c r="G211" t="inlineStr">
        <is>
          <t>VÄSTERÅS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52015-2024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45607</v>
      </c>
      <c r="E212" s="1" t="n">
        <v>46225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3118-2022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44582</v>
      </c>
      <c r="E213" s="1" t="n">
        <v>46225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Övriga Aktiebolag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45019</v>
      </c>
      <c r="E214" s="1" t="n">
        <v>46225</v>
      </c>
      <c r="F214" t="inlineStr">
        <is>
          <t>VÄSTMANLANDS LÄN</t>
        </is>
      </c>
      <c r="G214" t="inlineStr">
        <is>
          <t>VÄSTERÅS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45761</v>
      </c>
      <c r="E215" s="1" t="n">
        <v>46225</v>
      </c>
      <c r="F215" t="inlineStr">
        <is>
          <t>VÄSTMANLANDS LÄN</t>
        </is>
      </c>
      <c r="G215" t="inlineStr">
        <is>
          <t>VÄSTERÅS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45705</v>
      </c>
      <c r="E216" s="1" t="n">
        <v>46225</v>
      </c>
      <c r="F216" t="inlineStr">
        <is>
          <t>VÄSTMANLANDS LÄN</t>
        </is>
      </c>
      <c r="G216" t="inlineStr">
        <is>
          <t>VÄSTERÅS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46162</v>
      </c>
      <c r="E217" s="1" t="n">
        <v>46225</v>
      </c>
      <c r="F217" t="inlineStr">
        <is>
          <t>VÄSTMANLANDS LÄN</t>
        </is>
      </c>
      <c r="G217" t="inlineStr">
        <is>
          <t>VÄSTERÅS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46163</v>
      </c>
      <c r="E218" s="1" t="n">
        <v>46225</v>
      </c>
      <c r="F218" t="inlineStr">
        <is>
          <t>VÄSTMANLANDS LÄN</t>
        </is>
      </c>
      <c r="G218" t="inlineStr">
        <is>
          <t>VÄSTERÅS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44695-2022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44840</v>
      </c>
      <c r="E219" s="1" t="n">
        <v>46225</v>
      </c>
      <c r="F219" t="inlineStr">
        <is>
          <t>VÄSTMANLANDS LÄN</t>
        </is>
      </c>
      <c r="G219" t="inlineStr">
        <is>
          <t>VÄSTERÅS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45077</v>
      </c>
      <c r="E220" s="1" t="n">
        <v>46225</v>
      </c>
      <c r="F220" t="inlineStr">
        <is>
          <t>VÄSTMANLANDS LÄN</t>
        </is>
      </c>
      <c r="G220" t="inlineStr">
        <is>
          <t>VÄSTERÅS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46225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46225</v>
      </c>
      <c r="F222" t="inlineStr">
        <is>
          <t>VÄSTMANLANDS LÄN</t>
        </is>
      </c>
      <c r="G222" t="inlineStr">
        <is>
          <t>VÄSTERÅS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46169</v>
      </c>
      <c r="E223" s="1" t="n">
        <v>46225</v>
      </c>
      <c r="F223" t="inlineStr">
        <is>
          <t>VÄSTMANLANDS LÄN</t>
        </is>
      </c>
      <c r="G223" t="inlineStr">
        <is>
          <t>VÄSTERÅS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24321-2026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46169</v>
      </c>
      <c r="E224" s="1" t="n">
        <v>46225</v>
      </c>
      <c r="F224" t="inlineStr">
        <is>
          <t>VÄSTMANLANDS LÄN</t>
        </is>
      </c>
      <c r="G224" t="inlineStr">
        <is>
          <t>VÄSTERÅS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46169</v>
      </c>
      <c r="E225" s="1" t="n">
        <v>46225</v>
      </c>
      <c r="F225" t="inlineStr">
        <is>
          <t>VÄSTMANLANDS LÄN</t>
        </is>
      </c>
      <c r="G225" t="inlineStr">
        <is>
          <t>VÄSTERÅS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45274</v>
      </c>
      <c r="E226" s="1" t="n">
        <v>46225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46213</v>
      </c>
      <c r="E227" s="1" t="n">
        <v>46225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31062-2026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46215</v>
      </c>
      <c r="E228" s="1" t="n">
        <v>46225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46225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46215</v>
      </c>
      <c r="E230" s="1" t="n">
        <v>46225</v>
      </c>
      <c r="F230" t="inlineStr">
        <is>
          <t>VÄSTMANLANDS LÄN</t>
        </is>
      </c>
      <c r="G230" t="inlineStr">
        <is>
          <t>VÄSTERÅS</t>
        </is>
      </c>
      <c r="H230" t="inlineStr">
        <is>
          <t>Sveaskog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46215</v>
      </c>
      <c r="E231" s="1" t="n">
        <v>46225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46225</v>
      </c>
      <c r="F232" t="inlineStr">
        <is>
          <t>VÄSTMANLANDS LÄN</t>
        </is>
      </c>
      <c r="G232" t="inlineStr">
        <is>
          <t>VÄSTERÅS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46215</v>
      </c>
      <c r="E233" s="1" t="n">
        <v>46225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52396-2022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44874</v>
      </c>
      <c r="E234" s="1" t="n">
        <v>46225</v>
      </c>
      <c r="F234" t="inlineStr">
        <is>
          <t>VÄSTMANLANDS LÄN</t>
        </is>
      </c>
      <c r="G234" t="inlineStr">
        <is>
          <t>VÄSTERÅS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24540-2026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46225</v>
      </c>
      <c r="F235" t="inlineStr">
        <is>
          <t>VÄSTMANLANDS LÄN</t>
        </is>
      </c>
      <c r="G235" t="inlineStr">
        <is>
          <t>VÄSTERÅS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46215</v>
      </c>
      <c r="E236" s="1" t="n">
        <v>46225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45223</v>
      </c>
      <c r="E237" s="1" t="n">
        <v>46225</v>
      </c>
      <c r="F237" t="inlineStr">
        <is>
          <t>VÄSTMANLANDS LÄN</t>
        </is>
      </c>
      <c r="G237" t="inlineStr">
        <is>
          <t>VÄSTERÅS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58085-2022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46225</v>
      </c>
      <c r="F238" t="inlineStr">
        <is>
          <t>VÄSTMANLANDS LÄN</t>
        </is>
      </c>
      <c r="G238" t="inlineStr">
        <is>
          <t>VÄSTERÅS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30096-2023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45110</v>
      </c>
      <c r="E239" s="1" t="n">
        <v>46225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64207-2023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46225</v>
      </c>
      <c r="F240" t="inlineStr">
        <is>
          <t>VÄSTMANLANDS LÄN</t>
        </is>
      </c>
      <c r="G240" t="inlineStr">
        <is>
          <t>VÄSTERÅS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45222</v>
      </c>
      <c r="E241" s="1" t="n">
        <v>46225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31232-2026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46217</v>
      </c>
      <c r="E242" s="1" t="n">
        <v>46225</v>
      </c>
      <c r="F242" t="inlineStr">
        <is>
          <t>VÄSTMANLANDS LÄN</t>
        </is>
      </c>
      <c r="G242" t="inlineStr">
        <is>
          <t>VÄSTERÅS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46225</v>
      </c>
      <c r="F243" t="inlineStr">
        <is>
          <t>VÄSTMANLANDS LÄN</t>
        </is>
      </c>
      <c r="G243" t="inlineStr">
        <is>
          <t>VÄSTERÅS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58231-2022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44901</v>
      </c>
      <c r="E244" s="1" t="n">
        <v>46225</v>
      </c>
      <c r="F244" t="inlineStr">
        <is>
          <t>VÄSTMANLANDS LÄN</t>
        </is>
      </c>
      <c r="G244" t="inlineStr">
        <is>
          <t>VÄSTERÅS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73601-2021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44552</v>
      </c>
      <c r="E245" s="1" t="n">
        <v>46225</v>
      </c>
      <c r="F245" t="inlineStr">
        <is>
          <t>VÄSTMANLANDS LÄN</t>
        </is>
      </c>
      <c r="G245" t="inlineStr">
        <is>
          <t>VÄSTERÅS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32053-2023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46225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44812</v>
      </c>
      <c r="E247" s="1" t="n">
        <v>46225</v>
      </c>
      <c r="F247" t="inlineStr">
        <is>
          <t>VÄSTMANLANDS LÄN</t>
        </is>
      </c>
      <c r="G247" t="inlineStr">
        <is>
          <t>VÄSTERÅS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45457</v>
      </c>
      <c r="E248" s="1" t="n">
        <v>46225</v>
      </c>
      <c r="F248" t="inlineStr">
        <is>
          <t>VÄSTMANLANDS LÄN</t>
        </is>
      </c>
      <c r="G248" t="inlineStr">
        <is>
          <t>VÄSTERÅS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46225</v>
      </c>
      <c r="F249" t="inlineStr">
        <is>
          <t>VÄSTMANLANDS LÄN</t>
        </is>
      </c>
      <c r="G249" t="inlineStr">
        <is>
          <t>VÄSTERÅS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74314-2021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44559</v>
      </c>
      <c r="E250" s="1" t="n">
        <v>46225</v>
      </c>
      <c r="F250" t="inlineStr">
        <is>
          <t>VÄSTMANLANDS LÄN</t>
        </is>
      </c>
      <c r="G250" t="inlineStr">
        <is>
          <t>VÄSTERÅS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44595</v>
      </c>
      <c r="E251" s="1" t="n">
        <v>46225</v>
      </c>
      <c r="F251" t="inlineStr">
        <is>
          <t>VÄSTMANLANDS LÄN</t>
        </is>
      </c>
      <c r="G251" t="inlineStr">
        <is>
          <t>VÄSTERÅS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50948-2023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46225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12258-2022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44637</v>
      </c>
      <c r="E253" s="1" t="n">
        <v>46225</v>
      </c>
      <c r="F253" t="inlineStr">
        <is>
          <t>VÄSTMANLANDS LÄN</t>
        </is>
      </c>
      <c r="G253" t="inlineStr">
        <is>
          <t>VÄSTERÅS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16214-2023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45028</v>
      </c>
      <c r="E254" s="1" t="n">
        <v>46225</v>
      </c>
      <c r="F254" t="inlineStr">
        <is>
          <t>VÄSTMANLANDS LÄN</t>
        </is>
      </c>
      <c r="G254" t="inlineStr">
        <is>
          <t>VÄSTERÅS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45160</v>
      </c>
      <c r="E255" s="1" t="n">
        <v>46225</v>
      </c>
      <c r="F255" t="inlineStr">
        <is>
          <t>VÄSTMANLANDS LÄN</t>
        </is>
      </c>
      <c r="G255" t="inlineStr">
        <is>
          <t>VÄSTERÅS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44978</v>
      </c>
      <c r="E256" s="1" t="n">
        <v>46225</v>
      </c>
      <c r="F256" t="inlineStr">
        <is>
          <t>VÄSTMANLANDS LÄN</t>
        </is>
      </c>
      <c r="G256" t="inlineStr">
        <is>
          <t>VÄSTERÅS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46225</v>
      </c>
      <c r="F257" t="inlineStr">
        <is>
          <t>VÄSTMANLANDS LÄN</t>
        </is>
      </c>
      <c r="G257" t="inlineStr">
        <is>
          <t>VÄSTERÅS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45125</v>
      </c>
      <c r="E258" s="1" t="n">
        <v>46225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18465-2023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45042</v>
      </c>
      <c r="E259" s="1" t="n">
        <v>46225</v>
      </c>
      <c r="F259" t="inlineStr">
        <is>
          <t>VÄSTMANLANDS LÄN</t>
        </is>
      </c>
      <c r="G259" t="inlineStr">
        <is>
          <t>VÄSTERÅS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73994-2021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44556</v>
      </c>
      <c r="E260" s="1" t="n">
        <v>46225</v>
      </c>
      <c r="F260" t="inlineStr">
        <is>
          <t>VÄSTMANLANDS LÄN</t>
        </is>
      </c>
      <c r="G260" t="inlineStr">
        <is>
          <t>VÄSTERÅS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56902-2024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45628</v>
      </c>
      <c r="E261" s="1" t="n">
        <v>46225</v>
      </c>
      <c r="F261" t="inlineStr">
        <is>
          <t>VÄSTMANLANDS LÄN</t>
        </is>
      </c>
      <c r="G261" t="inlineStr">
        <is>
          <t>VÄSTERÅS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73597-2021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44552</v>
      </c>
      <c r="E262" s="1" t="n">
        <v>46225</v>
      </c>
      <c r="F262" t="inlineStr">
        <is>
          <t>VÄSTMANLANDS LÄN</t>
        </is>
      </c>
      <c r="G262" t="inlineStr">
        <is>
          <t>VÄSTERÅS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13376-2022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44645</v>
      </c>
      <c r="E263" s="1" t="n">
        <v>46225</v>
      </c>
      <c r="F263" t="inlineStr">
        <is>
          <t>VÄSTMANLANDS LÄN</t>
        </is>
      </c>
      <c r="G263" t="inlineStr">
        <is>
          <t>VÄSTERÅS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31618-2024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45506</v>
      </c>
      <c r="E264" s="1" t="n">
        <v>46225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Kommuner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67350-2021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44523</v>
      </c>
      <c r="E265" s="1" t="n">
        <v>46225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Aktiebolag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44636</v>
      </c>
      <c r="E266" s="1" t="n">
        <v>46225</v>
      </c>
      <c r="F266" t="inlineStr">
        <is>
          <t>VÄSTMANLANDS LÄN</t>
        </is>
      </c>
      <c r="G266" t="inlineStr">
        <is>
          <t>VÄSTERÅS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7378-2022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44606</v>
      </c>
      <c r="E267" s="1" t="n">
        <v>46225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45169</v>
      </c>
      <c r="E268" s="1" t="n">
        <v>46225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Sveaskog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10496-2022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44623</v>
      </c>
      <c r="E269" s="1" t="n">
        <v>46225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15201-2022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44658</v>
      </c>
      <c r="E270" s="1" t="n">
        <v>46225</v>
      </c>
      <c r="F270" t="inlineStr">
        <is>
          <t>VÄSTMANLANDS LÄN</t>
        </is>
      </c>
      <c r="G270" t="inlineStr">
        <is>
          <t>VÄSTERÅS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11983-2022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44635</v>
      </c>
      <c r="E271" s="1" t="n">
        <v>46225</v>
      </c>
      <c r="F271" t="inlineStr">
        <is>
          <t>VÄSTMANLANDS LÄN</t>
        </is>
      </c>
      <c r="G271" t="inlineStr">
        <is>
          <t>VÄSTERÅS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44635</v>
      </c>
      <c r="E272" s="1" t="n">
        <v>46225</v>
      </c>
      <c r="F272" t="inlineStr">
        <is>
          <t>VÄSTMANLANDS LÄN</t>
        </is>
      </c>
      <c r="G272" t="inlineStr">
        <is>
          <t>VÄSTERÅS</t>
        </is>
      </c>
      <c r="I272" t="n">
        <v>12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44610</v>
      </c>
      <c r="E273" s="1" t="n">
        <v>46225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11950-2022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44635</v>
      </c>
      <c r="E274" s="1" t="n">
        <v>46225</v>
      </c>
      <c r="F274" t="inlineStr">
        <is>
          <t>VÄSTMANLANDS LÄN</t>
        </is>
      </c>
      <c r="G274" t="inlineStr">
        <is>
          <t>VÄSTERÅS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44708</v>
      </c>
      <c r="E275" s="1" t="n">
        <v>46225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45705</v>
      </c>
      <c r="E276" s="1" t="n">
        <v>46225</v>
      </c>
      <c r="F276" t="inlineStr">
        <is>
          <t>VÄSTMANLANDS LÄN</t>
        </is>
      </c>
      <c r="G276" t="inlineStr">
        <is>
          <t>VÄSTERÅS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45180</v>
      </c>
      <c r="E277" s="1" t="n">
        <v>46225</v>
      </c>
      <c r="F277" t="inlineStr">
        <is>
          <t>VÄSTMANLANDS LÄN</t>
        </is>
      </c>
      <c r="G277" t="inlineStr">
        <is>
          <t>VÄSTERÅS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17725-2022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44680</v>
      </c>
      <c r="E278" s="1" t="n">
        <v>46225</v>
      </c>
      <c r="F278" t="inlineStr">
        <is>
          <t>VÄSTMANLANDS LÄN</t>
        </is>
      </c>
      <c r="G278" t="inlineStr">
        <is>
          <t>VÄSTERÅS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44743</v>
      </c>
      <c r="E279" s="1" t="n">
        <v>46225</v>
      </c>
      <c r="F279" t="inlineStr">
        <is>
          <t>VÄSTMANLANDS LÄN</t>
        </is>
      </c>
      <c r="G279" t="inlineStr">
        <is>
          <t>VÄSTERÅS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46225</v>
      </c>
      <c r="F280" t="inlineStr">
        <is>
          <t>VÄSTMANLANDS LÄN</t>
        </is>
      </c>
      <c r="G280" t="inlineStr">
        <is>
          <t>VÄSTERÅS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45219</v>
      </c>
      <c r="E281" s="1" t="n">
        <v>46225</v>
      </c>
      <c r="F281" t="inlineStr">
        <is>
          <t>VÄSTMANLANDS LÄN</t>
        </is>
      </c>
      <c r="G281" t="inlineStr">
        <is>
          <t>VÄSTERÅS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44664</v>
      </c>
      <c r="E282" s="1" t="n">
        <v>46225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51230-2023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45219</v>
      </c>
      <c r="E283" s="1" t="n">
        <v>46225</v>
      </c>
      <c r="F283" t="inlineStr">
        <is>
          <t>VÄSTMANLANDS LÄN</t>
        </is>
      </c>
      <c r="G283" t="inlineStr">
        <is>
          <t>VÄSTERÅS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23765-2022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46225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44739</v>
      </c>
      <c r="E285" s="1" t="n">
        <v>46225</v>
      </c>
      <c r="F285" t="inlineStr">
        <is>
          <t>VÄSTMANLANDS LÄN</t>
        </is>
      </c>
      <c r="G285" t="inlineStr">
        <is>
          <t>VÄSTERÅS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64202-2023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45279</v>
      </c>
      <c r="E286" s="1" t="n">
        <v>46225</v>
      </c>
      <c r="F286" t="inlineStr">
        <is>
          <t>VÄSTMANLANDS LÄN</t>
        </is>
      </c>
      <c r="G286" t="inlineStr">
        <is>
          <t>VÄSTERÅS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64793-2023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45282</v>
      </c>
      <c r="E287" s="1" t="n">
        <v>46225</v>
      </c>
      <c r="F287" t="inlineStr">
        <is>
          <t>VÄSTMANLANDS LÄN</t>
        </is>
      </c>
      <c r="G287" t="inlineStr">
        <is>
          <t>VÄSTERÅS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46225</v>
      </c>
      <c r="F288" t="inlineStr">
        <is>
          <t>VÄSTMANLANDS LÄN</t>
        </is>
      </c>
      <c r="G288" t="inlineStr">
        <is>
          <t>VÄSTERÅS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13614-2022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44648</v>
      </c>
      <c r="E289" s="1" t="n">
        <v>46225</v>
      </c>
      <c r="F289" t="inlineStr">
        <is>
          <t>VÄSTMANLANDS LÄN</t>
        </is>
      </c>
      <c r="G289" t="inlineStr">
        <is>
          <t>VÄSTERÅS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44847</v>
      </c>
      <c r="E290" s="1" t="n">
        <v>46225</v>
      </c>
      <c r="F290" t="inlineStr">
        <is>
          <t>VÄSTMANLANDS LÄN</t>
        </is>
      </c>
      <c r="G290" t="inlineStr">
        <is>
          <t>VÄSTERÅS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38329-2021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44405</v>
      </c>
      <c r="E291" s="1" t="n">
        <v>46225</v>
      </c>
      <c r="F291" t="inlineStr">
        <is>
          <t>VÄSTMANLANDS LÄN</t>
        </is>
      </c>
      <c r="G291" t="inlineStr">
        <is>
          <t>VÄSTERÅS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44961</v>
      </c>
      <c r="E292" s="1" t="n">
        <v>46225</v>
      </c>
      <c r="F292" t="inlineStr">
        <is>
          <t>VÄSTMANLANDS LÄN</t>
        </is>
      </c>
      <c r="G292" t="inlineStr">
        <is>
          <t>VÄSTERÅS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67352-2021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44523</v>
      </c>
      <c r="E293" s="1" t="n">
        <v>46225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Övriga Aktiebolag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16497-2022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44671</v>
      </c>
      <c r="E294" s="1" t="n">
        <v>46225</v>
      </c>
      <c r="F294" t="inlineStr">
        <is>
          <t>VÄSTMANLANDS LÄN</t>
        </is>
      </c>
      <c r="G294" t="inlineStr">
        <is>
          <t>VÄSTERÅS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45448</v>
      </c>
      <c r="E295" s="1" t="n">
        <v>46225</v>
      </c>
      <c r="F295" t="inlineStr">
        <is>
          <t>VÄSTMANLANDS LÄN</t>
        </is>
      </c>
      <c r="G295" t="inlineStr">
        <is>
          <t>VÄSTERÅS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44657</v>
      </c>
      <c r="E296" s="1" t="n">
        <v>46225</v>
      </c>
      <c r="F296" t="inlineStr">
        <is>
          <t>VÄSTMANLANDS LÄN</t>
        </is>
      </c>
      <c r="G296" t="inlineStr">
        <is>
          <t>VÄSTERÅS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44755</v>
      </c>
      <c r="E297" s="1" t="n">
        <v>46225</v>
      </c>
      <c r="F297" t="inlineStr">
        <is>
          <t>VÄSTMANLANDS LÄN</t>
        </is>
      </c>
      <c r="G297" t="inlineStr">
        <is>
          <t>VÄSTERÅS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11137-2023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44987</v>
      </c>
      <c r="E298" s="1" t="n">
        <v>46225</v>
      </c>
      <c r="F298" t="inlineStr">
        <is>
          <t>VÄSTMANLANDS LÄN</t>
        </is>
      </c>
      <c r="G298" t="inlineStr">
        <is>
          <t>VÄSTERÅS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15348-2023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46225</v>
      </c>
      <c r="F299" t="inlineStr">
        <is>
          <t>VÄSTMANLANDS LÄN</t>
        </is>
      </c>
      <c r="G299" t="inlineStr">
        <is>
          <t>VÄSTERÅS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8346-2022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44610</v>
      </c>
      <c r="E300" s="1" t="n">
        <v>46225</v>
      </c>
      <c r="F300" t="inlineStr">
        <is>
          <t>VÄSTMANLANDS LÄN</t>
        </is>
      </c>
      <c r="G300" t="inlineStr">
        <is>
          <t>VÄSTERÅS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45443</v>
      </c>
      <c r="E301" s="1" t="n">
        <v>46225</v>
      </c>
      <c r="F301" t="inlineStr">
        <is>
          <t>VÄSTMANLANDS LÄN</t>
        </is>
      </c>
      <c r="G301" t="inlineStr">
        <is>
          <t>VÄSTERÅS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22832-2023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45072</v>
      </c>
      <c r="E302" s="1" t="n">
        <v>46225</v>
      </c>
      <c r="F302" t="inlineStr">
        <is>
          <t>VÄSTMANLANDS LÄN</t>
        </is>
      </c>
      <c r="G302" t="inlineStr">
        <is>
          <t>VÄSTERÅS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39817-2024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46225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Kyrkan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46225</v>
      </c>
      <c r="F304" t="inlineStr">
        <is>
          <t>VÄSTMANLANDS LÄN</t>
        </is>
      </c>
      <c r="G304" t="inlineStr">
        <is>
          <t>VÄSTERÅS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46225</v>
      </c>
      <c r="F305" t="inlineStr">
        <is>
          <t>VÄSTMANLANDS LÄN</t>
        </is>
      </c>
      <c r="G305" t="inlineStr">
        <is>
          <t>VÄSTERÅS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46225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46225</v>
      </c>
      <c r="F307" t="inlineStr">
        <is>
          <t>VÄSTMANLANDS LÄN</t>
        </is>
      </c>
      <c r="G307" t="inlineStr">
        <is>
          <t>VÄSTERÅS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61249-2021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46225</v>
      </c>
      <c r="F308" t="inlineStr">
        <is>
          <t>VÄSTMANLANDS LÄN</t>
        </is>
      </c>
      <c r="G308" t="inlineStr">
        <is>
          <t>VÄSTERÅS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8727-2023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44978</v>
      </c>
      <c r="E309" s="1" t="n">
        <v>46225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58577-2023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46225</v>
      </c>
      <c r="F310" t="inlineStr">
        <is>
          <t>VÄSTMANLANDS LÄN</t>
        </is>
      </c>
      <c r="G310" t="inlineStr">
        <is>
          <t>VÄSTERÅS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44659</v>
      </c>
      <c r="E311" s="1" t="n">
        <v>46225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64714-2023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46225</v>
      </c>
      <c r="F312" t="inlineStr">
        <is>
          <t>VÄSTMANLANDS LÄN</t>
        </is>
      </c>
      <c r="G312" t="inlineStr">
        <is>
          <t>VÄSTERÅS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44574</v>
      </c>
      <c r="E313" s="1" t="n">
        <v>46225</v>
      </c>
      <c r="F313" t="inlineStr">
        <is>
          <t>VÄSTMANLANDS LÄN</t>
        </is>
      </c>
      <c r="G313" t="inlineStr">
        <is>
          <t>VÄSTERÅS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45761</v>
      </c>
      <c r="E314" s="1" t="n">
        <v>46225</v>
      </c>
      <c r="F314" t="inlineStr">
        <is>
          <t>VÄSTMANLANDS LÄN</t>
        </is>
      </c>
      <c r="G314" t="inlineStr">
        <is>
          <t>VÄSTERÅS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46225</v>
      </c>
      <c r="F315" t="inlineStr">
        <is>
          <t>VÄSTMANLANDS LÄN</t>
        </is>
      </c>
      <c r="G315" t="inlineStr">
        <is>
          <t>VÄSTERÅS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46225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46225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45232</v>
      </c>
      <c r="E318" s="1" t="n">
        <v>46225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29.4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46225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46225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45042</v>
      </c>
      <c r="E321" s="1" t="n">
        <v>46225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46225</v>
      </c>
      <c r="F322" t="inlineStr">
        <is>
          <t>VÄSTMANLANDS LÄN</t>
        </is>
      </c>
      <c r="G322" t="inlineStr">
        <is>
          <t>VÄSTERÅS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45370</v>
      </c>
      <c r="E323" s="1" t="n">
        <v>46225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46225</v>
      </c>
      <c r="F324" t="inlineStr">
        <is>
          <t>VÄSTMANLANDS LÄN</t>
        </is>
      </c>
      <c r="G324" t="inlineStr">
        <is>
          <t>VÄSTERÅS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46225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46225</v>
      </c>
      <c r="F326" t="inlineStr">
        <is>
          <t>VÄSTMANLANDS LÄN</t>
        </is>
      </c>
      <c r="G326" t="inlineStr">
        <is>
          <t>VÄSTERÅS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46225</v>
      </c>
      <c r="F327" t="inlineStr">
        <is>
          <t>VÄSTMANLANDS LÄN</t>
        </is>
      </c>
      <c r="G327" t="inlineStr">
        <is>
          <t>VÄSTERÅS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46225</v>
      </c>
      <c r="F328" t="inlineStr">
        <is>
          <t>VÄSTMANLANDS LÄN</t>
        </is>
      </c>
      <c r="G328" t="inlineStr">
        <is>
          <t>VÄSTERÅS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46225</v>
      </c>
      <c r="F329" t="inlineStr">
        <is>
          <t>VÄSTMANLANDS LÄN</t>
        </is>
      </c>
      <c r="G329" t="inlineStr">
        <is>
          <t>VÄSTERÅS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46225</v>
      </c>
      <c r="F330" t="inlineStr">
        <is>
          <t>VÄSTMANLANDS LÄN</t>
        </is>
      </c>
      <c r="G330" t="inlineStr">
        <is>
          <t>VÄSTERÅS</t>
        </is>
      </c>
      <c r="I330" t="n">
        <v>15.4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46225</v>
      </c>
      <c r="F331" t="inlineStr">
        <is>
          <t>VÄSTMANLANDS LÄN</t>
        </is>
      </c>
      <c r="G331" t="inlineStr">
        <is>
          <t>VÄSTERÅS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45506</v>
      </c>
      <c r="E332" s="1" t="n">
        <v>46225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Kommuner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46225</v>
      </c>
      <c r="F333" t="inlineStr">
        <is>
          <t>VÄSTMANLANDS LÄN</t>
        </is>
      </c>
      <c r="G333" t="inlineStr">
        <is>
          <t>VÄSTERÅS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46225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46225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1415-2022</t>
        </is>
      </c>
      <c r="B336" t="inlineStr">
        <is>
          <t>samrådsanmälan</t>
        </is>
      </c>
      <c r="C336" t="inlineStr">
        <is>
          <t>Skogsbilväg</t>
        </is>
      </c>
      <c r="D336" s="1" t="n">
        <v>44634</v>
      </c>
      <c r="E336" s="1" t="n">
        <v>46225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953-2023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45005</v>
      </c>
      <c r="E337" s="1" t="n">
        <v>46225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46225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46225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46225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2026-07-22T01:39:56Z</dcterms:created>
  <dcterms:modified xmlns:dcterms="http://purl.org/dc/terms/" xmlns:xsi="http://www.w3.org/2001/XMLSchema-instance" xsi:type="dcterms:W3CDTF">2026-07-22T01:39:56Z</dcterms:modified>
</cp:coreProperties>
</file>